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 activeTab="4"/>
  </bookViews>
  <sheets>
    <sheet name="2026" sheetId="5" r:id="rId1"/>
    <sheet name="2025" sheetId="4" r:id="rId2"/>
    <sheet name="2024" sheetId="3" r:id="rId3"/>
    <sheet name="2023" sheetId="2" r:id="rId4"/>
    <sheet name="2022" sheetId="1" r:id="rId5"/>
  </sheets>
  <externalReferences>
    <externalReference r:id="rId6"/>
  </externalReferences>
  <definedNames>
    <definedName name="_xlnm._FilterDatabase" localSheetId="4" hidden="1">'2022'!$A$2:$I$99</definedName>
    <definedName name="_xlnm._FilterDatabase" localSheetId="3" hidden="1">'2023'!$A$1:$L$531</definedName>
    <definedName name="_xlnm._FilterDatabase" localSheetId="2" hidden="1">'2024'!$A$1:$M$618</definedName>
    <definedName name="_xlnm._FilterDatabase" localSheetId="1" hidden="1">'2025'!$A$1:$S$570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5" l="1"/>
  <c r="A3" i="5"/>
  <c r="G3" i="5"/>
  <c r="A4" i="5"/>
  <c r="G4" i="5"/>
  <c r="A5" i="5"/>
  <c r="G5" i="5"/>
  <c r="A6" i="5"/>
  <c r="G6" i="5"/>
  <c r="A7" i="5"/>
  <c r="G7" i="5"/>
  <c r="A8" i="5"/>
  <c r="G8" i="5"/>
  <c r="A9" i="5"/>
  <c r="G9" i="5"/>
  <c r="A10" i="5"/>
  <c r="G10" i="5"/>
  <c r="A11" i="5"/>
  <c r="G11" i="5"/>
  <c r="A12" i="5"/>
  <c r="G12" i="5"/>
  <c r="A13" i="5"/>
  <c r="G13" i="5"/>
  <c r="A14" i="5"/>
  <c r="G14" i="5"/>
  <c r="A15" i="5"/>
  <c r="G15" i="5"/>
  <c r="A16" i="5"/>
  <c r="G16" i="5"/>
  <c r="A17" i="5"/>
  <c r="G17" i="5"/>
  <c r="A18" i="5"/>
  <c r="G18" i="5"/>
  <c r="A19" i="5"/>
  <c r="G19" i="5"/>
  <c r="A20" i="5"/>
  <c r="G20" i="5"/>
  <c r="A21" i="5"/>
  <c r="G21" i="5"/>
  <c r="A22" i="5"/>
  <c r="G22" i="5"/>
  <c r="H23" i="5"/>
  <c r="K23" i="5"/>
  <c r="K1" i="5" s="1"/>
  <c r="A24" i="5"/>
  <c r="G24" i="5"/>
  <c r="A25" i="5"/>
  <c r="G25" i="5"/>
  <c r="A26" i="5"/>
  <c r="G26" i="5"/>
  <c r="A27" i="5"/>
  <c r="G27" i="5"/>
  <c r="A28" i="5"/>
  <c r="G28" i="5"/>
  <c r="A29" i="5"/>
  <c r="G29" i="5"/>
  <c r="A30" i="5"/>
  <c r="G30" i="5"/>
  <c r="A31" i="5"/>
  <c r="G31" i="5"/>
  <c r="A32" i="5"/>
  <c r="G32" i="5"/>
  <c r="A33" i="5"/>
  <c r="G33" i="5"/>
  <c r="A34" i="5"/>
  <c r="G34" i="5"/>
  <c r="A35" i="5"/>
  <c r="G35" i="5"/>
  <c r="A36" i="5"/>
  <c r="G36" i="5"/>
  <c r="A37" i="5"/>
  <c r="G37" i="5"/>
  <c r="A38" i="5"/>
  <c r="G38" i="5"/>
  <c r="A39" i="5"/>
  <c r="G39" i="5"/>
  <c r="A40" i="5"/>
  <c r="G40" i="5"/>
  <c r="A41" i="5"/>
  <c r="G41" i="5"/>
  <c r="A42" i="5"/>
  <c r="G42" i="5"/>
  <c r="A43" i="5"/>
  <c r="G43" i="5"/>
  <c r="A44" i="5"/>
  <c r="G44" i="5"/>
  <c r="A45" i="5"/>
  <c r="G45" i="5"/>
  <c r="H46" i="5"/>
  <c r="K46" i="5"/>
  <c r="A47" i="5"/>
  <c r="G47" i="5"/>
  <c r="A48" i="5"/>
  <c r="G48" i="5"/>
  <c r="A49" i="5"/>
  <c r="G49" i="5"/>
  <c r="A50" i="5"/>
  <c r="G50" i="5"/>
  <c r="A51" i="5"/>
  <c r="G51" i="5"/>
  <c r="A52" i="5"/>
  <c r="G52" i="5"/>
  <c r="A53" i="5"/>
  <c r="G53" i="5"/>
  <c r="A54" i="5"/>
  <c r="G54" i="5"/>
  <c r="A55" i="5"/>
  <c r="G55" i="5"/>
  <c r="A56" i="5"/>
  <c r="G56" i="5"/>
  <c r="A57" i="5"/>
  <c r="G57" i="5"/>
  <c r="A58" i="5"/>
  <c r="G58" i="5"/>
  <c r="A59" i="5"/>
  <c r="G59" i="5"/>
  <c r="A60" i="5"/>
  <c r="G60" i="5"/>
  <c r="A61" i="5"/>
  <c r="G61" i="5"/>
  <c r="A62" i="5"/>
  <c r="G62" i="5"/>
  <c r="A63" i="5"/>
  <c r="G63" i="5"/>
  <c r="A64" i="5"/>
  <c r="G64" i="5"/>
  <c r="A65" i="5"/>
  <c r="G65" i="5"/>
  <c r="A66" i="5"/>
  <c r="G66" i="5"/>
  <c r="A67" i="5"/>
  <c r="G67" i="5"/>
  <c r="H68" i="5"/>
  <c r="K68" i="5"/>
  <c r="A69" i="5"/>
  <c r="G69" i="5"/>
  <c r="A70" i="5"/>
  <c r="G70" i="5"/>
  <c r="A71" i="5"/>
  <c r="G71" i="5"/>
  <c r="A72" i="5"/>
  <c r="G72" i="5"/>
  <c r="A73" i="5"/>
  <c r="G73" i="5"/>
  <c r="A74" i="5"/>
  <c r="G74" i="5"/>
  <c r="A75" i="5"/>
  <c r="G75" i="5"/>
  <c r="A76" i="5"/>
  <c r="G76" i="5"/>
  <c r="A77" i="5"/>
  <c r="G77" i="5"/>
  <c r="A78" i="5"/>
  <c r="G78" i="5"/>
  <c r="A79" i="5"/>
  <c r="G79" i="5"/>
  <c r="A80" i="5"/>
  <c r="G80" i="5"/>
  <c r="A81" i="5"/>
  <c r="G81" i="5"/>
  <c r="A82" i="5"/>
  <c r="G82" i="5"/>
  <c r="A83" i="5"/>
  <c r="G83" i="5"/>
  <c r="A84" i="5"/>
  <c r="G84" i="5"/>
  <c r="A85" i="5"/>
  <c r="G85" i="5"/>
  <c r="A86" i="5"/>
  <c r="G86" i="5"/>
  <c r="A87" i="5"/>
  <c r="G87" i="5"/>
  <c r="A88" i="5"/>
  <c r="G88" i="5"/>
  <c r="A89" i="5"/>
  <c r="G89" i="5"/>
  <c r="A90" i="5"/>
  <c r="G90" i="5"/>
  <c r="H91" i="5"/>
  <c r="K91" i="5"/>
  <c r="A92" i="5"/>
  <c r="G92" i="5"/>
  <c r="A93" i="5"/>
  <c r="G93" i="5"/>
  <c r="A94" i="5"/>
  <c r="G94" i="5"/>
  <c r="A95" i="5"/>
  <c r="G95" i="5"/>
  <c r="A96" i="5"/>
  <c r="G96" i="5"/>
  <c r="A97" i="5"/>
  <c r="G97" i="5"/>
  <c r="A98" i="5"/>
  <c r="G98" i="5"/>
  <c r="A99" i="5"/>
  <c r="G99" i="5"/>
  <c r="H100" i="5"/>
  <c r="K100" i="5"/>
  <c r="A101" i="5"/>
  <c r="G101" i="5"/>
  <c r="A102" i="5"/>
  <c r="G102" i="5"/>
  <c r="A103" i="5"/>
  <c r="G103" i="5"/>
  <c r="A104" i="5"/>
  <c r="G104" i="5"/>
  <c r="A105" i="5"/>
  <c r="G105" i="5"/>
  <c r="A106" i="5"/>
  <c r="G106" i="5"/>
  <c r="A107" i="5"/>
  <c r="G107" i="5"/>
  <c r="A108" i="5"/>
  <c r="G108" i="5"/>
  <c r="A109" i="5"/>
  <c r="G109" i="5"/>
  <c r="A110" i="5"/>
  <c r="G110" i="5"/>
  <c r="A111" i="5"/>
  <c r="G111" i="5"/>
  <c r="A112" i="5"/>
  <c r="G112" i="5"/>
  <c r="A113" i="5"/>
  <c r="G113" i="5"/>
  <c r="A114" i="5"/>
  <c r="G114" i="5"/>
  <c r="A115" i="5"/>
  <c r="G115" i="5"/>
  <c r="A116" i="5"/>
  <c r="G116" i="5"/>
  <c r="A117" i="5"/>
  <c r="G117" i="5"/>
  <c r="A118" i="5"/>
  <c r="G118" i="5"/>
  <c r="A119" i="5"/>
  <c r="G119" i="5"/>
  <c r="A120" i="5"/>
  <c r="G120" i="5"/>
  <c r="A121" i="5"/>
  <c r="G121" i="5"/>
  <c r="H122" i="5"/>
  <c r="K122" i="5"/>
  <c r="A123" i="5"/>
  <c r="G123" i="5"/>
  <c r="A124" i="5"/>
  <c r="G124" i="5"/>
  <c r="A125" i="5"/>
  <c r="G125" i="5"/>
  <c r="A126" i="5"/>
  <c r="G126" i="5"/>
  <c r="A127" i="5"/>
  <c r="G127" i="5"/>
  <c r="A128" i="5"/>
  <c r="G128" i="5"/>
  <c r="A129" i="5"/>
  <c r="G129" i="5"/>
  <c r="A130" i="5"/>
  <c r="G130" i="5"/>
  <c r="A131" i="5"/>
  <c r="G131" i="5"/>
  <c r="A132" i="5"/>
  <c r="G132" i="5"/>
  <c r="A133" i="5"/>
  <c r="G133" i="5"/>
  <c r="A134" i="5"/>
  <c r="G134" i="5"/>
  <c r="A135" i="5"/>
  <c r="G135" i="5"/>
  <c r="A136" i="5"/>
  <c r="G136" i="5"/>
  <c r="A137" i="5"/>
  <c r="G137" i="5"/>
  <c r="A138" i="5"/>
  <c r="G138" i="5"/>
  <c r="A139" i="5"/>
  <c r="G139" i="5"/>
  <c r="A140" i="5"/>
  <c r="G140" i="5"/>
  <c r="A141" i="5"/>
  <c r="G141" i="5"/>
  <c r="A142" i="5"/>
  <c r="G142" i="5"/>
  <c r="A143" i="5"/>
  <c r="G143" i="5"/>
  <c r="A144" i="5"/>
  <c r="G144" i="5"/>
  <c r="H145" i="5"/>
  <c r="K145" i="5"/>
  <c r="A146" i="5"/>
  <c r="G146" i="5"/>
  <c r="A147" i="5"/>
  <c r="G147" i="5"/>
  <c r="A148" i="5"/>
  <c r="G148" i="5"/>
  <c r="A149" i="5"/>
  <c r="G149" i="5"/>
  <c r="A150" i="5"/>
  <c r="G150" i="5"/>
  <c r="A151" i="5"/>
  <c r="G151" i="5"/>
  <c r="A152" i="5"/>
  <c r="G152" i="5"/>
  <c r="A153" i="5"/>
  <c r="G153" i="5"/>
  <c r="A154" i="5"/>
  <c r="G154" i="5"/>
  <c r="A155" i="5"/>
  <c r="G155" i="5"/>
  <c r="A156" i="5"/>
  <c r="G156" i="5"/>
  <c r="A157" i="5"/>
  <c r="G157" i="5"/>
  <c r="A158" i="5"/>
  <c r="G158" i="5"/>
  <c r="A159" i="5"/>
  <c r="G159" i="5"/>
  <c r="A160" i="5"/>
  <c r="G160" i="5"/>
  <c r="A161" i="5"/>
  <c r="G161" i="5"/>
  <c r="A162" i="5"/>
  <c r="G162" i="5"/>
  <c r="A163" i="5"/>
  <c r="G163" i="5"/>
  <c r="A164" i="5"/>
  <c r="G164" i="5"/>
  <c r="A165" i="5"/>
  <c r="G165" i="5"/>
  <c r="A166" i="5"/>
  <c r="G166" i="5"/>
  <c r="A167" i="5"/>
  <c r="G167" i="5"/>
  <c r="A168" i="5"/>
  <c r="G168" i="5"/>
  <c r="H169" i="5"/>
  <c r="K169" i="5"/>
  <c r="A170" i="5"/>
  <c r="G170" i="5"/>
  <c r="A171" i="5"/>
  <c r="G171" i="5"/>
  <c r="A172" i="5"/>
  <c r="G172" i="5"/>
  <c r="A173" i="5"/>
  <c r="G173" i="5"/>
  <c r="A174" i="5"/>
  <c r="G174" i="5"/>
  <c r="A175" i="5"/>
  <c r="G175" i="5"/>
  <c r="A176" i="5"/>
  <c r="G176" i="5"/>
  <c r="A177" i="5"/>
  <c r="G177" i="5"/>
  <c r="A178" i="5"/>
  <c r="G178" i="5"/>
  <c r="A179" i="5"/>
  <c r="G179" i="5"/>
  <c r="A180" i="5"/>
  <c r="G180" i="5"/>
  <c r="A181" i="5"/>
  <c r="G181" i="5"/>
  <c r="A182" i="5"/>
  <c r="G182" i="5"/>
  <c r="G183" i="5"/>
  <c r="A184" i="5"/>
  <c r="G184" i="5"/>
  <c r="A185" i="5"/>
  <c r="G185" i="5"/>
  <c r="A186" i="5"/>
  <c r="G186" i="5"/>
  <c r="A187" i="5"/>
  <c r="G187" i="5"/>
  <c r="A188" i="5"/>
  <c r="G188" i="5"/>
  <c r="A189" i="5"/>
  <c r="G189" i="5"/>
  <c r="A190" i="5"/>
  <c r="G190" i="5"/>
  <c r="A191" i="5"/>
  <c r="G191" i="5"/>
  <c r="A192" i="5"/>
  <c r="G192" i="5"/>
  <c r="A193" i="5"/>
  <c r="G193" i="5"/>
  <c r="H194" i="5"/>
  <c r="K194" i="5" s="1"/>
  <c r="A195" i="5"/>
  <c r="A196" i="5" s="1"/>
  <c r="A197" i="5" s="1"/>
  <c r="A198" i="5" s="1"/>
  <c r="G204" i="5"/>
  <c r="G205" i="5"/>
  <c r="G206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H29" i="4"/>
  <c r="K29" i="4" s="1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H151" i="4"/>
  <c r="K151" i="4" s="1"/>
  <c r="G152" i="4"/>
  <c r="G153" i="4"/>
  <c r="G154" i="4"/>
  <c r="G155" i="4"/>
  <c r="H156" i="4"/>
  <c r="K156" i="4" s="1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H239" i="4"/>
  <c r="K239" i="4" s="1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H266" i="4"/>
  <c r="K266" i="4" s="1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H280" i="4"/>
  <c r="K280" i="4" s="1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H323" i="4"/>
  <c r="K323" i="4" s="1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H350" i="4"/>
  <c r="K350" i="4" s="1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H364" i="4"/>
  <c r="K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H401" i="4"/>
  <c r="K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H418" i="4"/>
  <c r="K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H431" i="4"/>
  <c r="K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H452" i="4"/>
  <c r="K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H468" i="4"/>
  <c r="K468" i="4" s="1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H484" i="4"/>
  <c r="K484" i="4" s="1"/>
  <c r="G485" i="4"/>
  <c r="A486" i="4"/>
  <c r="G486" i="4"/>
  <c r="A487" i="4"/>
  <c r="G487" i="4"/>
  <c r="A488" i="4"/>
  <c r="G488" i="4"/>
  <c r="A489" i="4"/>
  <c r="G489" i="4"/>
  <c r="A490" i="4"/>
  <c r="G490" i="4"/>
  <c r="A491" i="4"/>
  <c r="G491" i="4"/>
  <c r="A492" i="4"/>
  <c r="G492" i="4"/>
  <c r="A493" i="4"/>
  <c r="G493" i="4"/>
  <c r="A494" i="4"/>
  <c r="G494" i="4"/>
  <c r="A495" i="4"/>
  <c r="G495" i="4"/>
  <c r="A496" i="4"/>
  <c r="G496" i="4"/>
  <c r="A497" i="4"/>
  <c r="G497" i="4"/>
  <c r="A498" i="4"/>
  <c r="G498" i="4"/>
  <c r="A499" i="4"/>
  <c r="G499" i="4"/>
  <c r="A500" i="4"/>
  <c r="G500" i="4"/>
  <c r="A501" i="4"/>
  <c r="G501" i="4"/>
  <c r="A502" i="4"/>
  <c r="G502" i="4"/>
  <c r="A503" i="4"/>
  <c r="G503" i="4"/>
  <c r="A504" i="4"/>
  <c r="G504" i="4"/>
  <c r="A505" i="4"/>
  <c r="G505" i="4"/>
  <c r="A506" i="4"/>
  <c r="G506" i="4"/>
  <c r="H507" i="4"/>
  <c r="K507" i="4" s="1"/>
  <c r="A508" i="4"/>
  <c r="G508" i="4"/>
  <c r="A509" i="4"/>
  <c r="G509" i="4"/>
  <c r="A510" i="4"/>
  <c r="G510" i="4"/>
  <c r="A511" i="4"/>
  <c r="G511" i="4"/>
  <c r="A512" i="4"/>
  <c r="G512" i="4"/>
  <c r="A513" i="4"/>
  <c r="G513" i="4"/>
  <c r="A514" i="4"/>
  <c r="G514" i="4"/>
  <c r="A515" i="4"/>
  <c r="G515" i="4"/>
  <c r="A516" i="4"/>
  <c r="G516" i="4"/>
  <c r="A517" i="4"/>
  <c r="G517" i="4"/>
  <c r="A518" i="4"/>
  <c r="G518" i="4"/>
  <c r="A519" i="4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G519" i="4"/>
  <c r="H520" i="4"/>
  <c r="K520" i="4" s="1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H570" i="4"/>
  <c r="K570" i="4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G21" i="3"/>
  <c r="J21" i="3" s="1"/>
  <c r="F22" i="3"/>
  <c r="F23" i="3"/>
  <c r="F24" i="3"/>
  <c r="F25" i="3"/>
  <c r="F26" i="3"/>
  <c r="F27" i="3"/>
  <c r="F28" i="3"/>
  <c r="F29" i="3"/>
  <c r="F31" i="3"/>
  <c r="F32" i="3"/>
  <c r="F33" i="3"/>
  <c r="G34" i="3"/>
  <c r="J34" i="3" s="1"/>
  <c r="F35" i="3"/>
  <c r="F36" i="3"/>
  <c r="F37" i="3"/>
  <c r="F38" i="3"/>
  <c r="F39" i="3"/>
  <c r="F40" i="3"/>
  <c r="F41" i="3"/>
  <c r="F42" i="3"/>
  <c r="F43" i="3"/>
  <c r="F44" i="3"/>
  <c r="F45" i="3"/>
  <c r="G46" i="3"/>
  <c r="J46" i="3"/>
  <c r="F47" i="3"/>
  <c r="F48" i="3"/>
  <c r="F49" i="3"/>
  <c r="F50" i="3"/>
  <c r="F51" i="3"/>
  <c r="F52" i="3"/>
  <c r="F53" i="3"/>
  <c r="F54" i="3"/>
  <c r="G55" i="3"/>
  <c r="J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8" i="3"/>
  <c r="F79" i="3"/>
  <c r="F80" i="3"/>
  <c r="F81" i="3"/>
  <c r="F82" i="3"/>
  <c r="G83" i="3"/>
  <c r="J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G98" i="3"/>
  <c r="J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G121" i="3"/>
  <c r="J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G142" i="3"/>
  <c r="J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G157" i="3"/>
  <c r="J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G174" i="3"/>
  <c r="J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G201" i="3"/>
  <c r="J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G230" i="3"/>
  <c r="J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G258" i="3"/>
  <c r="J258" i="3" s="1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G278" i="3"/>
  <c r="J278" i="3" s="1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G304" i="3"/>
  <c r="J304" i="3" s="1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G318" i="3"/>
  <c r="J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G336" i="3"/>
  <c r="J336" i="3" s="1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G354" i="3"/>
  <c r="J354" i="3" s="1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G383" i="3"/>
  <c r="J383" i="3" s="1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G398" i="3"/>
  <c r="J398" i="3" s="1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G420" i="3"/>
  <c r="J420" i="3" s="1"/>
  <c r="F421" i="3"/>
  <c r="F422" i="3"/>
  <c r="F423" i="3"/>
  <c r="F424" i="3"/>
  <c r="F425" i="3"/>
  <c r="G426" i="3"/>
  <c r="J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G445" i="3"/>
  <c r="J445" i="3"/>
  <c r="F446" i="3"/>
  <c r="F447" i="3"/>
  <c r="F448" i="3"/>
  <c r="F449" i="3"/>
  <c r="F450" i="3"/>
  <c r="F451" i="3"/>
  <c r="F452" i="3"/>
  <c r="F453" i="3"/>
  <c r="F454" i="3"/>
  <c r="F455" i="3"/>
  <c r="G456" i="3"/>
  <c r="J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G496" i="3"/>
  <c r="J496" i="3" s="1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G533" i="3"/>
  <c r="J533" i="3" s="1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G566" i="3"/>
  <c r="J566" i="3" s="1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G583" i="3"/>
  <c r="J583" i="3" s="1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G618" i="3"/>
  <c r="J618" i="3" s="1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G10" i="2"/>
  <c r="J10" i="2" s="1"/>
  <c r="G21" i="2"/>
  <c r="J21" i="2" s="1"/>
  <c r="G44" i="2"/>
  <c r="J44" i="2" s="1"/>
  <c r="G54" i="2"/>
  <c r="J54" i="2" s="1"/>
  <c r="G66" i="2"/>
  <c r="J66" i="2" s="1"/>
  <c r="G136" i="2"/>
  <c r="J136" i="2" s="1"/>
  <c r="G156" i="2"/>
  <c r="J156" i="2" s="1"/>
  <c r="G168" i="2"/>
  <c r="J168" i="2" s="1"/>
  <c r="G197" i="2"/>
  <c r="J197" i="2" s="1"/>
  <c r="G218" i="2"/>
  <c r="J218" i="2" s="1"/>
  <c r="G232" i="2"/>
  <c r="J232" i="2" s="1"/>
  <c r="G242" i="2"/>
  <c r="J242" i="2" s="1"/>
  <c r="G258" i="2"/>
  <c r="J258" i="2" s="1"/>
  <c r="G264" i="2"/>
  <c r="J264" i="2" s="1"/>
  <c r="G294" i="2"/>
  <c r="J294" i="2" s="1"/>
  <c r="G324" i="2"/>
  <c r="J324" i="2" s="1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G351" i="2"/>
  <c r="J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G380" i="2"/>
  <c r="J380" i="2" s="1"/>
  <c r="F381" i="2"/>
  <c r="F382" i="2"/>
  <c r="F383" i="2"/>
  <c r="F384" i="2"/>
  <c r="F385" i="2"/>
  <c r="F386" i="2"/>
  <c r="F387" i="2"/>
  <c r="F388" i="2"/>
  <c r="F389" i="2"/>
  <c r="F390" i="2"/>
  <c r="F391" i="2"/>
  <c r="G391" i="2"/>
  <c r="J391" i="2" s="1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G406" i="2"/>
  <c r="J406" i="2" s="1"/>
  <c r="F407" i="2"/>
  <c r="F408" i="2"/>
  <c r="F409" i="2"/>
  <c r="F410" i="2"/>
  <c r="F411" i="2"/>
  <c r="F412" i="2"/>
  <c r="F413" i="2"/>
  <c r="F414" i="2"/>
  <c r="F415" i="2"/>
  <c r="F416" i="2"/>
  <c r="F417" i="2"/>
  <c r="F418" i="2"/>
  <c r="G418" i="2"/>
  <c r="J418" i="2" s="1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5" i="2"/>
  <c r="F436" i="2"/>
  <c r="G436" i="2"/>
  <c r="J436" i="2" s="1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G457" i="2"/>
  <c r="J457" i="2" s="1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G479" i="2"/>
  <c r="J479" i="2" s="1"/>
  <c r="F480" i="2"/>
  <c r="F481" i="2"/>
  <c r="F482" i="2"/>
  <c r="F483" i="2"/>
  <c r="F484" i="2"/>
  <c r="G484" i="2"/>
  <c r="J484" i="2" s="1"/>
  <c r="G492" i="2"/>
  <c r="J492" i="2" s="1"/>
  <c r="G501" i="2"/>
  <c r="J501" i="2" s="1"/>
  <c r="G509" i="2"/>
  <c r="J509" i="2" s="1"/>
  <c r="F510" i="2"/>
  <c r="F511" i="2"/>
  <c r="F512" i="2"/>
  <c r="F513" i="2"/>
  <c r="F514" i="2"/>
  <c r="F515" i="2"/>
  <c r="F516" i="2"/>
  <c r="F517" i="2"/>
  <c r="F518" i="2"/>
  <c r="F519" i="2"/>
  <c r="G520" i="2"/>
  <c r="J520" i="2" s="1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G10" i="1"/>
  <c r="G102" i="1" s="1"/>
  <c r="G16" i="1"/>
  <c r="G22" i="1"/>
  <c r="G33" i="1"/>
  <c r="G44" i="1"/>
  <c r="G48" i="1"/>
  <c r="G55" i="1"/>
  <c r="G62" i="1"/>
  <c r="G68" i="1"/>
  <c r="G81" i="1"/>
  <c r="G99" i="1"/>
  <c r="D106" i="1"/>
  <c r="D107" i="1"/>
  <c r="D108" i="1"/>
  <c r="D109" i="1"/>
  <c r="D110" i="1"/>
  <c r="D111" i="1"/>
  <c r="D112" i="1"/>
  <c r="D113" i="1"/>
  <c r="D114" i="1"/>
  <c r="D115" i="1"/>
  <c r="A565" i="4" l="1"/>
  <c r="A566" i="4" s="1"/>
  <c r="A567" i="4" s="1"/>
  <c r="A568" i="4"/>
  <c r="A569" i="4" s="1"/>
  <c r="K1" i="4"/>
  <c r="J1" i="3"/>
  <c r="J1" i="2"/>
</calcChain>
</file>

<file path=xl/sharedStrings.xml><?xml version="1.0" encoding="utf-8"?>
<sst xmlns="http://schemas.openxmlformats.org/spreadsheetml/2006/main" count="9752" uniqueCount="2345">
  <si>
    <t>Maths</t>
  </si>
  <si>
    <t>S&amp;H</t>
  </si>
  <si>
    <t>Mech</t>
  </si>
  <si>
    <t>IT</t>
  </si>
  <si>
    <t>EEE</t>
  </si>
  <si>
    <t>ECE</t>
  </si>
  <si>
    <t>CSE</t>
  </si>
  <si>
    <t>CSBS</t>
  </si>
  <si>
    <t>CCE</t>
  </si>
  <si>
    <t>AI-DS</t>
  </si>
  <si>
    <t>GRAND TOTAL</t>
  </si>
  <si>
    <t>TOTAL</t>
  </si>
  <si>
    <t>Dr</t>
  </si>
  <si>
    <t>SCOPUS Publication</t>
  </si>
  <si>
    <t>Systolic optimized adaptive filter architecture designs for ECG noise cancellation by Vertex-5</t>
  </si>
  <si>
    <t>Dr.R.Anand</t>
  </si>
  <si>
    <t>Conference</t>
  </si>
  <si>
    <t>Diamond Shaped Micro-strip Fractal Antenna for Ultra Wideband</t>
  </si>
  <si>
    <t>Dr.C.Venkataramanan</t>
  </si>
  <si>
    <t>Design of Intelligent Socket Module for Smart Home Application using Internet of Things</t>
  </si>
  <si>
    <t>IOT ased Smart solution for Traffic congestion at Metro Cities</t>
  </si>
  <si>
    <t>Dr.N.Kumareshan</t>
  </si>
  <si>
    <t>Face recognition based vehicle starter using machine learning</t>
  </si>
  <si>
    <t>SCI Publication</t>
  </si>
  <si>
    <t>Machine Learning Based Energy Efficient High Performance Routing protocol for Underwater Communication</t>
  </si>
  <si>
    <t>Automatic Hatching System by designing IoT-based Egg Incubator</t>
  </si>
  <si>
    <t>Dr.L.Raja</t>
  </si>
  <si>
    <t>Traceability of Tea powder Supply Chain based on
Hyperledger Fabric</t>
  </si>
  <si>
    <t>Dr.P.Naveen</t>
  </si>
  <si>
    <t xml:space="preserve">An Deep Q Network Optimization Algorithm
For DoS Attack in WSN 
</t>
  </si>
  <si>
    <t>Energy Efficient High Performance
Adder/Subtractor Circuits</t>
  </si>
  <si>
    <t>Application of Multi-Domain Feature for Automated Seizure Detection from EEG Signal</t>
  </si>
  <si>
    <t>Dr.S.R.Ashokkumar</t>
  </si>
  <si>
    <t>A Deep Learning Based Framework Implementation and Artificial Intelligence Using Optical Communication</t>
  </si>
  <si>
    <t>Dr.C.Ganesh</t>
  </si>
  <si>
    <t>Doing Phd</t>
  </si>
  <si>
    <t>AIDS</t>
  </si>
  <si>
    <t>Machine Learning and Quantum computing for 5G/6G communication networks-A survey</t>
  </si>
  <si>
    <t>Ms.M.Suriya</t>
  </si>
  <si>
    <t>Sentiment Analysis and Emoji Mapping</t>
  </si>
  <si>
    <t>Ms.G.Priyanka</t>
  </si>
  <si>
    <t xml:space="preserve">A Switching Event-Triggered Approach to
Proportional Integral Synchronization Control for
Complex Dynamical Networks </t>
  </si>
  <si>
    <t>Study on Performance of Infilled Wall in an RC-Framed Structure Using a Reinforcing Band</t>
  </si>
  <si>
    <t>Dr.B.Sugumaran</t>
  </si>
  <si>
    <t>Binary Mixture of t(3)-Methyl-r(2),c(6)-diphenyl-piperidin-4-one and Gum Exudates of Astragalus genus as an Green Soldier for Dissolution Control of Mild Steel in HCI</t>
  </si>
  <si>
    <t>Dr.R.Rathinam</t>
  </si>
  <si>
    <t>SCI publication</t>
  </si>
  <si>
    <t>Growth, Yield, and yield variables of onion(Allium Cepa L.) varieties as inflenced by plantspacing at DambiDollo, Western Ethiopia</t>
  </si>
  <si>
    <t>Dr.S.Venkatesh</t>
  </si>
  <si>
    <t>IoT based Cardiac Monitoring System using Event Driven Fuzzy Logic Approach</t>
  </si>
  <si>
    <t>Ms.A.Shanmugapriya</t>
  </si>
  <si>
    <t>Data Security and Safety Services using Modified Timed Efficient Stream Loss-Tolerant Authentication in Diverse Models of VANET</t>
  </si>
  <si>
    <t>Ms.K.Suganyadevi</t>
  </si>
  <si>
    <t>Non Phd</t>
  </si>
  <si>
    <t>DBN with a Developed Version of Thermal Exchange Optimization (TEO) Model for Skin Cancer Detection and Classification</t>
  </si>
  <si>
    <t>Ms.Minu Balakrishnan</t>
  </si>
  <si>
    <t xml:space="preserve">Conference </t>
  </si>
  <si>
    <t>A binary Bird Swarm Optimization technique for cloud computing task scheduling and load balancing</t>
  </si>
  <si>
    <t>Ms.R.Poonkodi</t>
  </si>
  <si>
    <t>Diabetic Retinopathy Detection Using Retinal Fundus Picture and Image Enhancement Using Fuzzy Clustering</t>
  </si>
  <si>
    <t>PE-DeepNet: A deep neural network model for pulmonary embolism detection</t>
  </si>
  <si>
    <t>Mrs.M.Suriya</t>
  </si>
  <si>
    <t>Analyzing the Electronics of Image Sensors and Their Functionality to Develop Low Light-Emitting Source Image</t>
  </si>
  <si>
    <t>Dr.D.Gunapriya</t>
  </si>
  <si>
    <t>A Review on Hydrogen-Based Hybrid Microgrid System: Topologies for Hydrogen Energy Storage, Integration, Energy Management with Solar and Wind Energy</t>
  </si>
  <si>
    <t>Li-Fi Technology for Vehicle-to-vehicle Communication</t>
  </si>
  <si>
    <t>Mr.M.Saravanan</t>
  </si>
  <si>
    <t>Study of Wear, Stress and Vibration Characteristics of Silicon Carbide Tool Inserts and Nano Multi-Layered Titanium Nitride-Coated Cutting Tool Inserts in Turning of SS304 Steels</t>
  </si>
  <si>
    <t>Dr.S.Ganesh Kumar</t>
  </si>
  <si>
    <t>Exploring the possibilties of Producing Pulp and Paper from Discarded Lignocellulosic Fibers</t>
  </si>
  <si>
    <t>Dr.P.Ganeshan</t>
  </si>
  <si>
    <t>Artificial humming bird with data science enabled stability prediction model for smart grids</t>
  </si>
  <si>
    <t>Dr.R.Michaelraj Kingston</t>
  </si>
  <si>
    <t>High velocity oxygen fuel coating for enhancing tribological behaviour of engineering metals</t>
  </si>
  <si>
    <t>Dr.G.Gokilakrishnan</t>
  </si>
  <si>
    <t>Book Chaper</t>
  </si>
  <si>
    <t>Analysis of Phonocardiogram Signal Using Deep Learning</t>
  </si>
  <si>
    <t>Hybrid convolutional neural network (CNN) for Kennedy Space Center hyperspectral image</t>
  </si>
  <si>
    <t>Security behavior analysis in web of things smart environments using deep belief networks</t>
  </si>
  <si>
    <t>Discrete Fourier Transform with Denoise Model Based Least Square Wiener Channel Estimator for Chaneel Estimation in MIMO-OFDM</t>
  </si>
  <si>
    <t>Dr.S.Dhanasekaran</t>
  </si>
  <si>
    <t>Artificial Intelligence Model For Software Reusability Prediction System</t>
  </si>
  <si>
    <t>Dr.R.Subha</t>
  </si>
  <si>
    <t>Performance of multilayered Nanocoated Cutting Tools in High-Speed Machining: A Review</t>
  </si>
  <si>
    <t>Dr.S.Ganesh kumar</t>
  </si>
  <si>
    <t>Cognitive Wireless Networks Based Spectrum Sensing Strategies: A Comparative Analysis</t>
  </si>
  <si>
    <t>Studies on structural and third order nonlinear optical properties of bulk size DAST: an interesting organic single crystal for photonic applications</t>
  </si>
  <si>
    <t>Dr.A.Saranraj</t>
  </si>
  <si>
    <t>Patent</t>
  </si>
  <si>
    <t>IoT-driven Smart System for Multi-Food Recommendation using Machine Learning</t>
  </si>
  <si>
    <t>Dr.S.Sumathi</t>
  </si>
  <si>
    <t>An Innovative Solutio for Battery Draining in 5G Devices Using Alternate Routing Model</t>
  </si>
  <si>
    <t>Recent Developments in Stimuli Responsive Smart Materials and Applications: An overview</t>
  </si>
  <si>
    <t>Dr.T.Ramakrishnan</t>
  </si>
  <si>
    <t>Water evaporaton algorithm optimized cascade controller for frequency regulation of integrated microgrid</t>
  </si>
  <si>
    <t>Optimization of crashworthiness Parameters of Thin-Walled Conoidal Structures</t>
  </si>
  <si>
    <t>Evidence-based energy conservation potentials and policy implications in the textile and garment industries of Ethiopia</t>
  </si>
  <si>
    <t>Dr.N.K.Millerjothi</t>
  </si>
  <si>
    <t>Effect of heat transfer and pressure drop characteristics on the performance analysis of an artificially roughened solar air heater</t>
  </si>
  <si>
    <t>Dr.Amit Kumar</t>
  </si>
  <si>
    <t>High Content AI-T6/pineapple fiber/brass mesh reinforcements on nanosilica-toughened epoxy hybrid natural fiber metal laminate composite for aircraft applications</t>
  </si>
  <si>
    <t>Analysis of Spectroscopic, Morphological Characterization and Interaction of Dye Molecules for the Surface Modification for the Surface Modification of TiB2 NanoParticles</t>
  </si>
  <si>
    <t xml:space="preserve">Adaptive fuzzy logic inspired path longevity factor-based forecasting model reliable routing in MANETs </t>
  </si>
  <si>
    <t>An Optimal Construction of smart aged homes based on SDLC using smart sensors and agent networks</t>
  </si>
  <si>
    <t>Hybrid Approach to Implement Multi-robotic
Navigation System Using Neural Network, Fuzzy
Logic and Bio-inspired Optimization Methodologies</t>
  </si>
  <si>
    <t>Dr.H.Anandakumar</t>
  </si>
  <si>
    <t>Sensor data fusion techniques in the construction of generalized VORONOI graph for on-line motion planning in robot navigation</t>
  </si>
  <si>
    <t>On reducing energy cost consumption in heterogeneous cellular networks using optimal time constraint algorithm</t>
  </si>
  <si>
    <t>Design and Fabrication of Flexible Nanoantenna-Based Sensor
Using Graphene-Coated Carbon Cloth</t>
  </si>
  <si>
    <t>An improved high performance clustering based routing protocol for wireless sensor networks in IoT</t>
  </si>
  <si>
    <t>An optimized ticket manager based energy-aware multipath routing protocol design for IoT based wireless sensor networks</t>
  </si>
  <si>
    <t>Microcontroller based ingrained monitoring of covellar Carbon Monoxide Identification and Air Revitalizing in Air Skilled Automotives</t>
  </si>
  <si>
    <t>Ms.M.Ishwarya Niranjana</t>
  </si>
  <si>
    <t>Performance Analysis of InAs-GaAs Gate-all-around Tunnel Field Effect Transistors (GAA-TFET) for Analog/ RF applications</t>
  </si>
  <si>
    <t>Application of switching median filter with L2 norm-based auto-tuning function for removing random valued impulse noise</t>
  </si>
  <si>
    <t>Dr.S.Dhanasekar</t>
  </si>
  <si>
    <t>A Comprehensive Study of Ceramic Matrix Composites for Space Applications</t>
  </si>
  <si>
    <t>Dynamics of a Novel IVRD Pandemic Model of a Large Population over a Long Time with Efficient Numerical Methods</t>
  </si>
  <si>
    <t>Dr.R.Maheswari</t>
  </si>
  <si>
    <t>Diagnosis of Broken Bars in V/F Control Induction Motor Drive Using Wavelets and EEV Estimation for Electric Vehicle Applications</t>
  </si>
  <si>
    <t>Influence of Nano-/Microfiller Addition on Mechanical and Morphological Performance of Kenaf/Glass Fibre-Reinforced Hybrid Composites</t>
  </si>
  <si>
    <t>A Simple Approach of CQDs@ MoS2 Nanosheets for Turn-On Fluorescence Sensor for Detection of Pb2+ Ions</t>
  </si>
  <si>
    <t>Investigation on Pollution Control Device (PCD) in iron foundry industry to reduce environmental chemicals</t>
  </si>
  <si>
    <t>Influence of capillary tube length on the performance of domestic refrigerator with eco-friendly refrigerant R152a</t>
  </si>
  <si>
    <t>Biosynthesis of TiO2 nanoparticles by Caricaceae (Papaya) shell extracts for antifungal application</t>
  </si>
  <si>
    <t>A Note On Controllability Of Noninstantaneous Impulsive Atangana-Baleanu-Caputo Neutral Fractional Integrodifferential Systems</t>
  </si>
  <si>
    <t>Dr.N.Valliammal</t>
  </si>
  <si>
    <t>Integration of Photovoltaic-Based Transformer less High Step-Up Dual-Output–Dual-Input Converter with Low Power Losses for Energy Storage Applications</t>
  </si>
  <si>
    <t>Truncation Multiplier-Based Cognitive Radio Spectrum Analyzer for Nanomedical Applications</t>
  </si>
  <si>
    <t>Integrated electrocoagulation–photoelectrocatalytic oxidation for effective treatments of aqueous solution bisphenol-A using green-synthesized ZnO nanoparticles</t>
  </si>
  <si>
    <t>Optimized hybrid routing protocol for energy-aware cluster head selection in wireless sensor networks</t>
  </si>
  <si>
    <t>Investigation of Tensile Properties of Different Infill Pattern Structures of 3D-Printed PLA Polymers: Analysis and Validation Using Finite Element Analysis in ANSYS</t>
  </si>
  <si>
    <t>Design and Implementation of Hybrid PV/Battery-Based Improved Single-Ended Primary-Inductor Converter-Fed Hybrid Electric Vehicle</t>
  </si>
  <si>
    <t>Performance assessment of annular fins and cellulose cooling pad on heat transfer enhancement of evaporative heat exchangers using volumetric heat and mass transfer coefficients</t>
  </si>
  <si>
    <t>Dr.V.Naveen Prabhu</t>
  </si>
  <si>
    <t>Review on Li-Ion Battery vs Nickel Metal Hydride Battery in EV</t>
  </si>
  <si>
    <t>Mr.P.Anbarasu</t>
  </si>
  <si>
    <t>Semiconductor Materials for Solar PV Technology and Challenges towards Electrical Engineering</t>
  </si>
  <si>
    <t>Mr.R.Premkumar</t>
  </si>
  <si>
    <t>Role of Carbon-Based Nanomaterials in Enhancing the Performance of Energy Storage Devices: Design Small and Store Big</t>
  </si>
  <si>
    <t>Dr.B.Yogeswari</t>
  </si>
  <si>
    <t>Improved EPOA clustering protocol for lifetime longevity in wireless sensor network</t>
  </si>
  <si>
    <t>An Efficient Identification of Security Threats in Requirement Engineering Methodology</t>
  </si>
  <si>
    <t>Collaborative analysis of audio-visual speech synthesis with sensor measurements for regulating human–robot interaction</t>
  </si>
  <si>
    <t>Dynamic hidden feature space detection of noisy image set by weight binarization</t>
  </si>
  <si>
    <t>Optimized Convolutional Neural Network for Tamil Handwritten Character Recognition</t>
  </si>
  <si>
    <t>Dr.Babitha Lincy</t>
  </si>
  <si>
    <t>Assessment of Structural Stability of Pure and Xylenol Orange Dye Doped Potassium Dihydroegn Phosphate Probed by Shock Waves</t>
  </si>
  <si>
    <t>Non-PhD</t>
  </si>
  <si>
    <t>Preventive Measure of SAT Attack by Integrating Anti-SAT on Locked Circuit for Improving Hardware Security</t>
  </si>
  <si>
    <t>Mr.A.Puviarasu</t>
  </si>
  <si>
    <t>Dr/Pursuing Phd/Non Phd</t>
  </si>
  <si>
    <t>Amount Credited date</t>
  </si>
  <si>
    <t>Received Amount by Faculty</t>
  </si>
  <si>
    <t>Dept.</t>
  </si>
  <si>
    <t xml:space="preserve">Publication </t>
  </si>
  <si>
    <t>Paper Title</t>
  </si>
  <si>
    <t>Faculty Name</t>
  </si>
  <si>
    <t>S.No</t>
  </si>
  <si>
    <t>FACULTY RESEARCH INCENTIVE FORM</t>
  </si>
  <si>
    <t>SELECT</t>
  </si>
  <si>
    <t xml:space="preserve"> Citations</t>
  </si>
  <si>
    <t>Applied for Citations</t>
  </si>
  <si>
    <t>Dr. R.K.Sangeetha</t>
  </si>
  <si>
    <t>Ferromagnetic, Optical and Photoluminescence Behavior of Ni-Doped ZnO Thin Flims</t>
  </si>
  <si>
    <t xml:space="preserve">Dr.A.Sivakami
</t>
  </si>
  <si>
    <t>Applied for Citations(10)</t>
  </si>
  <si>
    <t>Dr.V.Arul</t>
  </si>
  <si>
    <t>ESCI Publication</t>
  </si>
  <si>
    <t>Hybrid Machine Learning Technique to Detect Active Botnet Attacks for Network Security and Privacy</t>
  </si>
  <si>
    <t>Dr.T.Thamaraimanalan</t>
  </si>
  <si>
    <t>SCI Publication/Conference</t>
  </si>
  <si>
    <t>Design and Analysis of AI based Autonomous Waste Segregator using Deep Learning</t>
  </si>
  <si>
    <t>Dr. N. Muthukumaran</t>
  </si>
  <si>
    <t>Smart Borewell Rescue and Monitoring System Using Arduino</t>
  </si>
  <si>
    <t>Dr. D. Sathish Kumar</t>
  </si>
  <si>
    <t>SCI Publication,</t>
  </si>
  <si>
    <t>Binomial distribution based grey wolf optimization algorithm for channel estimation in wireless communication system</t>
  </si>
  <si>
    <t>Dr.S.Dhana Sekaran</t>
  </si>
  <si>
    <t>A Novel Area Efficient TIEO based Reversible Logic Gates in QCA Paradigm</t>
  </si>
  <si>
    <t>An Effective Energy-Based Data Collection Method to Extend WSN Lifetime</t>
  </si>
  <si>
    <t>Mr.A.Mohanraj</t>
  </si>
  <si>
    <t>Early Fault Detection in Solar Panels Using Machine Learning Technique</t>
  </si>
  <si>
    <t>M.Abinaya</t>
  </si>
  <si>
    <t>MECH</t>
  </si>
  <si>
    <t>Investigation on topology-optimized compressor piston by metal additive manufacturing technique: Analytical and numeric computational modeling using finite element analysis in ANSYS</t>
  </si>
  <si>
    <t>Dr.S.Ganeshkumar</t>
  </si>
  <si>
    <t>Book Chapter</t>
  </si>
  <si>
    <t>Integrated Machine Learning Approach for Healthcare Disabilities Tracing and Detection: Applied Intelligent Techniques</t>
  </si>
  <si>
    <t>Efficient luma modification-based chroma down-sampling and novel luma down-sampling with adaptive interpolation</t>
  </si>
  <si>
    <t>An energy efficient clustering with enhanced chicken swarm optimization algorithm with adaptive position routing protocol in mobile adhoc network</t>
  </si>
  <si>
    <t>An area efficient vedic multiplier for FFT processor implementation using 4-2 compressor adder</t>
  </si>
  <si>
    <t>MATHS</t>
  </si>
  <si>
    <t>Citations</t>
  </si>
  <si>
    <r>
      <rPr>
        <sz val="12"/>
        <color theme="1"/>
        <rFont val="Cambria"/>
      </rPr>
      <t xml:space="preserve">An investigation on the existence and approximate controllability of neutral stochastic hemivariational inequalities 
</t>
    </r>
    <r>
      <rPr>
        <b/>
        <sz val="12"/>
        <color theme="1"/>
        <rFont val="Cambria"/>
      </rPr>
      <t xml:space="preserve">Applied for Citations 10
</t>
    </r>
  </si>
  <si>
    <t>Scopus Journal</t>
  </si>
  <si>
    <t xml:space="preserve">SCI Publication, Conference </t>
  </si>
  <si>
    <t>UTILIZATION OF REDUCED SWITCH COMPONENTS WITH DIFFERENT TOPOLOGIES IN MULTI LEVEL INVERTER FOR RENEWABLE ENERGY APPLICATIONS A DETAILED REVIEW</t>
  </si>
  <si>
    <t>Applied for Citations(20)</t>
  </si>
  <si>
    <t>Ms.N.Pushpalatha</t>
  </si>
  <si>
    <t>SCI Publication and 40 citations</t>
  </si>
  <si>
    <t>Study of Microwave and Wear Resitance of AA5052/B4C Nanocomposites as a Function of Volume Fraction Reinforecement to Particle Size Ratio by ANN</t>
  </si>
  <si>
    <t>SCI Publication(6)</t>
  </si>
  <si>
    <t>1.Study of microstructural and Mechanical properties of Aluminium LM14 hybridized with reinforcement of Nanoparticles of Titanium Diboride and Alumina                              2.Experimental analysis of AA7475/ZrC/Al2O3 hybrid composites by taguchi method              3.Halloysite Nanotubes (HNTs)-Reinforced Natural Rubber (NR)/Ethylene-Propylene-Diene Monomer (EPDM) Composite                                                 4.Smart Operating Range Monitoring of Solar PV Cell with Integrated Phase Change Materials by Using Solar Deep Learning Model                      5.Smart Performance Evolution of a Solar Water Heating System with PCM by Using Deep Learning Approach                                                             6.Solar Energy Measurement and Monitoring Model by Using Internet of Things</t>
  </si>
  <si>
    <t xml:space="preserve">Mohamed Abbas*
Mechanical, fracture-deformation, and tribology
behavior of fillers-reinforced sisal fiber
composites for lightweight automotive
applications
</t>
  </si>
  <si>
    <t>Embedded based Smart Accident Pre-Alert and Prevention System with Machine Learning</t>
  </si>
  <si>
    <t>Ms.G.Dency Flora</t>
  </si>
  <si>
    <t>Hybrid Advisory Weight based
 dynamic scheduling framework to 
ensure effective communication
 using acknowledgement 
during Encounter 
strategy in Ad-hoc network</t>
  </si>
  <si>
    <t>Prediction of Tool Wear Using Machine Learning Approaches
for Machining on Lathe Machine</t>
  </si>
  <si>
    <t>Dr.Bipin Kumar Singh</t>
  </si>
  <si>
    <t>Sustainable Farming and Customized
 Livestock Management 
Using Internet of Things</t>
  </si>
  <si>
    <t>Mr.M.Mahaboob</t>
  </si>
  <si>
    <t>SCI Publication(2)</t>
  </si>
  <si>
    <t xml:space="preserve">Data dissemination protocol for
VANETs to optimize the routing path
using hybrid particle swarm
optimization with sequential variable
neighbourhood search
</t>
  </si>
  <si>
    <t>Dr.S.Ramalingam</t>
  </si>
  <si>
    <t>Efficient Distance and Connectivity Based Traffic
Density Stable Routing Protocol for Vehicular Ad
Hoc Networks</t>
  </si>
  <si>
    <t>Deep Regression Network for Single-Image Super-Resolution Based on Down- and Upsampling with RCA Blocks.</t>
  </si>
  <si>
    <t>Reverse Polarity Optical Orthogonal Frequency Division Multiplexing for High-Speed Visible Light Communications System.</t>
  </si>
  <si>
    <t>Performance analysis of SSRR in high-speed terahertz anatenna for biomedical applicartions.</t>
  </si>
  <si>
    <t>Copper oxide-anchored ZnO nanoflakes for the enhanced photocatalytic degradation performance and Mechanistic investigations</t>
  </si>
  <si>
    <t>Applied for Citations 10</t>
  </si>
  <si>
    <t>Approximate controllability analysis of impulsive neutral functional hemivariational inequalities</t>
  </si>
  <si>
    <t>RSA based improved YOLOv3 network for segmentation and detection of weed species</t>
  </si>
  <si>
    <t>Doing PhD</t>
  </si>
  <si>
    <t>User preference Based Personalized Collaborative Filtering for Large Scale Recommender Systems</t>
  </si>
  <si>
    <t>Mrs.J.Keerthika</t>
  </si>
  <si>
    <t>Meta Learning based Pneumonia detection using stacking ensemble of CNN Snapshots</t>
  </si>
  <si>
    <t>Automated Plant Leaf Classification using Ensemble Transfer Learning in CNN model</t>
  </si>
  <si>
    <t>A Study of dynamic threshold energy detection in Spectrum Sensing techniques in CRN</t>
  </si>
  <si>
    <t>Adversarially Trained Variational Auto-Encoders With Maximum Mean Discrepancy based Regularization</t>
  </si>
  <si>
    <t>Dr.S.Ananthi</t>
  </si>
  <si>
    <t>A Novel Approach for Vehicular Accident Detection and Rescue Alert System using IoT with Convolutional Neural Network</t>
  </si>
  <si>
    <t>Intelligent Home Surveillance System using Convolution Neural Network Algorithms</t>
  </si>
  <si>
    <t>Drivers Drowsiness Detection using Image Processing and I-Ear Techniques</t>
  </si>
  <si>
    <t>Urban Waste water management Paradigm evolution: Decentralization,resource recovery and water reclamation and reuse</t>
  </si>
  <si>
    <t>Qos-Aware Task Scheduling In Cloud-Edge Environment</t>
  </si>
  <si>
    <t>Ms.Suchitra</t>
  </si>
  <si>
    <t>Prevention Of Aflatoxin In Peanut Using Naïve Bayes Model</t>
  </si>
  <si>
    <t>An Evaluation of Ubiquitous Service Discovery and Remote Management in Ad-Hoc Network</t>
  </si>
  <si>
    <t>Applied for Citations(30)</t>
  </si>
  <si>
    <t>An effective healthcare monitoring system in an IoMT environment for heart disease detection using the HANN model</t>
  </si>
  <si>
    <t>Dr.S.Palanivel Rajan</t>
  </si>
  <si>
    <t>A comprehensive review of the energy efficiency on nano coated fin and tube condenser</t>
  </si>
  <si>
    <t>Dr.V.Naveenprabhu</t>
  </si>
  <si>
    <t>Improved K-means Clustering Algorithm with Wireless Networks to Increase the Production in the Automobile Industry</t>
  </si>
  <si>
    <t>Ms.T.Jayapratha</t>
  </si>
  <si>
    <t>A Novel investigation for a prediction of Intellect tumor and categorization by CNN based on ResU-Net Architecture</t>
  </si>
  <si>
    <t>Ms.A.Suganya Mahalakhsmi</t>
  </si>
  <si>
    <t>Hyers-ulam Stability of fractional stochastic differential equations with random impulse</t>
  </si>
  <si>
    <t>Dr.S.Varshini</t>
  </si>
  <si>
    <t>Existence and Hyers-Ulam Stability of Stochastic Integro-differential Equations with Random Impulse</t>
  </si>
  <si>
    <t>A review on the investigation of Hydrocyclone Performance by shape optimization</t>
  </si>
  <si>
    <t>Mr.A.Vimal</t>
  </si>
  <si>
    <t>Investigation on the 1-kW Francis turbine elbow type draft tube performance by numerical and optimisation approach</t>
  </si>
  <si>
    <t>Mr.K.Sathish</t>
  </si>
  <si>
    <t>Nano indentation studies on ceramic thinfilms coatings deposited using sputtering process for energy applications</t>
  </si>
  <si>
    <t>Energy, economics and environmental (3E's) analysis of a solar-assisted HRES through demand side management</t>
  </si>
  <si>
    <t>Digital Twin Framework for Lathe Tool Condition Monitoring in Machining of Aluminium 5052</t>
  </si>
  <si>
    <t>Comparative study among Al2O3, ZTA, MgO/ZTA &amp; CuO/ZTA composites interms of Mechanical Properties</t>
  </si>
  <si>
    <t>Existence and Controllability Results for Higher Order Caputo Fractional Damping System with Impulses</t>
  </si>
  <si>
    <t>Dr.M.Tamilarasi</t>
  </si>
  <si>
    <t>Modified Penguin search Algorithm to Improve Feature Selection in Wireless Sensor Network</t>
  </si>
  <si>
    <t>Ms.B.Anuradha</t>
  </si>
  <si>
    <t>Control Strategy for Power Sharing in a Microgrid using Wind/Fuel Cell Hybrid System</t>
  </si>
  <si>
    <t>Mr.S.Surenderkumar</t>
  </si>
  <si>
    <t>Data Security Analysis of PHY Layer Using Artificial Intelligence and Machine Learning</t>
  </si>
  <si>
    <t>Blind reconfigurable intelligent surface-aided fixed non-orthogonal multiple access for intelligent vehicular networks</t>
  </si>
  <si>
    <t xml:space="preserve">Dr.C.Suganthi Evangeline </t>
  </si>
  <si>
    <t>Analysis of ECG Noise Cancellation and Abnormality Classification using Various Adaptive Algorithms</t>
  </si>
  <si>
    <t>Dr.V.V.Teresa</t>
  </si>
  <si>
    <t>Swarm Intelligence-Inspired Meta-Heuristics Hybrid Optimization for Multi-Constraint Routing in Vehicular Adhoc Networks</t>
  </si>
  <si>
    <t>An improved pilot pattern design-based channel estimation in wireless communication using distribution ant colony optimization</t>
  </si>
  <si>
    <t>A secure framework for managing data in cloud storage using rapid asymmetric maximum based dynamic size chunking and fuzzy logic for deduplication</t>
  </si>
  <si>
    <t>Recent Advances in the Production of Pharmaceuticals using Selective Laser Sintering</t>
  </si>
  <si>
    <t>No more privacy Concern: A privacy-chain based homomorphic encryption scheme and statistical method for privacy preservation of user's private and sensitive data</t>
  </si>
  <si>
    <t>Dr.G.Sathish Kumar</t>
  </si>
  <si>
    <t>An Expert System for Insulin Dosage Prediction using Machine Learning &amp; Deep Learning Algorithms</t>
  </si>
  <si>
    <t>Titanium oxide decorated zinc oxide nanoparticles for dye-sensitized solar cell and heterojunction diode applications</t>
  </si>
  <si>
    <t>Dr.C.Vivek</t>
  </si>
  <si>
    <t>Dr.S. R. Ashok Kumar</t>
  </si>
  <si>
    <t>A Decision Science Approach Using Hybrid EEG Feature Extraction and GAN-Based Emotion classification</t>
  </si>
  <si>
    <t>Map Building of Indoor Environment with sensors using neural Network</t>
  </si>
  <si>
    <t>Dr.S.Angel Latha Mary</t>
  </si>
  <si>
    <t>Deep Learning modified neural networks with chicken swarm optimization-based lungs disease detection and severity classification</t>
  </si>
  <si>
    <t>Deep Learning-based feature selection and prediction system for autism spectrum disorder using a hybrid meta-heuristics approach</t>
  </si>
  <si>
    <t>Mr.K.Cholaraja</t>
  </si>
  <si>
    <t>Intelligent RBF-Fuzzy Controller Based Non-Isolated DC-DC Multi-Port Converter for Renewable Energy Applications</t>
  </si>
  <si>
    <t>Design and Analysis of 5G Antenna with Defective Ground Structure</t>
  </si>
  <si>
    <t>Mr.J.Dhanasekar</t>
  </si>
  <si>
    <t>Monitoring of wireless Network System-based Autonomous Farming Using IoT Protocols</t>
  </si>
  <si>
    <t>Ms.D.Faridha Banu</t>
  </si>
  <si>
    <t>Temperature based Hand Sanitizer Dispenser Integrated by IoT for Industry 4.0</t>
  </si>
  <si>
    <t>A power-efficient pipeline based clock gating FIFO for a dual ported memory array</t>
  </si>
  <si>
    <t>Examining the Eco-Friendly possibilities of Hexabenzocoronene as a component in Field-Effect transistors and Solar cells in organic electronics</t>
  </si>
  <si>
    <t>Dr.Rajesha Narasimha Murthy</t>
  </si>
  <si>
    <t>Particle swarm optimization based artificial n eural network (PSO-ANN) model for effective k-barrier count intrusion detection system in WSN</t>
  </si>
  <si>
    <t>Dr.V.Kiruthika</t>
  </si>
  <si>
    <t>Intelligent Fuel Pump System with RFID and the Internet of Things</t>
  </si>
  <si>
    <t>A Novel partial sequence technique based Chaotic biogeography optimization for PAPR reductuion in eneralized frequency division multiplexing waveform</t>
  </si>
  <si>
    <t>Analysis of Wave Propagation in Hybrid Metamaterial Structure for Terahertz Applications</t>
  </si>
  <si>
    <t>Spiking Neural Networks for Robotic Applications</t>
  </si>
  <si>
    <t>Current trends, regulations, challenges, and management strategies of e-waste in India</t>
  </si>
  <si>
    <t>Simulation of metal ceramic single layer coatings for solar energy applications</t>
  </si>
  <si>
    <t>Comparative analysis of experimental and numerical investigation on multiple projectile impact of AA5083 friction stir welded targets</t>
  </si>
  <si>
    <t>Biologically Inspired SNN for Robot Control</t>
  </si>
  <si>
    <t>New Tetrapropylammonium Tetrabromozincate Complex[(C3H7)4N]2ZnBr4(II) - Synthesis, Spectral, Thermal characterization and Antioxidant Activity</t>
  </si>
  <si>
    <t>A survey on Ultra-Wideband Antennas for Biomedical Applications</t>
  </si>
  <si>
    <t>Dr.S.Dhamodharan</t>
  </si>
  <si>
    <t>Prediction of skin cancer using convolutional neural network (cnn)</t>
  </si>
  <si>
    <t>Vlsi implementation of neural systems</t>
  </si>
  <si>
    <t>Energy and performance analysis of robotic applications using artificial neural network</t>
  </si>
  <si>
    <t>Mr.A.Ramesh</t>
  </si>
  <si>
    <t>Implementing BeagleBone Black as a Single Board Computer by Transferring E-mail using SMTP</t>
  </si>
  <si>
    <t>Mr.E.Venugopal</t>
  </si>
  <si>
    <t>Design of Hybrid UAV with Multi Rotor Propulsion System</t>
  </si>
  <si>
    <t>Scopus</t>
  </si>
  <si>
    <t>An optimized back propogation neural network for automated evaluation of health condition using sensor data</t>
  </si>
  <si>
    <t>Hybrid RF and PCA method: The number and Posture of piezoresistive sensors in a multifunctional technology for respiratory monitoring</t>
  </si>
  <si>
    <t>ECG Signal Feature Extraction and SVM Classifier Based Cardiac Arrhythmia Detection</t>
  </si>
  <si>
    <t>Applied for Citations(40)</t>
  </si>
  <si>
    <t>Book</t>
  </si>
  <si>
    <t>Neuromorphic Computing Systems for Industry 4.0</t>
  </si>
  <si>
    <t>Introduction to Neuromorphic Computing Systems</t>
  </si>
  <si>
    <t>Analysis of the Requirement and Artificial Intelligence-based Resource Management System in Cloud</t>
  </si>
  <si>
    <t>Scopus Publication</t>
  </si>
  <si>
    <t>Smart Multi Verification Based Security System</t>
  </si>
  <si>
    <t>Reliable hybrid deep learning technique for an effective spectrum sensing in cognitive radio</t>
  </si>
  <si>
    <t>Mechanical and Morphological Behaviour of Holoptelea Integrifolia Fibre reinforced with siC particulars hybrid polymer epoxy composites</t>
  </si>
  <si>
    <t>Dynamic behaviour and microstructure evolution of Zro2 particle reinforced aluminium alloy ceramics matrix composites</t>
  </si>
  <si>
    <t>Energy Optimization in additive manufacturing based on cluster-aware enhanced spider monkey optimization</t>
  </si>
  <si>
    <t>Exploring the potential of nano technology: A assessment of nano-scale multi-layered-composite coatings for cutting tool performance</t>
  </si>
  <si>
    <t>Comparative assessment over the selection of lean supply chain practices through fuzzy integrated principal component analysis, gray relational analysis, and complex proportional assessment approaches</t>
  </si>
  <si>
    <t>Trajectory Controllability of Clarke Subdifferential-Type Conformable Fractional Stochastic Differential Inclusions with Non-Instantenous Impulsive Effects and Deviated Arguments</t>
  </si>
  <si>
    <t>On Fuzzy and Crisp Solutions of a Novel Fractional Pandemic Model</t>
  </si>
  <si>
    <t>Dr.D.Prasantha Bharathi</t>
  </si>
  <si>
    <t>Design and Simulation of a Novel 16T SRAM Cell for Low Power Memory Architecture</t>
  </si>
  <si>
    <t>Crop Recommendation with BiLSTM-MERNN Algorithm for Precision Agriculture</t>
  </si>
  <si>
    <t>Ms.J.Sreemathy</t>
  </si>
  <si>
    <t>An optimal approach to detect retinal diseases by performing segmentation of retinal blood vessels using image processing</t>
  </si>
  <si>
    <t xml:space="preserve">E- Slot Microstrip Patch Antenna for WLAN Applications
</t>
  </si>
  <si>
    <t>Dr.V.S.Akshaya</t>
  </si>
  <si>
    <t xml:space="preserve">Human Intelligence and Value of Machine Advancements in Cognitive Science Human Intelligence and Value of Machine Advancements in Cognitive Science
</t>
  </si>
  <si>
    <t>Investigation on DC Chopper Controlled PMSG Driven Horizontal Axis Wind Turbine</t>
  </si>
  <si>
    <t>Enterprise Data</t>
  </si>
  <si>
    <t xml:space="preserve">A Comprehensive Study Of Ai-Based Optimal Potential Point Tracking For Solar Pv Frameworks
</t>
  </si>
  <si>
    <t xml:space="preserve">An artificial intelligence approach for energy-aware intrusion detection and secure routing in internet of things-enabled wireless sensor networks
</t>
  </si>
  <si>
    <t>Nb Ions Induced Morphology and Enhanced Photoelectrochemical Functionalities from 3D Zn Nb O Nanostructures</t>
  </si>
  <si>
    <t>Multiple Disease Prediction by Applying Machine Learning and Deep Learning Algorithms</t>
  </si>
  <si>
    <t>Disease Prediction in humans using Machine Learning Techniques- A Survey</t>
  </si>
  <si>
    <t>Dr.Anju Asokan</t>
  </si>
  <si>
    <t>On New Solutions of Fuzzy Hybrid Differential Equations by Novel Approaches</t>
  </si>
  <si>
    <t>Analysis of Dengue Transmission Dynamic Model by Stability and Hopf Bifurcation with Two-Time Delays</t>
  </si>
  <si>
    <t>Evolution of Borophene as a Smart 2-Dimensional Material for Biomedical Applications</t>
  </si>
  <si>
    <t>Removal of Colours in Textile Wastewater by Electrochemical Methods: A Review</t>
  </si>
  <si>
    <t>Applied for Citations 20</t>
  </si>
  <si>
    <t>Results on Neutral Integrodifferential System Using Krasnoselskii-Schaefer Theorem with Initial Conditions</t>
  </si>
  <si>
    <t>An outlook on the controllability of non instantaneous impulsive neutral fractional nonlocal systems via Atangana–Baleanu–Caputo derivative</t>
  </si>
  <si>
    <t>Controllability Results of Hilfer Fractional Derivative Through Integral Contractors</t>
  </si>
  <si>
    <t>A Novel epilepsy seizure prediction model using deep learning and classification</t>
  </si>
  <si>
    <t>A Finger Vein Image-Based Person Recognition System Using BCH Codes To Access Medical Records</t>
  </si>
  <si>
    <t>Dr.R.Menaha</t>
  </si>
  <si>
    <t>Design of water distribution pipes alongsidemodeling and simulation of water distribution system for efficientmanagement</t>
  </si>
  <si>
    <t>Designing, Modeling, and Fabrication of a Novel Solar-Concentrating Spittoon against COVID-19 for Antibacterial Sustainable Atmosphere</t>
  </si>
  <si>
    <t>Enhancement of thermal efficiency and development of Nusselt number correlation for the solar air heater collector roughened with artificial ribs for thermal applications</t>
  </si>
  <si>
    <t>Reinforcing potential of MWCNTs on Mechanical and machining performance of hot-pressed ZTA-MgO ceramic cutting inserts</t>
  </si>
  <si>
    <t>Smart Automated Kitchen System using Internet of Things</t>
  </si>
  <si>
    <t>Performance and emissions parameters optimization of thermal barrier coated engine tested with Tamanu blended diesel fuel: a novel emission pollution-preventive approach</t>
  </si>
  <si>
    <t>Dr.Y.Sureshbabu</t>
  </si>
  <si>
    <t>Leaf Disease identification using ResNet</t>
  </si>
  <si>
    <t>Ms.K.Agalya</t>
  </si>
  <si>
    <t>Crop Yield Identification using CNN</t>
  </si>
  <si>
    <t>An Effective Deep Learning based Recommender System with user and item embedding</t>
  </si>
  <si>
    <t>Energy efficient data fusion approach using squirrel search optimization and recurrent neural network</t>
  </si>
  <si>
    <t>Analog/RF Performance Analysis of TFET Device</t>
  </si>
  <si>
    <t>Analog/RF Performance Evaluation of InAs-InGaAs-GAA-TFET</t>
  </si>
  <si>
    <t>Performance analysis of stacked Nano sheet at gate length of 10nm at linear and saturation region</t>
  </si>
  <si>
    <t>Estimation of a Channel Model and Power Control Scheme for Radio Environment based on Multiple Access</t>
  </si>
  <si>
    <t>Spectrum Sensing Framework and Energy-Efficient Resource Allocation for Cognition Enhancement Network</t>
  </si>
  <si>
    <t>An Empirical performance assessment of infrared thermography for real-time monitoring of electrical systems in the coco fibre industry</t>
  </si>
  <si>
    <t>Traffic Assistance and Control System - An RFID Approach</t>
  </si>
  <si>
    <t>Home Monitoring System using Internet of Things</t>
  </si>
  <si>
    <t>Performance analysis of alternating minimization based low complexity detection for MIMO communication system</t>
  </si>
  <si>
    <t>ANFIS-based Multilayered Algorithm for Botnet Detection</t>
  </si>
  <si>
    <t>A DT Framework based AI Robot for Facial Recognition using IoT</t>
  </si>
  <si>
    <t>ECG R-R Interval Automatic Detection Using IOT</t>
  </si>
  <si>
    <t>Performance Analysis and Comparison of Speaker Independent Isolated Speech Recognition System</t>
  </si>
  <si>
    <t>Improving the quality and performance of wireless Ad-Hoc network by Using MMCN Architecture</t>
  </si>
  <si>
    <t>Smart Grid Peer-to-Peer Exchanging Energy System using Block Chain</t>
  </si>
  <si>
    <t>Dr.B.Selvakumar</t>
  </si>
  <si>
    <t>Anticorrosion behavior of bioemulsions on metal-environment interface</t>
  </si>
  <si>
    <t>On a Novel Dynamics of a SIVR Model Using a Laplace Adomian Decomposition Based on a Vaccination Strategy</t>
  </si>
  <si>
    <t>An Exploration of controllability on Hilfer Fractional system via integral contractor</t>
  </si>
  <si>
    <t>Effect of mol. % of Yttria in Zirconia matrix alongside a comparative study among YSZ, alumina &amp; ZTA ceramics in terms of Mechanical and functional properties</t>
  </si>
  <si>
    <t>Applied for Citations (10)</t>
  </si>
  <si>
    <t>A Critical Analysis of the Block Chain in Manufacturing System Implementation</t>
  </si>
  <si>
    <t>Modeling and Performance Evaluation for Intelligent Internet og Intelligence Things</t>
  </si>
  <si>
    <t>Analysis of the Requirement and Architecture for Internet of Drones</t>
  </si>
  <si>
    <t>A Review of Applications, Enabling Technologies, Growth Challenges and Solutions for IoT/IIoT</t>
  </si>
  <si>
    <t>Implementation of Lean six sigma (LSS) techniques for tyre manufacturing in small and medium-sized enterises</t>
  </si>
  <si>
    <t>An Efficient Framework on Encoding/Decoding Scheme for CDMA Network on Chip</t>
  </si>
  <si>
    <t>Plant Leaf Diseases Detection Using KNN Classifier</t>
  </si>
  <si>
    <t>Design and Simulation of Microstrip Patch Antenna Using Circular Structure</t>
  </si>
  <si>
    <t>Energy-efficient resource allocation model for device-to-device communication in 5G wireless personal area networks</t>
  </si>
  <si>
    <t>Dr.N.Shanmugasundaram</t>
  </si>
  <si>
    <t>An Enhanced Deep Learning Model for Handwritten Tamil Character Identification</t>
  </si>
  <si>
    <t>Dr.R.Babitha Lincy</t>
  </si>
  <si>
    <t>Design and Analysis of CNN based Residue Number System fir Performance Enhancement</t>
  </si>
  <si>
    <t>High-Performance Computing Based on Residue Number System: A Review</t>
  </si>
  <si>
    <t>An Adaptive transformer model for anomaly detection in wireless sensor networks in real-time</t>
  </si>
  <si>
    <t>Deep Learning based Rice Plant Disease Identification with Transfer Learning</t>
  </si>
  <si>
    <t>Big Data analytics with Deep Learning based Intracranial Haemorrphage Diagnosis and Classification Model</t>
  </si>
  <si>
    <t>Electric Vehicle Charging Station with Effective Energy Management, Integrating Renewable and Grid Power</t>
  </si>
  <si>
    <t>Gesture-Based Control of a Bionic Arm - A Prototype Design</t>
  </si>
  <si>
    <t>A Complete Appraisal of Various Emerging Battery Technology Along with its Own Attributes</t>
  </si>
  <si>
    <t>IoT Based Fish Food Dispenser</t>
  </si>
  <si>
    <t>Optimization and Power Delay Analysis of Different Full Adder Circuits</t>
  </si>
  <si>
    <t>Blockchain-based Wireless Sensor Network Security Through Authentication and Cluster Head Selection</t>
  </si>
  <si>
    <t>Design of Power Delay Efficient Wallace Muliplier</t>
  </si>
  <si>
    <t>Heuristics-based sequence labelling model for finding educational domain acronym expansions</t>
  </si>
  <si>
    <t>Design of Power and Delay Efficient Fault Tolerant Adder</t>
  </si>
  <si>
    <t>Mr.M.Vivek Kumar</t>
  </si>
  <si>
    <t>Design of Circular Ring Shaped UWB Antenna For BANs and MI Applications</t>
  </si>
  <si>
    <t>Performance studies on a water chiller equipped with natural fiber cooling pad based evaporative condenser</t>
  </si>
  <si>
    <t xml:space="preserve">Lung_RUNET: a Segmentation Framework for Lung Nodules
</t>
  </si>
  <si>
    <t xml:space="preserve">An efficient Heart-Disease Prediction System using Machine Learning and Deep Learning Techniques
</t>
  </si>
  <si>
    <t xml:space="preserve">On the design of miniaturized C-shaped antenna based on artificial transmission line loading technique
</t>
  </si>
  <si>
    <t>Role of Technology on the Management of Transportation</t>
  </si>
  <si>
    <t>A Concept-based Ontology Mapping Method for Effective Retrieval of Bio-Medical Documents</t>
  </si>
  <si>
    <t>Monitoring and Warning of Flooding Conditions Using IoT Based System</t>
  </si>
  <si>
    <t>Design and Implementation of IoT Based Energy Efficient Smart Metering System for Domestic Applications</t>
  </si>
  <si>
    <t>Certain Investigation of Optimization methods of sensor nodes in Biomedical Recording Systems</t>
  </si>
  <si>
    <t>On v-Level Interval of Fuzzy Set for Fractional Order Neutral Impulsive Stochastic Differential System</t>
  </si>
  <si>
    <t>Ms.M.M.Shalini</t>
  </si>
  <si>
    <t>Detection of Underground Object Using Ground Penetrating Radar</t>
  </si>
  <si>
    <t>A Surbey of Efficient Light Weight Cryptography Algorithm for Internet of Medical Things</t>
  </si>
  <si>
    <t>A Survey of breast Cancer Detection Using Medical Imaging Techniques</t>
  </si>
  <si>
    <t>Fabrication of Solid-state aluminosilicate for ammonia gas detection in ambient temperature</t>
  </si>
  <si>
    <t>Artificial Intelligence (AI) Based Secured Framework to Improvise the Data Security of Confidential Academic Records</t>
  </si>
  <si>
    <t>Biomass derived nitrogen functionalized carbon nanodots for nanomolar determination of levofloxacin in pharmaceutical and water samples</t>
  </si>
  <si>
    <t>Disease Cluster Specific Learning for Patient Treatment Prediction on High Dimensional HER Data</t>
  </si>
  <si>
    <t>Ms.G.G.Sreeja</t>
  </si>
  <si>
    <t>Improved Particle Swarm Optimization Based Distributed Energy-Efficient Opportunistic Algorithm for Clustering and Routing in WSNs</t>
  </si>
  <si>
    <t>An analysis of network Security Attacks and their mitigation for Cognitive Radio Communication</t>
  </si>
  <si>
    <t>Ms.N.Gayathri</t>
  </si>
  <si>
    <t>An Investigation on Spectrum Mobility Mechanisms in Cognitive Network Communication</t>
  </si>
  <si>
    <t>A Novel Framework for Smart Classroom Lecture Attendance Management System (LAMS) using IOT</t>
  </si>
  <si>
    <t>A Novel Approach for Test Pattern Generation using ALU</t>
  </si>
  <si>
    <t>An Efficient Clock Gated RSFQ Matrix Multiplier through FPGA Implementation</t>
  </si>
  <si>
    <t>Optoelectronic and Hydrogen Gas-Sensing Applications of Ultrasonically Fabricated ZnO-Au Nanoparticle-Decorated MWCNTs</t>
  </si>
  <si>
    <t>Lung Lobe Segmentation and Feature Extraction-Based Hierarchial Attention Network for COVID-19 Prediction from Chest X-Ray Images</t>
  </si>
  <si>
    <t>Ms.Christina Magenta</t>
  </si>
  <si>
    <t>A Study on the functionality of PID and Fuzzy Logic Controllers for Quadratic Boost Converter (Qbc)</t>
  </si>
  <si>
    <t>Trust-Based Blockchain for Improving supply chain communication in Internet of Vehicles</t>
  </si>
  <si>
    <t>Hybrid K-Medoids with Energy-Efficient Sunflower Optimization Algorithm for Wireless Sensor Networks</t>
  </si>
  <si>
    <t>Non-Invasive Performance Investigation of Single-Phase Induction Motor under Rotor Fault and Mechanical Bearing Failure</t>
  </si>
  <si>
    <t>Mr.C.Mohan Raj</t>
  </si>
  <si>
    <t>Smart Dimensional Measurement and Material Transportation (SDMMT) System using Artificial Intelligence</t>
  </si>
  <si>
    <t>Remote Intelligent System for Monitoring and Control of Water Distribution Network Using Remote I/O Module for Smart City</t>
  </si>
  <si>
    <t>A XGBOOOST Based Algorithm for Early prediction of Human Sepsis</t>
  </si>
  <si>
    <t>Hybrid TABU search with SDS based feature selection for lung cancer prediction</t>
  </si>
  <si>
    <t>Hybrid Cluster head Selection Approach for Node Lifetime Enhancement in Wireless Sensor Networks</t>
  </si>
  <si>
    <t>Blockchain  based Healthcare Data Management</t>
  </si>
  <si>
    <t>A Computational model for medical image retrieval using orthogonal moment</t>
  </si>
  <si>
    <t>A Novel Hybrid clustering Model For Wireless Sensor Networks</t>
  </si>
  <si>
    <t>Wireless Fuel Measurement System Using UWB</t>
  </si>
  <si>
    <t>Fraud Account Detection on Social Network using Machine Learning Techniques</t>
  </si>
  <si>
    <t>An Efficient Phishing Attack Detection using Machine Learning Algorithms</t>
  </si>
  <si>
    <t>Online Automobile Rental and E-Marketplace with Augmented Reality (AR)</t>
  </si>
  <si>
    <t>Multi-layer perceptron's neural network with optimization algorithm for greenhouse gas forecasting systems</t>
  </si>
  <si>
    <t>Classification of Normal and Cancer Cellsby Using Signal Processing Techniques-A Survey</t>
  </si>
  <si>
    <t>Detection of Early Fault in Power Electronic Converters through Machine Learning and Data Mining techniques</t>
  </si>
  <si>
    <t>A brief review on improving materials particulates using cyclone separator by geometrical turbulence factors</t>
  </si>
  <si>
    <t>Mr.R.Vivek</t>
  </si>
  <si>
    <t>Investigation on silane modification and interacial UV aging of flax fibre reinforced with polystyrene composite</t>
  </si>
  <si>
    <t>A comparative study on Annealing and phase transition effect in SS 304 and SSLNA from low Nickel Austenite to Martensite</t>
  </si>
  <si>
    <t>Experimental Investigation of hybrid composites using biowastes and calotropis giganta: an eco-friendly approach</t>
  </si>
  <si>
    <t>Concrete with sisal fibered geopolymer: a behavioral study</t>
  </si>
  <si>
    <t>Enhancement of optoelectric properties of PbS thin films grown by Jet nebulizer spray pyrolysis technique for photodetector applications: an impact of substrate temperature</t>
  </si>
  <si>
    <t>Tool condition monitoring by quality during the micro milling process by using IoT and AI</t>
  </si>
  <si>
    <t>Dr.S.Sampath Kumar</t>
  </si>
  <si>
    <t>A Survey of Resource Management in IOT Data Centre: Techniques and Open Issues</t>
  </si>
  <si>
    <t>Comparison of Artificial Neural Network Techniques in Prediction of Wind Speed using Combinations of Metrological Variables</t>
  </si>
  <si>
    <t>Dr.W.Rajan Babu</t>
  </si>
  <si>
    <t>MSCP Based Rotor Faults and Mechanical Bearing Failure Identification in Induction Motor using Power Quality Analyzer</t>
  </si>
  <si>
    <t>MSCP Based Stator Fault Identification in Induction Motor using power Quality Analyzer</t>
  </si>
  <si>
    <t>Design and Development of Human Temperature Measuring System Using Drone Based Multispectral and Thermal Images</t>
  </si>
  <si>
    <t>Design and Method of an Agricultural Drone System Using Biomass Vegetation Indices and Multispectral Images</t>
  </si>
  <si>
    <t>Intelligent Movement Tracking Robot</t>
  </si>
  <si>
    <t>Reconfigurable Intelligent Surface Based Microstrip Patch Antenna</t>
  </si>
  <si>
    <t>Machine Learning Based Corporate Climate Change Disclosure in Integrating Institutional and Resource Approach based on Computational method</t>
  </si>
  <si>
    <t>Thermal simulation on friction stir welding of AA6061 aluminium alloy by computational fluid dynamics</t>
  </si>
  <si>
    <t>Application for 3D printing technology for medical implants: a state-of-the-art review</t>
  </si>
  <si>
    <t>Computational Insights on Solvation and hydrogen Bonding Studies of Indomethacin</t>
  </si>
  <si>
    <t>Automated Agronomic Bot for Green Ailment Scanner</t>
  </si>
  <si>
    <t>A Succinct Summary of the Solar MPPT Utilizing a Diverse Optimizing Compiler</t>
  </si>
  <si>
    <t>Analysis of weather monitoring system integrated with renewable energy using IoT technology</t>
  </si>
  <si>
    <t>Analysis and validation of multi-device interleaved DC-DC boost converter for electric vehicle applications</t>
  </si>
  <si>
    <t>IoT and Cloud Server based Industry Power Monitoring and Management System</t>
  </si>
  <si>
    <t>L-RUBI: An efficient load-based resource utilization algorithm for bi-partite scatternet in wireless personal area networks</t>
  </si>
  <si>
    <t>A Comprehensive Review on Gas Leakage Monitoring and Alerting system using IoT Devices</t>
  </si>
  <si>
    <t>An Overview of architecture and applications of IoT-based health care systems</t>
  </si>
  <si>
    <t>Secure E-Will Modeule for Elderly People</t>
  </si>
  <si>
    <t>Sustainable Farming and Customized Livestock Management Using Internet of Things</t>
  </si>
  <si>
    <t>Dye molecules changed the shape, color, texture, and electrical charge of sulphamic acid crystals as they grew</t>
  </si>
  <si>
    <t>Dr.A.Akila</t>
  </si>
  <si>
    <t>Synthesis, characterization, stereochemistry, antibacterial and antioxidant activity of N-chloroacetyle-2,6-diphenylpiperidines</t>
  </si>
  <si>
    <t>Development of Medical Internet of Things with Big Data using RF-BFA and DL in Healthcare System</t>
  </si>
  <si>
    <t>Ms.B.Gomathi</t>
  </si>
  <si>
    <t>Graphene and Fullerene in Energy Storage Devices: A Comprehensive Review</t>
  </si>
  <si>
    <t>Optimizing the Parameters of Spark Plasma Sintering to Enhance the Hardness of Mgo/TiC Composites</t>
  </si>
  <si>
    <t>Green Synthesis, characterizations, and antibacterial activity of silver nanoparticles from Themeda quadrivalvis, in conjugation with macrolide antibiotics against respiratory pathogens</t>
  </si>
  <si>
    <t>Vehicular Network Protocol with IOT in Traffic Scenarios with Safety Requirements-A Review</t>
  </si>
  <si>
    <t>Performance Analysis of Solar Still by Using Octagonal-Pyramid Shape in the Solar Desalination Techniques</t>
  </si>
  <si>
    <t>4th EAI International Conference on Big Data Innovation for Sustainable Cognitive Computing</t>
  </si>
  <si>
    <t>Intelligent data post and read data system like to feed for IoT sensors</t>
  </si>
  <si>
    <t>Defining multiple geometrical areas with modeling of elementary geometrical volumes in robot-environment interaction</t>
  </si>
  <si>
    <t>An Analysis of Software Defined Networks and Possibilities of Network Attacks</t>
  </si>
  <si>
    <t>Health Index Estimation of Wind Power Plant Using neurofuzzy Modeling</t>
  </si>
  <si>
    <t>Node Replication Attack Detection in Distributed Wireless Sensor Networks</t>
  </si>
  <si>
    <t>Cluster-based attacks prevention algorithm for autonomous vehicles using machine learning algorithms</t>
  </si>
  <si>
    <t>Multilayer vectorization to develop a deeper image feature learning model</t>
  </si>
  <si>
    <t>LoRA-IoT based Intelligent Healthcare Device for Physically Challenged People in Hospital Application using Artificial Intelligence</t>
  </si>
  <si>
    <t>AI based E-ATM Security and Surveillance System using BLYNK-loT Server</t>
  </si>
  <si>
    <t>A Hybrid Cross Layer with Harris-Hawk-Optimization-Based Efficient Routing for Wireless Sensor Networks</t>
  </si>
  <si>
    <t>Wireless Electronic Notice Board and Attendance Monitoring System</t>
  </si>
  <si>
    <t>Efficient Power Reduction of Volatile memory Circuits Using Gated Ground and Supply Gated Techniques</t>
  </si>
  <si>
    <t>Energy-Efficient Clustering and Routing Using ASFO and a Cross-Layer-Based Expedient Routing Protocol for Wireless Sensor Networks</t>
  </si>
  <si>
    <t>Biogenic preparation of undoped and heteroatoms doped carbon dots: effect of heteroatoms doping in fluorescence, catalytic ability and multicolour in-vitro bio-imaging applications - A comparative study</t>
  </si>
  <si>
    <t>Estimation of Convolutional Neural Network for sign Language Recognition on Twitter Data</t>
  </si>
  <si>
    <t>A Vulture Model Flapping - Wing with UAV Technology Based - A Novel Drone for Emergency and Safety Purpose Applications</t>
  </si>
  <si>
    <t xml:space="preserve">Brain Tumour Detection using Machine Learning Techniques with Internet of Things </t>
  </si>
  <si>
    <t>Experimental Investigation of Biomass Gasifier Using HTAG Technology</t>
  </si>
  <si>
    <t>Mr.K.Raj Thilak</t>
  </si>
  <si>
    <t>An Investigation on Battery Management System for Autonomous Electric Vehicles</t>
  </si>
  <si>
    <t>Comparative Analysis and Performance Improvement of Modified Forced Convection Solar Dryer with Recirculation of Air</t>
  </si>
  <si>
    <t>A Methodological Approach for the Dual Axis Solar Tracking System</t>
  </si>
  <si>
    <t>Material Handling Using Pick and Place Robot</t>
  </si>
  <si>
    <t>Modeling and simulation of smart power systems using HIL</t>
  </si>
  <si>
    <t>Vaccine Temperature Controller Equipment</t>
  </si>
  <si>
    <t>Smart Cleaning and Spying Robot - A Case Study</t>
  </si>
  <si>
    <t>Traffic Sign Detection using HOG and GLCM with Decision Tree and Random Forest</t>
  </si>
  <si>
    <t>Ms.J.Asha</t>
  </si>
  <si>
    <t>Phd</t>
  </si>
  <si>
    <t>IoT and Artificial Intelligence-based Low-Cost Smart Modules for Smart Irrigation Systems</t>
  </si>
  <si>
    <t>Dr.V.Anand Kumar</t>
  </si>
  <si>
    <t xml:space="preserve"> Smart Application Based Circuit Breaker with Secure Passcode</t>
  </si>
  <si>
    <t>An Overview of Navigation Algorithms for Unmanned Aerial Vehicle</t>
  </si>
  <si>
    <t>Evolutionary Optimization with Deep Transfer Learning for Content based Image Retrieval in Cloud Environment</t>
  </si>
  <si>
    <t>Solar Tree based Smart City Street Light Control System using IoT BLYNK Platform</t>
  </si>
  <si>
    <t>Design of Power and Area Efficient Cary Skip Adder and FIR filter Implementation</t>
  </si>
  <si>
    <t xml:space="preserve">Experimental investigation of weldingparameters to enhance the impactstrength using gas tungsten arc welding
</t>
  </si>
  <si>
    <t>IoT based Mobile application for Power theft detection</t>
  </si>
  <si>
    <t>IoT based Mobile App for Skin Cancer Detection using Transfer Learning</t>
  </si>
  <si>
    <t>Intelligent System for Monitoring Line of Safety in Railway Platforms</t>
  </si>
  <si>
    <t>Finding Experts in Community Question Answering System Using Trie String matching Algorithm with Domain Knowledge</t>
  </si>
  <si>
    <t>Design and analysis of the Chameleon scheduling algorithm for reconfigurable computing</t>
  </si>
  <si>
    <t>Classification of EEG Signals using Machine Learning algorithms</t>
  </si>
  <si>
    <t>Ms.M.Gomathi</t>
  </si>
  <si>
    <t>GLCM Feature Based Texture image classification using Machine learning algorithms</t>
  </si>
  <si>
    <t xml:space="preserve">Initial Stage Identification of Covid-19 using Capsule Networks
</t>
  </si>
  <si>
    <t>Preparation and Characterization of Magneto Rheological Fluid for Vibration Damping</t>
  </si>
  <si>
    <t>Study on Water Absorption Characteristics, Various Chemical Treatments, and Applications of Biological Fiber-Reinforced Ploymer Matrix Composites</t>
  </si>
  <si>
    <t>A Self-adaptable Manta ray optimized gabor filter for satellite image enhancement</t>
  </si>
  <si>
    <t>An Efficient framework for glioma tumor classifications and diagnosis using proposed CNN architecture</t>
  </si>
  <si>
    <t>Scalable and Energy Efficient Cluster Based Anomaly Detection Against Denial of Service Attacks in Wireless Sensor Networks</t>
  </si>
  <si>
    <t>A Review of Machine Learning Algorithms for vibration-based SHM and vision-based SHM</t>
  </si>
  <si>
    <t>Mrs.H.Summia Parveen</t>
  </si>
  <si>
    <t>Misbehaviour Detection based on least square Twin Support Vector Machine in VANETs</t>
  </si>
  <si>
    <t>Design Of A Dense Layered Network Model For Epileptic Seizures Prediction With Feature Representation</t>
  </si>
  <si>
    <t>Sarcasm Identification in text with deep learning models and Glove word embedding</t>
  </si>
  <si>
    <t>Study of Friction and Wear behaviour of Graphene-Reinforced AA7075 Nanocomposites by machine Learning</t>
  </si>
  <si>
    <t>An Adaptive Deep Belief Feature Learning Model for Cognitive Emotion Recognition</t>
  </si>
  <si>
    <t>Mr.S.Yuvaraj</t>
  </si>
  <si>
    <t xml:space="preserve">Fuzzy based local agent routing Protocol for delay conscious MANETSs </t>
  </si>
  <si>
    <t>Driver Drowsiness Detection Using Machine Learning Algorithm</t>
  </si>
  <si>
    <t>Experimental and Finite Element Analyses for High-Speed Machining of AISI 4340 steel with ZTA Insert</t>
  </si>
  <si>
    <t>Soft Computing based Machine Learning Techniques for Optical Communication Networks</t>
  </si>
  <si>
    <t>Ms.S.Karpakam</t>
  </si>
  <si>
    <t xml:space="preserve">SCI Publication </t>
  </si>
  <si>
    <t>A Survey on Additively Manufactured Nanocomposite Biomaterial for Orthopaedic Applications</t>
  </si>
  <si>
    <t>Mr.S.Gowtham</t>
  </si>
  <si>
    <t>Quantum Chemical Studies on SARS-CoV-2- a Review</t>
  </si>
  <si>
    <t>Multi-response optimization of AISI H11 using Taguchi and grey relational analysis</t>
  </si>
  <si>
    <t>Dr.R.Suresh Kumar</t>
  </si>
  <si>
    <t>Effect of ZrB2 Particles on Machining Parameters of AA7475 Alloy- Based Composites by Optimization Technique</t>
  </si>
  <si>
    <t>Effective Intrusion Detection and Classification using Fuzzy Rule based Classifier in Cloud Environment</t>
  </si>
  <si>
    <t>Ms.S.K.Abirami</t>
  </si>
  <si>
    <t>Equilibrium Optimizer with Deep Learning Model for Autism Spectral Disorder Classification</t>
  </si>
  <si>
    <t xml:space="preserve">Optimal Extreme Learning Machine based Traffic Congestion Control System in Vehicular Network
</t>
  </si>
  <si>
    <t>Conditional Generative Adversarial Network Approach for Autism Prediction</t>
  </si>
  <si>
    <t>Numerical Analysis of the Effect of Heat Input in the Spot Welding of Dissimilar materials</t>
  </si>
  <si>
    <t>Wear Behaviour and FESEM Analysis of LM 25 Alloy MMHCs Reinforced with FE3O4 and Gr by Utilizing Taguchi's Technique</t>
  </si>
  <si>
    <t>Impact of Pocket Layer on Linearity and Analog/RF Performance of InAs-GaSb Vertical Tunnel Field-Effect Transistor</t>
  </si>
  <si>
    <t>Friction stir welding evloution, hybrid technologies and shoulder shape</t>
  </si>
  <si>
    <t>A Multicore ECE-Based Automotive Software Domain Combining Runnable Sequencing and Task Scheduling</t>
  </si>
  <si>
    <t>IoT Smart Tracking Device for Missing Person Finder (Women/Child) using ESP32 AI camera and GPS</t>
  </si>
  <si>
    <t>Online Voice based Smart Security and Automation System for Real Time Application using Artificial Intelligence</t>
  </si>
  <si>
    <t>Synthesis of nano-sized lead sulfide thin films from Avocado (Glycosmis cochinchinensis) Leaf extracts to empower pollution remediation</t>
  </si>
  <si>
    <t>Biological approach synthesis and characterization of iron sulfide (FeS) thin films from banana peel extract for contamination of environmental remediation</t>
  </si>
  <si>
    <t>Reduction of environmental chemicals, toxicity and particulate matter in wet scrubber device to achieve zero emissions</t>
  </si>
  <si>
    <t>Synthesis of Plant-Derived Khat Waste for Environmental Application</t>
  </si>
  <si>
    <t>Regression analysis on forward modeling of diffuse optical tomography system for carcinoma cell detection</t>
  </si>
  <si>
    <t>Methods to enhance the thermal properies of organic phase change materials: A review</t>
  </si>
  <si>
    <t>Fracture in self-lubricating inserts: A case study</t>
  </si>
  <si>
    <t>Mechanical Properties and Electrical Resistivity of the Friction Stir Spot-Welded Dissimilar Al-Cu Joints</t>
  </si>
  <si>
    <t>Optimization and Tribological Properties of Hybridized Palm Kernel Shell Ash and Nano Boron Nitride Reinforced Aluminium Matrix Composites</t>
  </si>
  <si>
    <t>Performance and Emission Analysis of Watermelon Seed Oil Methyl Ester and n-Butanol Blends Fueled Diesel Engine</t>
  </si>
  <si>
    <t>Performance of Polyvinyl Alcohol and Polypropylene Fibers under simulated Cementitious Composites Pore Solution</t>
  </si>
  <si>
    <t>Optimization of the Spark Plasma Sintering Process for High-Volume Fraction Tungsten Carbide/AI 2025 Composites</t>
  </si>
  <si>
    <t>Characterization study of Holoptelea integrifolia tree bark fibres reinforced epoxy composites</t>
  </si>
  <si>
    <t>Dynamic Mechanical behaviour of a nano sized alumina fiber reinforced epoxy hybrid composites</t>
  </si>
  <si>
    <t>Computer vision based control of a device using machine learning</t>
  </si>
  <si>
    <t>Machine Learning based Sales Prediction and Characterization using Consumer Perceptions</t>
  </si>
  <si>
    <t>Study of Spectrum Prediction Techniques in Cognitive Radio Networks</t>
  </si>
  <si>
    <t>Overview of Spectrum Sharing and Dynamic Spectrum Allocation schemes in Cognitive Radio Networks</t>
  </si>
  <si>
    <t>Machine Learning based Patient mental Health Prediction using Spectral Clustering and RBFN Algorithms</t>
  </si>
  <si>
    <t>FPGA Implementation of Polyphase CIC Based Multistage Filter for Digital Receivers</t>
  </si>
  <si>
    <t>Efficient Machine Learning Technique for Tumour Classification Based on Gene Expression Data</t>
  </si>
  <si>
    <t>Machine Learning (ML) and Internet of Things (IoT) based Smart Human Activity discovering system for Hwealth Care Applications</t>
  </si>
  <si>
    <t>State-of-Art on Self-Lubricating Ceramics and Application of Cu/CuO as Solid Lubricant Material</t>
  </si>
  <si>
    <t>An Implementation of Coal Mining Safety and Alerting System Using Internet of Things</t>
  </si>
  <si>
    <t>Machine Learning Based Network Wide Ad Blocking System</t>
  </si>
  <si>
    <t>Deep Learning Model to Detect and Localize the Air Pollution Using Spatiotemporal Data</t>
  </si>
  <si>
    <t>Energy Optimization Using Wireless Sensor Network by Improving Proportional Integral Method</t>
  </si>
  <si>
    <t>Lora Based Safety Smart Device for Woman Protection</t>
  </si>
  <si>
    <t>Computation of Gestational Diabetes With The ML Model and KNN Algorithm</t>
  </si>
  <si>
    <t>Transport Fee Management System for Educational Institutions</t>
  </si>
  <si>
    <t>Performance Improvement in Cooperative Communication Wireless Networks Using QAM in Decode-and-Forward Protocol</t>
  </si>
  <si>
    <t>IoT Based Smart Mitten for Plegia Patient's Health Monitoring System</t>
  </si>
  <si>
    <t>Novel angular binary pattern (NABP) and kernel based convolutional neural networks classifier for cataract detection</t>
  </si>
  <si>
    <t>IoT Based Natural Disaster Monitoring and Prediction Analysis for Hills Area Using LSTM Network</t>
  </si>
  <si>
    <t>Investigation of Deep Features in Lung Nodule Classification</t>
  </si>
  <si>
    <t>Minimum Power Test Pattern Generator for Testing VLSI Circuits</t>
  </si>
  <si>
    <t>Detection and Tracking of Covid symptom with Mixed Reality</t>
  </si>
  <si>
    <t>A Survey on IoT-based Hand Hygiene Dispenser with Temperature and Level Monitoring Systems</t>
  </si>
  <si>
    <t>An Area Efficient FFT Processor using Modified Compressor adder based Vedic Multiplier</t>
  </si>
  <si>
    <t>An Improvised Image Registration Technique for Brain Tumor Identification and Segmentation Using ANN Approach</t>
  </si>
  <si>
    <t>Deep Learning and Fuzzy Decision Support for Visually impaired persons</t>
  </si>
  <si>
    <t>Embedded Monitoring of Covellar Carbon Monoxide Detection and Air freshening in Air Trained Automotives</t>
  </si>
  <si>
    <t>Design and Development of a safety system for Motorbike incorporated with Artificial Intelligence using Image Processing</t>
  </si>
  <si>
    <t>Ms.A.Mohanapriya</t>
  </si>
  <si>
    <t>Effective Image Deblurring Based on Improved Image Edge Information and Blur Kernel Estimation</t>
  </si>
  <si>
    <t>Implementation of Viterbi Decoder Architecture Based on Code Rates</t>
  </si>
  <si>
    <t>Vehicle Communication using Visible Light (Li-Fi) Technology</t>
  </si>
  <si>
    <t>Social, Economic and Environmental Impact of Electric Vehicles in India</t>
  </si>
  <si>
    <t>An Optimized Neural Network for Content Based Image Retrieval in Medical Applications</t>
  </si>
  <si>
    <t>Smart Monitoring Instrumentation Design for Poultry Farmhouse</t>
  </si>
  <si>
    <t xml:space="preserve">A Web-based Optimization Hybrid Power Management with IoT </t>
  </si>
  <si>
    <t>Growth of non-enzymatic cholestrol bosensor using Tio2 decorated graphene oxide with bare GCE and Ppy-GCE</t>
  </si>
  <si>
    <t>Smart Gas Booking System and Leakage Detction Using IOT</t>
  </si>
  <si>
    <t>Mr.B.Gokulavasan</t>
  </si>
  <si>
    <t>Smart development in the growth of plants using hydroponics and Internet of Things</t>
  </si>
  <si>
    <t>Metaheuristics Based Node Localization Approach for Real-Time Clustered Wireless Networks</t>
  </si>
  <si>
    <t>A Trusted Distributed Routing Scheme for Wireless Sensor Networks Using Block Chain and Jelly Fish Search Optimizer Based Deep Generative Adversarial Neural Network (Deep-GANN) Technique</t>
  </si>
  <si>
    <t>K-Means and Decision Tree Approach to Predict the Severity of Diabetes Cases</t>
  </si>
  <si>
    <t>Poultry Farm Surveillance System Utilizing IoT and Wireless Sensor Network</t>
  </si>
  <si>
    <t>Feature Selection and Classification using a Positive Learning Approach Focused on Graph and Neural Network</t>
  </si>
  <si>
    <t>Bio-Inspired Optimization Algorithm on Cloud based Image Retrieval system using Deep features</t>
  </si>
  <si>
    <t>Mr.T.Vijayakumar</t>
  </si>
  <si>
    <t>Real Time Conversion of American Sign Language to text with Emotion using Machine Learning</t>
  </si>
  <si>
    <t>Smart Healthcare in IoT using Convolutional Based Cyber Physical System</t>
  </si>
  <si>
    <t>Improved Political Optimizer and Deep Neural Network-based Resource Management Strategy for fog enabled cloud computing</t>
  </si>
  <si>
    <t>Fault Classification in Vehicle Power Transmission using Machine Learning</t>
  </si>
  <si>
    <t>Viral Pneumonia and Covid Screening on Lung Ultrasound</t>
  </si>
  <si>
    <t>Investigation of Brain Tumour Recognition and Classification usng Deep Learning in Medical Image Processing</t>
  </si>
  <si>
    <t>Dual-band Micro-Strip Antenna using Split Ring Resonators for ISM Bands</t>
  </si>
  <si>
    <t>Optimal Pulse with modulation for permanent magnet synchronous motor drive with improved torque and thermal losses using pulse numbers</t>
  </si>
  <si>
    <t>Broadband graphene and metasurface-loaded solar thermal absorber design for visible and infrared regions</t>
  </si>
  <si>
    <t>IoT-based Underground Cable Fault Detection</t>
  </si>
  <si>
    <t>A Survey of Various Higher Order Majority Gates Utilized in Novel Quantum Dot Cellular Automata Technology (QCA)</t>
  </si>
  <si>
    <t>Comparison of the Power Output of SRAM and SESRAM with and without use of Recovery Boosting Method</t>
  </si>
  <si>
    <t>Area Reduction in Field Programmable Gate Array with Convolutional Neural Network</t>
  </si>
  <si>
    <t>On Stream Face Mask and helmet detection System Using Machine Learning Techniques</t>
  </si>
  <si>
    <t>Mr.U.Prakash</t>
  </si>
  <si>
    <t>Artificial Neural Network with extreme learning machine-based Wastewater Treatment systems</t>
  </si>
  <si>
    <t>Mr.V.Lakshmanan</t>
  </si>
  <si>
    <t>Convolutional Neural Networks for Analysis and Rcognition of Facial Expressions</t>
  </si>
  <si>
    <t>Ms.D.Saranya</t>
  </si>
  <si>
    <t>A Deep Learning-based Framework for Sheep Identification System based on Facial Bio-Metrics Analysis</t>
  </si>
  <si>
    <t>Ms.S.Saradha</t>
  </si>
  <si>
    <t>An efficient automatic brain tumour classification using optimized hybrid deep neural network</t>
  </si>
  <si>
    <t>Average Intensity Sign (AIS) Feature based Offline Signature Verification for Forgery Detection using Machine Learning</t>
  </si>
  <si>
    <t>A hybrid location-ddpendent ultra convolutional neural network-based vehicle number plate recognition approach for intelligent transportation systems</t>
  </si>
  <si>
    <t>A Comprehensive review on graphene FET bio-sensors and their emerging application in DNA/RNA sensing &amp; rapid Covid-19 detection</t>
  </si>
  <si>
    <t>Performance Analysis of Interference Cancellation and Traffic Scheduling Algorithm (ICTSA) with Mobility Management in 5G Emergency Networks</t>
  </si>
  <si>
    <t>A Smart Healthcare Monitoring System Based on Fog Computing Architecture</t>
  </si>
  <si>
    <t>Design and Development of movable antenna system for multiplatform wireless communication</t>
  </si>
  <si>
    <t>Brain-Computer Interface-based Real-Time Movement of Upper Limb Prostheses</t>
  </si>
  <si>
    <t>Coherent Data Transmission Using Multiplexing for a DWDM Communication System</t>
  </si>
  <si>
    <t>Optimum design of S-shaped diffuser by studying the effect of inlet velocity, turning angle and area ratio</t>
  </si>
  <si>
    <t>Enhancement of friction stir welding characteristics of alloy AA6061 by design of experiment methodology</t>
  </si>
  <si>
    <t>Application of 3D printing for engineering and bio-medicals: recent trends and development</t>
  </si>
  <si>
    <t>Development, Thermal Properties, and Reliability Testing of Eutectic Polyethylene Glycol as Phase Change Materials for Thermal Energy Storage Applications</t>
  </si>
  <si>
    <t>Detoxification of Toxic Organic Dye by Heteroatom-Doped Fluorescent Carbon Dots Prepared by Green Hydrothermal Method Using Garcinia Mangostana Extract</t>
  </si>
  <si>
    <t>Fabrication of Earth-Abundant Electrocatalysts Based on Green-Chemikstry Approaches to Achieve Efficient Alkaline Water Splitting-A Review</t>
  </si>
  <si>
    <t>Stationary distribution and global stability of stochastic predator prey model with disease in prey population</t>
  </si>
  <si>
    <t>Dr.C.Gokila</t>
  </si>
  <si>
    <t>Construction of a repititive magic square with Ramanujan's number as its product</t>
  </si>
  <si>
    <t>Brain Tumour Classification by Convolutional Neural Network</t>
  </si>
  <si>
    <t>A Novel Machine Learning Approach Chronic Kidney Disease Prediction</t>
  </si>
  <si>
    <t>On the decomposition and analysis of novel simultaneous SEIQR epidemic model</t>
  </si>
  <si>
    <t>Impact of Semiconductor Materials and Architecture Design on TFET Device Performance</t>
  </si>
  <si>
    <t>A Novel System Model for Managing Cyber Threat Intelligence</t>
  </si>
  <si>
    <t>Fuzzy acceptance Analysis of Impact of Glaucoma and Diabetic Retinopathy using Confusion Matrix</t>
  </si>
  <si>
    <t>SPECTRUMNET: Cooperative Spectrum Monitoring Using Deep Neural Networks</t>
  </si>
  <si>
    <t>Low-power test pattern generator using modified LFSR</t>
  </si>
  <si>
    <t>Quantifying Functional Connectivity Network Through Synchronization and Graph Theory Approaches for Seizure Prediction</t>
  </si>
  <si>
    <t>Comparative Study of CuO/ZTA and ZTA Composites in Terms of Functional Properties</t>
  </si>
  <si>
    <t>Analysis of IR and Raman Spectra of Isatin</t>
  </si>
  <si>
    <t>Treatment of reactive red 195 from its aqueous solution by electro coagulation method using iron electrode</t>
  </si>
  <si>
    <t>Extraction of polyphenols from green tea – HPLC purification of catechin fractions</t>
  </si>
  <si>
    <t>A Supervised Machine Learning Model for Tool Condition Monitoring in Smart Manufacturing</t>
  </si>
  <si>
    <t>An improved Optimal energy aware data availabilty approach for secure clustering and routing in wireless sensor networks</t>
  </si>
  <si>
    <t>Enhanced Thermophysical Properties and Productive Yield of Pyramid Solar Still Combined with Shallow Solar Pond by Incorporating ZnO/Al2O3 Nanocomposites</t>
  </si>
  <si>
    <t xml:space="preserve">Role of various redox additive electrolytes on the electrochemical performances of mixed metal oxide loaded multiwalled carbon nanotube based supercapacitors </t>
  </si>
  <si>
    <t>Enhanced supercapacitor performance of ZnO/SnO2:rGO nanocomposites under redox additive electrolyte</t>
  </si>
  <si>
    <t>File No</t>
  </si>
  <si>
    <t>Date of Publication</t>
  </si>
  <si>
    <t xml:space="preserve">   </t>
  </si>
  <si>
    <t>An Analysis of Radio Frequency Radiation Emitted by Smartphones</t>
  </si>
  <si>
    <t>Dr.M.P.Sindhu</t>
  </si>
  <si>
    <t>13-12-2024</t>
  </si>
  <si>
    <t>Dr.A.Sivakami</t>
  </si>
  <si>
    <t>Dual function of Zn‑doped NiO nanoparticles in high sensing of triethylamine gas and rhodamine B dye degradation</t>
  </si>
  <si>
    <t>18-12-2024</t>
  </si>
  <si>
    <t>Applied for Citations(60)</t>
  </si>
  <si>
    <t>Enhancing Bulb Turbine Performance Assessing Air Injection for Vibration Mitigation and Hydrofoil Cavitation</t>
  </si>
  <si>
    <t>Simulation based swarm intelligence optimization to develop manufacturing distribution plan</t>
  </si>
  <si>
    <t>Comparative analysis of tamarind shell biomass powder and roasted chickpeas powder in kenaf fiber reinforced vinyl ester composite</t>
  </si>
  <si>
    <t>14-12-2024</t>
  </si>
  <si>
    <t>Designing Efficient Data Fusion Techniques for Tele-Communication Networks and Iot Integration</t>
  </si>
  <si>
    <t>Addressing Security and Privacy Concerns in Cloud-Based Deep Learning Systems</t>
  </si>
  <si>
    <t>19-10-2024</t>
  </si>
  <si>
    <t>Hybrid technique for leveraging unit commitment in smart grids: minimizing operating costs and carbon dioxide emissions</t>
  </si>
  <si>
    <t>16-12-2024</t>
  </si>
  <si>
    <t>Applied for Citations(250)</t>
  </si>
  <si>
    <t>17-12-2024</t>
  </si>
  <si>
    <t>Applied for Citations(50)</t>
  </si>
  <si>
    <t>30-11-2024</t>
  </si>
  <si>
    <t>Accomplishing Low-Power Consumption with TFET</t>
  </si>
  <si>
    <t>Towards Sustainable Energy Solutions: Integrated Solar-Powered Battery Charging System Optimization</t>
  </si>
  <si>
    <t>ResDense Fusion: enhancing schizophrenia disorder detection in EEG data through ensemble fusion of deep learning models</t>
  </si>
  <si>
    <t>Biometric Authentication Systems in Banking: A Technical Evaluation of Security Measures</t>
  </si>
  <si>
    <t>19-12-2024</t>
  </si>
  <si>
    <t>Network Intrusion Detection in Cloud Computing Environments</t>
  </si>
  <si>
    <t>Exploring Data Security Issues in the Wake of Internet of Things (IoT) Adoption in Supply Chain Management</t>
  </si>
  <si>
    <t>Improving Customer Satisfaction in Retail Banking through AI-driven Algorithm Optimization</t>
  </si>
  <si>
    <t>Secure Hashing Algorithms for Protecting Sensitive Data in Cyber Environments</t>
  </si>
  <si>
    <t>16-02-2024</t>
  </si>
  <si>
    <t>Biometric Web Based Vote Cast using Blocks</t>
  </si>
  <si>
    <t>Ms.M.Abinaya</t>
  </si>
  <si>
    <t>18-04-2024</t>
  </si>
  <si>
    <t>Revolutionizing COVID-19 Diagnosis with Radiographic Images and Deep Learning:A Paradigm Shift in HealthCare</t>
  </si>
  <si>
    <t>Secure Cloud Computing: Mitigating Network Vulnerabilities</t>
  </si>
  <si>
    <t>Investigating the Efficiency of Cloud Computing Algorithms in Mobile Ad-Hoc Networks</t>
  </si>
  <si>
    <t>A Review on Wideband High-Gain Low-THz Antennas for Wireless Applications</t>
  </si>
  <si>
    <t>Multi-Modal LLM Driven Computer Interface</t>
  </si>
  <si>
    <t>Ms.S.Sindhuja</t>
  </si>
  <si>
    <t>AI-ML</t>
  </si>
  <si>
    <t>Certificate-less Aggregate Signature Authentication Scheme (CLASAS) for secure and efficient data transmission in Wireless Sensor Networks (WSNs)</t>
  </si>
  <si>
    <t>Ms.P.Preethi</t>
  </si>
  <si>
    <t>Design of Proficient Fused MAC Unit for PID Controllers</t>
  </si>
  <si>
    <t>Design and Analysis of RNS based Montgomery multiplier using FinFET Technology</t>
  </si>
  <si>
    <t>A Voice Enabled Grammar Correction System using Transformers</t>
  </si>
  <si>
    <t>Automatic kidney disease prediction using deep learning techniques</t>
  </si>
  <si>
    <t>Hybrid Convolution-Based Efficientnet-Based Hand Gesture Recognition Framework with Optimized Algorithm</t>
  </si>
  <si>
    <t>23-11-2024</t>
  </si>
  <si>
    <t>Sustainable nanoparticles of Non-Zero-valent iron (nZVI) production from various biological wastes</t>
  </si>
  <si>
    <t>24-10-2024</t>
  </si>
  <si>
    <t>Clustering and Energy Efficient Power Allocation Scheme for D2D Multicast Networ</t>
  </si>
  <si>
    <t>Dr.A.Shajitha Banu</t>
  </si>
  <si>
    <t>Investigating the Interplay of AI and ICT: A Comparative Study of Communicative Language Teaching Dynamics</t>
  </si>
  <si>
    <t>Dr.P.Anbarasu</t>
  </si>
  <si>
    <t>Mr. B.Sakthi Kumar</t>
  </si>
  <si>
    <t>A Comprehensive Review on Image Encryption Techniques using Memristor based Chaotic System for Multimedia Application</t>
  </si>
  <si>
    <t>A comprehensive review on current issues and advancements of Internet of Things in precision agriculture</t>
  </si>
  <si>
    <t>Resource Analysis Of Lightweight Cryptography Algorithms For Compact Devices</t>
  </si>
  <si>
    <t>Dr. A. Babu Karuppiah</t>
  </si>
  <si>
    <t>20-10-2024</t>
  </si>
  <si>
    <t>Performance Analysis of Shor’s Algorithm for Integer Factorization using Quantum and Classical Approaches</t>
  </si>
  <si>
    <t>Navigating the future of healthcare with innovations and challenges in implantable battery technology for biomedical devices</t>
  </si>
  <si>
    <t>Dr.L.Priya</t>
  </si>
  <si>
    <t>Hybrid Plasmonic Biosensors with Deep Learning for Colorectal Cancer Detection</t>
  </si>
  <si>
    <t>Deep learning-based attention models for sarcasm detection in text</t>
  </si>
  <si>
    <t>31-08-2024</t>
  </si>
  <si>
    <t>Weighted PI index of edge corona product of some classes of graphs</t>
  </si>
  <si>
    <t>Ms. R. Hemalatha</t>
  </si>
  <si>
    <t>23-10-2024</t>
  </si>
  <si>
    <t>Study on single server finite capacity neutrosophic queueing model</t>
  </si>
  <si>
    <t>Dr. B.Vennila</t>
  </si>
  <si>
    <t>21-11-2024</t>
  </si>
  <si>
    <t>The Impact of Mobile Applications on the Development of Academic Learning</t>
  </si>
  <si>
    <t>Dr.N.Kavitha</t>
  </si>
  <si>
    <t>Role of Artificial Intelligence in ICT Based Teaching and Learning</t>
  </si>
  <si>
    <t>Dr.T.Akila</t>
  </si>
  <si>
    <t>22-08-2024</t>
  </si>
  <si>
    <t>Ethical Design and Implementation of AI in the Field of Learning and Education: Symmetry Learning Technique</t>
  </si>
  <si>
    <t>Dr.K.M.Priya</t>
  </si>
  <si>
    <t>The Utilization of Chatbots to Enhance Contemporary Language Acquisition</t>
  </si>
  <si>
    <t>17-11-2024</t>
  </si>
  <si>
    <t>Collaborative Learning with IoT: Enhancing Student Engagement</t>
  </si>
  <si>
    <t>Dr.R. Malathy</t>
  </si>
  <si>
    <t>AI at the Helm: Transforming Communicative Education for Engineering Minds with IoT</t>
  </si>
  <si>
    <t>20-11-2024</t>
  </si>
  <si>
    <t>25-04-2024</t>
  </si>
  <si>
    <t>Multi-atom Catalysts for Metal-Sulfur Batteries</t>
  </si>
  <si>
    <t>Advancing Intrusion Detection Percision Through Analysis of Diverse Classification Algorithms</t>
  </si>
  <si>
    <t>Elevating Intrusion Detection Precision with Multi-Classification Algorithm Analysis</t>
  </si>
  <si>
    <t>Optimizing Security Performance: Leveraging Multiclass Algorithms and Dimensionality Reduction for Enhanced Accuracy</t>
  </si>
  <si>
    <t>Mr.C.Vasanthakumar</t>
  </si>
  <si>
    <t>Modern Day Business Development Using Ai And Ml</t>
  </si>
  <si>
    <t>An Enhanced Taxi Demand Perception System Leveraging Fusion and Automated Sensor Integration</t>
  </si>
  <si>
    <t>18-10-2024</t>
  </si>
  <si>
    <t>Novel Framework Design of MIMO Antenna for 5G Applications</t>
  </si>
  <si>
    <t>Design of Microstrip Patch Antenna with S-Slits for Wireless Applications</t>
  </si>
  <si>
    <t>EEUCBE And OOA Based Multi Hop Routing For Secure And Energy Efficient Data Transmission In Wireless Sensor Networks</t>
  </si>
  <si>
    <t>An Analysis on Virtual Mouse Control using Human Eye</t>
  </si>
  <si>
    <t>A Detailed Analysis of Cloud Storage and Key Management Techniques in IoT Driven Smart Grids</t>
  </si>
  <si>
    <t>ECG Arrhythmia Measurement and Classification for Portable Monitoring</t>
  </si>
  <si>
    <t>HIDE-6G: Advanced Intrusion Detection System for Secure 6G Network using Deep Learning</t>
  </si>
  <si>
    <t>Trust and Aﬃnity Based Clustering for Deterministic Multicast Routing Using Honey Badger Algorithm</t>
  </si>
  <si>
    <t>SERAV Deep-MAD: Deep Learning-Based Security– Reliability–Availability Aware Multiple D2D Environment</t>
  </si>
  <si>
    <t>15-11-2024</t>
  </si>
  <si>
    <t>Prediction of electricity consumption using an innovative deep energy predictor model for enhanced accuracy and efficiency</t>
  </si>
  <si>
    <t>30-09-2024</t>
  </si>
  <si>
    <t>Cluster Heat Selection Optimization in Wsn Via Genetic Based Evolutionary Algorithm and Secure Data Transmission Using Paillier Homomorphic Cryptosystem</t>
  </si>
  <si>
    <t>Dr.J.Dhanasekar</t>
  </si>
  <si>
    <t>29-10-2024</t>
  </si>
  <si>
    <t>Seamless Connectivity with Fuzzy-Based Unmanned Aerial Vehicle for VANET in Congested Zone</t>
  </si>
  <si>
    <t>28-11-2024</t>
  </si>
  <si>
    <t>Effective Feature Extraction Method For Unconstrained Environment: Local Binary Pattern Or Local Ternary Pattern</t>
  </si>
  <si>
    <t>Dr.S.Ramkumar</t>
  </si>
  <si>
    <t>18-11-2024</t>
  </si>
  <si>
    <t>Automation of Cataloging an Abnormal Condition of Glaucoma Using Fundas Image of the Retina</t>
  </si>
  <si>
    <t>Fake Review Detection Using Enhanced Random Forest</t>
  </si>
  <si>
    <t>Ms.B.Suchitra</t>
  </si>
  <si>
    <t>Early Diagnosis of Schizophrenia in Patients Using Deep Learning Techniques</t>
  </si>
  <si>
    <t>Dr.M. Nivaashini</t>
  </si>
  <si>
    <t>An Efficient Image to Speech Generation System for Visually Impaired Individuals using Deep Learning Techniques</t>
  </si>
  <si>
    <t>26-09-2024</t>
  </si>
  <si>
    <t>Applied for Citations(80)</t>
  </si>
  <si>
    <t>Role of Nano Composite in Additive Technologies: A State of Art Review</t>
  </si>
  <si>
    <t>Dynamic study of a laminated curved beam made of bimodular composite material with equivalent stiffness method</t>
  </si>
  <si>
    <t>Exploring the thermophysical characteristics of nanofluids containing nanoparticles and its possible outcomes</t>
  </si>
  <si>
    <t>Waste heat recovery in reheating furnace to improve the furnace efficiency with veneering cement and zirconia coating material</t>
  </si>
  <si>
    <t>Procedures, component optimization, and integration in the analysis of thermal energy storage materials</t>
  </si>
  <si>
    <t>21-10-2024</t>
  </si>
  <si>
    <t>Infuence of silane functionalized heat treated biosilica on mechanical, wear, and dynamic load–bearing properties of nettle fbre–reinforced vinyl ester composites</t>
  </si>
  <si>
    <t>Investigation on morphological and tensile properties of chemically treated Borassus Flabellifer Lontar fruit fibers</t>
  </si>
  <si>
    <t>15-07-2024</t>
  </si>
  <si>
    <t>Benefi ts and Challenges of Decentralization in Education for ResourceOptimization and Improved Performance</t>
  </si>
  <si>
    <t>Investigate the effect of process parameters for weld bead during arc welding process</t>
  </si>
  <si>
    <t>Parametric Evaluation &amp; Optimization of Wire-EDM Process for Machining of Super Alloy Materials (EN-24 Steel) in Terms of Surface Integrity and Material Removal Rate</t>
  </si>
  <si>
    <t>13-11-2024</t>
  </si>
  <si>
    <t>Study on Enhanced Transfer Characteristic in Heat Exchanger Tubes with Low Fins</t>
  </si>
  <si>
    <t>Optimizing Tensile Strength and Hardness in Al-Based Hybrid Composites via Stir-Squeeze Technique</t>
  </si>
  <si>
    <t>Dr.M.Geetha</t>
  </si>
  <si>
    <t>22-03-2024</t>
  </si>
  <si>
    <t>Investigation on Application of Novel Converters for Hybrid Renewable Energy Systems</t>
  </si>
  <si>
    <t>Modeling of Power Factor Correction for On-Board E-Vehicle Charger</t>
  </si>
  <si>
    <t>A comparative study of long short-term memory based long-term electrical load forecasting techniques with hyperparameter optimization</t>
  </si>
  <si>
    <t>Security and Privacy Considerations in Multimedia Resource Management Using Hybrid Deep Learning Techniques in Cloud Computing</t>
  </si>
  <si>
    <t>23-08-2024</t>
  </si>
  <si>
    <t>Simulation and modeling in cloud computing-based smart grid power big data analysis technology</t>
  </si>
  <si>
    <t>19-08-2024</t>
  </si>
  <si>
    <t>Generation expansion planning incorporating the recuperation of older power plants for economic advantage</t>
  </si>
  <si>
    <t>15-09-2024</t>
  </si>
  <si>
    <t>Investigation of Octagon-Slotted Photonic Crystal for Wireless Technologies</t>
  </si>
  <si>
    <t>Performance Comparison of MANETs under Congestion and Packet Loss using Distance based Geographic Routing Protocols</t>
  </si>
  <si>
    <t>Ms.D.Mohana Priya</t>
  </si>
  <si>
    <t>Microstructure and Corrosion Study on Friction Surfaced Aluminum Alloy Coatings over Mild Steel</t>
  </si>
  <si>
    <t>Applied for Citations(140)</t>
  </si>
  <si>
    <t>29-06-2024</t>
  </si>
  <si>
    <t>Biosynthesis of TiO2 nano particles by using Rosemary (Rosmarinus officinalis) leaf extracts and its application for crystal dye degradation under sunlight</t>
  </si>
  <si>
    <t>Structural and spectral insights of doped and undoped L-alanine crystals</t>
  </si>
  <si>
    <t>Advanced Beamforming and Multi-Access Edge Computing: Empowering Ultra-Reliable and Low-Latency Applications in 6G Networks</t>
  </si>
  <si>
    <t>Hybrid Approach for the Classification and Detection of Brain Tumor</t>
  </si>
  <si>
    <t>A comparative design of 5G communication codes</t>
  </si>
  <si>
    <t>Video Based 3D Convolution Network for Air Quality Assessment</t>
  </si>
  <si>
    <t>Smart system for women safety in cyberspace by fake profile detection</t>
  </si>
  <si>
    <t>Soil Detachment Analysis using Richards Model</t>
  </si>
  <si>
    <t>Empowering Virtual Machine-Controlled and AI-Controlled Robots for Transportation in the Manufacturing Industry</t>
  </si>
  <si>
    <t>Experimental Analysis of EDM Parameters on D2 Die Steel Using Nano-aluminum Composite Electrodes</t>
  </si>
  <si>
    <t>An Effective Satin Bowerbird Optimization Based Modified Elman Recurrent Neural Network for Thigh Muscle Segmentation and Quantification in Patients Undergoing Total Knee Replacement (TKR)</t>
  </si>
  <si>
    <t>24-07-2024</t>
  </si>
  <si>
    <t>Exploration of NαIg-Closed and NαIg-Open Sets in Nano Ideal Topological Spaces with Practical Applications of Nano Ideal Topological spaces</t>
  </si>
  <si>
    <t>Ms.K.Sivaranjani</t>
  </si>
  <si>
    <t>25-10-2024</t>
  </si>
  <si>
    <t>Secure Decentralization: Examining the Role of Blockchain in Network Security</t>
  </si>
  <si>
    <t>22-10-2024</t>
  </si>
  <si>
    <t>Exploring Machine Learning Models for Intelligent Sentiment Analysis in Financial Services</t>
  </si>
  <si>
    <t>A Futuristic Review on Sustainable Energy Grid</t>
  </si>
  <si>
    <t>Design of Smart Lighting and Security System using Intelligent Controller</t>
  </si>
  <si>
    <t>Auto Temperature Control of Furnace using Intelligent Modular Controller</t>
  </si>
  <si>
    <t>15-06-2023</t>
  </si>
  <si>
    <t>A Novel Dynamic Energy Amendment Control for Solar Fed Brushless DC Motor for Water Pumping System</t>
  </si>
  <si>
    <t>Graphene-based diamond-shaped solar absorber using Fe–SiO2–Fe structure for UV to MIR region</t>
  </si>
  <si>
    <t>28-08-2024</t>
  </si>
  <si>
    <t>Achieving Secured Medical Network (SMN) through Stateless Mechanism and SkeyM in Medical-Internet of Things (M-IoT)</t>
  </si>
  <si>
    <t>Ms.T.Nivethitha</t>
  </si>
  <si>
    <t>Application of optimization algorithm for virtual reference tag assisted localization and tracking</t>
  </si>
  <si>
    <t>Dr.Suresh Seetharaman</t>
  </si>
  <si>
    <t>Ms. A.Revathy</t>
  </si>
  <si>
    <t>27-10-2024</t>
  </si>
  <si>
    <t>Hygral Analysis and Mechanical Strength Evaluation of TiO2 Nanoparticle-enhanced Natural Fiber Reinforced Epoxy Composites</t>
  </si>
  <si>
    <t>Synergistic Effects of Bamboo and Jute Fiber Integration in Geopolymer Composites</t>
  </si>
  <si>
    <t>Green machinability studies on SAE 8822 alloy steel using RSM and taguchi method</t>
  </si>
  <si>
    <t>Evaluation of machinability performance of T51603 using response surface methodology and grey relational analysis</t>
  </si>
  <si>
    <t>Experimental Investigation of Single Slope Solar Still by Varying Water Depth and with External Reflector</t>
  </si>
  <si>
    <t>Novel Approach to Monitoring the Surface Integrity of Aluminum 5052 Using Sound and Vibration Signals during Turning with Titanium-Coated Carbide Inserts</t>
  </si>
  <si>
    <t>Multi-criteria decision-making and artificial bee colony algorithm for optimization of process parameters in pyramid solar still</t>
  </si>
  <si>
    <t>Dr.N.Pushpalatha</t>
  </si>
  <si>
    <t>22-09-2024</t>
  </si>
  <si>
    <t>Einstein Aggregation Operator Technique in Circular Fermatean Fuzzy Environment for MCDM</t>
  </si>
  <si>
    <t>16-10-2024</t>
  </si>
  <si>
    <t>13-09-2024</t>
  </si>
  <si>
    <t>Data Mining Framework for Discovering and Clustering Phenotypes of Atypical Diabetic Lung</t>
  </si>
  <si>
    <t>A Robust TrafficSignNet Algorithm for Enhanced Traffic Sign Recognition in Autonomous Vehicles Under Varying Light Conditions</t>
  </si>
  <si>
    <t>Mr. K. Kathiresan</t>
  </si>
  <si>
    <t>Identifying the Optimal Size of a Hybrid Power System Using a Modified Genetic Algorithm</t>
  </si>
  <si>
    <t>Development of Evolutionary Gravity Neocognitron Neural Network Model for Behavioral Studies in Rodents</t>
  </si>
  <si>
    <t>25-06-2024</t>
  </si>
  <si>
    <t>Simulation and modeling of deep adversarial probabilistic neural network-based intrusion prevention system in cloud computing for smart grid cyber physical systems</t>
  </si>
  <si>
    <t>27-06-2024</t>
  </si>
  <si>
    <t>Enhancing grid resilience and efficiency with distributed generators through fuzzified firefly optimization</t>
  </si>
  <si>
    <t>A novel generation expansion planning in older power plants – hybrid spotted hyena-particle swarm optimization</t>
  </si>
  <si>
    <t>16-05-2024</t>
  </si>
  <si>
    <t>Early Prediction and Grading of Diabetic Retinopathy using Fusion Based Learning System</t>
  </si>
  <si>
    <t>Solvability and controllability of second-order non-autonomous impulsive neutral evolution hemivariational inequalities</t>
  </si>
  <si>
    <t>Analyzing Transient Response of Series RLC Circuit using Numerical Methods</t>
  </si>
  <si>
    <t>30-08-2024</t>
  </si>
  <si>
    <t>A Robust Development of Calorie Prediction Methodology based on Artificial Intelligence Assisted Machine Learning Model</t>
  </si>
  <si>
    <t>Exploring the Experimental Possibilities of an Intelligent Blood Pressure Prediction Scheme using IoT enabled Machine Learning Principles</t>
  </si>
  <si>
    <t>Experimental Investigation and Comparative Analysis of an Efficient Machine Learning Algorithm for Distribution System Reconfiguration</t>
  </si>
  <si>
    <t>25-07-2024</t>
  </si>
  <si>
    <t>Intelligent Resource Management in Computing using Genetic Algorithms</t>
  </si>
  <si>
    <t>Natural Language Processing in Virtual Assistants Current Approaches and Challenges</t>
  </si>
  <si>
    <t>Deep Reinforcement Learning for Autonomous Drone Navigation in Cluttered Environments</t>
  </si>
  <si>
    <t>Deep learning models for urban aerial mobility: A review</t>
  </si>
  <si>
    <t>25-09-2024</t>
  </si>
  <si>
    <t>Optimization of Traffic and Time Control with Sensor-Driven Transmission Control System using MANET and Machine Learning</t>
  </si>
  <si>
    <t>30-06-2024</t>
  </si>
  <si>
    <t>Effect of Reinforcement Addition on Mechanical Behavior of Al MMC - A Critical Review</t>
  </si>
  <si>
    <t>19-09-2024</t>
  </si>
  <si>
    <t>27-08-2024</t>
  </si>
  <si>
    <t>Luminescent TiO2 nanoparticles synthesized from Mollugo Oppositifolia and Trianthema Portulacastrum for dye degradation, antimicrobial and antioxidant properties</t>
  </si>
  <si>
    <t>25-08-2024</t>
  </si>
  <si>
    <t>Extinction and stationary distribution of stochastic Hepatitis B virus model</t>
  </si>
  <si>
    <t>14-08-2024</t>
  </si>
  <si>
    <t>NANO g * sr CLOSED SETS IN NANO TOPOLOGICAL SPACES</t>
  </si>
  <si>
    <t>Broadband complementary ring‑resonator based terahertz antenna for 6G application</t>
  </si>
  <si>
    <t>Dr.S.Saranya</t>
  </si>
  <si>
    <t>A review on fabrication and simulation methods of flexible wearable antenna for industrial tumor detection systems</t>
  </si>
  <si>
    <t>Energy and throughput aware adequate routing for wireless sensor networks using integrated game theory method</t>
  </si>
  <si>
    <t>27-09-2024</t>
  </si>
  <si>
    <t>Design and investigation of pentagonal shaped split ring resonator based microstrip patch antenna for high-speed terahertz applications</t>
  </si>
  <si>
    <t>26-08-2024</t>
  </si>
  <si>
    <t>Design and Analysis of Triangular Split-Ring Resonator–Based Patch Antenna for High-Speed Terahertz Devices</t>
  </si>
  <si>
    <t>15-08-2024</t>
  </si>
  <si>
    <t>Predictive Maintenance of Electrical Machines using Machine Learning and Condition Monitoring Data</t>
  </si>
  <si>
    <t>24-08-2024</t>
  </si>
  <si>
    <t>A novel method for bioinformatics analysis in geneexpression profiling framework for personalizedhealthcare applications</t>
  </si>
  <si>
    <t>Synthesis, characterization and effective UV photo-sensing properties of Ga3+ doped NiO nanoparticles</t>
  </si>
  <si>
    <t>21-05-2024</t>
  </si>
  <si>
    <t>Exploring tribological properties in the design and manufacturing of metal matrix composites: an investigation into the AL6061-SiC-fly ASH alloy fabricated via stir casting process</t>
  </si>
  <si>
    <t>IOT Based Heart Rate Monitoring System Design for Heart Attack Detection</t>
  </si>
  <si>
    <t>Enhanced Visual Cryptographic Schemes with Essential Access Structures and Pixel-Wise Operations</t>
  </si>
  <si>
    <t>29-08-2024</t>
  </si>
  <si>
    <t>13-07-2022</t>
  </si>
  <si>
    <r>
      <rPr>
        <sz val="12"/>
        <color rgb="FF000000"/>
        <rFont val="Cambria"/>
      </rPr>
      <t>On a Novel Dynamics of SEIR Epidemic Models with a Potential Application to COVID-19</t>
    </r>
  </si>
  <si>
    <t>Dr.R.Maheshwari</t>
  </si>
  <si>
    <t>31-07-2024</t>
  </si>
  <si>
    <r>
      <rPr>
        <sz val="12"/>
        <color rgb="FF000000"/>
        <rFont val="Cambria"/>
      </rPr>
      <t>Approximate solutions of fuzzy hybrid differential system using the RK–Fehlberg scheme of order 5</t>
    </r>
  </si>
  <si>
    <t>17-06-2024</t>
  </si>
  <si>
    <t>Generalization of Fermatean Fuzzy Set and Implementation of Fermatean Fuzzy PROMETHEE II Method for Decision Making via PROMETHEE GAIA</t>
  </si>
  <si>
    <t>PERCEPTIONIZATION OF M/D/1 QUEUING MODEL UNDER TRAPEZOIDAL NEUTROSOPHIC NUMBERS</t>
  </si>
  <si>
    <t>Eco‑Friendly Breakthrough: Visible Light Harvesting Fe2VO4/CS/g‑ZnO Nanocomposite for Highly Effective Chloramphenicol Photocatalytic Degradation</t>
  </si>
  <si>
    <t>Machine Learning-Based System for Automated Presentation Generation from CSV Data</t>
  </si>
  <si>
    <t>Ai-powered financial operation strategy for cloud computing cost optimization for future</t>
  </si>
  <si>
    <t>19-04-2024</t>
  </si>
  <si>
    <t>Ensuring Worker Safety at Construction Sites Using Geofence</t>
  </si>
  <si>
    <t>31-03-2024</t>
  </si>
  <si>
    <t>Smart Garbage Monitoring and Vigilant System</t>
  </si>
  <si>
    <t>Utilizing Cloud Computing for Distributed Training of Deep Learning Models</t>
  </si>
  <si>
    <t>Enhancing Network Security in Distributed Environments using Block Chain-based Solutions</t>
  </si>
  <si>
    <t>Multi-Model Traffic Forecasting in Smart Cities using Graph Neural Networks and Transformer-based Multi-Source Visual Fusion for Intelligent Transportation Management</t>
  </si>
  <si>
    <t>Multi-Scale Object Detection and Classification using Machine Learning and Image Processing</t>
  </si>
  <si>
    <t>Machine Learning and AI in Tele-Communication Networks and Iota for Predictive Maintenance</t>
  </si>
  <si>
    <t>18-07-2024</t>
  </si>
  <si>
    <t>Next-Generation Tele-Communication Networks and IoT: Advancements and Challenges</t>
  </si>
  <si>
    <t>IMPROVING DIABETES DIAGNOSIS IN INSTANTANEOUS SITUATIONS WITH MANET AND DATA MINING</t>
  </si>
  <si>
    <t>An improved federated transfer learning model for intrusion detection in edge computing empowered wireless sensor networks</t>
  </si>
  <si>
    <t>17-07-2024</t>
  </si>
  <si>
    <t>Improved optimizer with deep learning model for emotion detection
and classification</t>
  </si>
  <si>
    <t>Behavior of CuO as solid lubricant inside ZTA matrices</t>
  </si>
  <si>
    <t>Parametric study to investigate mechanical properties of welded dissimilar Al6063 and Al 7073 alloys through FSW process</t>
  </si>
  <si>
    <t>16-07-2024</t>
  </si>
  <si>
    <t>Novel Battery Management with Fuzzy Tuned Low Voltage Chopper and Machine Learning Controlled Drive for Electric Vehicle Battery Management: A Pathway Towards SDG</t>
  </si>
  <si>
    <t>15-03-2024</t>
  </si>
  <si>
    <t>Enhancing Medical Image Analysis with Machine
Learning and Image Processing</t>
  </si>
  <si>
    <t>27-03-2024</t>
  </si>
  <si>
    <t>Fashion Clothing Design Style Recommendation using Extra Tree Classifier Combined with LSTM</t>
  </si>
  <si>
    <t>Mr. V.Parthipan</t>
  </si>
  <si>
    <t>22-01-2024</t>
  </si>
  <si>
    <t>Forecasting Web Page Popularity using Artificial Neural Networks</t>
  </si>
  <si>
    <t>Carbon-supported Co9S8 hollow spheres assembled from ultrathin nanosheets for high-performance supercapacitors</t>
  </si>
  <si>
    <t>Utilizing Genetic Algorithms for Detecting Congenital Heart Defects</t>
  </si>
  <si>
    <t>28-06-2024</t>
  </si>
  <si>
    <t>Performance Optimization in Software-Defined Networks Based on IoT Networks</t>
  </si>
  <si>
    <t>An Efficient Dimensionality ReductionTechniques to Data Data Visualization</t>
  </si>
  <si>
    <t>15-05-2024</t>
  </si>
  <si>
    <t>Enhancing Parkinson’s Disease Prediction Using Deep Learning-Based Convolutional Neural Networks</t>
  </si>
  <si>
    <t>24-06-2024</t>
  </si>
  <si>
    <t>Gene-Based Predictive Modelling for Enhanced Detection of Systemic Lupus Erythematosus Using CNN-Based DL Algorithm</t>
  </si>
  <si>
    <t>22-07-2024</t>
  </si>
  <si>
    <t>ML Approach for Extracting Keywords from English Literature using Location Feature Weighting</t>
  </si>
  <si>
    <t>13-07-2024</t>
  </si>
  <si>
    <t>Integral contractor approach on controllability of Hilfer–Langevin system</t>
  </si>
  <si>
    <t>Numerical and analytical approach of nonlinear fractional pantograph nonlocal differential systems with non-singular kernel</t>
  </si>
  <si>
    <t>Facile synthesis of Mn doped ZnO for the sensing of ammonia</t>
  </si>
  <si>
    <t>Dr..R.Suresh</t>
  </si>
  <si>
    <t>Field Monitoring and Automatic Agricultural System</t>
  </si>
  <si>
    <t>Mojo-Based Fuzzy Agglomerative Clustering Algorithm With Ed2Mt Strategy For Large-Scale Wireless Sensors Networks</t>
  </si>
  <si>
    <t>LV-YOLO: logistic vehicle speed detection and counting using deep learning based YOLO network</t>
  </si>
  <si>
    <t>Crystals kyber cryptographic algorithm for efficient IoT D2d communication</t>
  </si>
  <si>
    <t>Lightweight Security System for Bank and ATM</t>
  </si>
  <si>
    <t>Design and VLSI Implementation of Digital Image Processing Applications</t>
  </si>
  <si>
    <t>Smart Navigation and Management of Vehicle Teleportation Using Qt ROS GUI</t>
  </si>
  <si>
    <t>Premature Infant Cry Classiﬁcation via Elephant Herding Optimized Convolutional Gated Recurrent Neural Network</t>
  </si>
  <si>
    <t>Optimized CNN and adaptive RBFNN for channel estimation and hybrid precoding approaches for multi user millimeter wave massive MIMO</t>
  </si>
  <si>
    <t>23-06-2024</t>
  </si>
  <si>
    <t>An Energy-Efficient improved Grey Wolf Optimization Algorithm-Based Cluster Head and Shamir Secrets Sharing-Based WSNs with Secure Data Transfer</t>
  </si>
  <si>
    <t>Investigating the Role of AI in Personalized Consumer Banking Experiences</t>
  </si>
  <si>
    <t>Design A Fuzzy PID Controller of Transportation on The Internet Of Vehicles (IOV) Installation</t>
  </si>
  <si>
    <t>29-07-2024</t>
  </si>
  <si>
    <t>Design of Hardware Interfacing with ChatGPT as an Inference Engine for Visually Impaired</t>
  </si>
  <si>
    <t>Ce3+ doping enhanced electrical and UV photo‐sensing properties of NiO nanostructures</t>
  </si>
  <si>
    <t>20-07-2024</t>
  </si>
  <si>
    <t>Modeling, Simulation, and Control of AI Robotics and Autonomous Systems</t>
  </si>
  <si>
    <t>Device Simulation Based Machine Learning
Technique for III V TFET</t>
  </si>
  <si>
    <t>19-07-2024</t>
  </si>
  <si>
    <t>Uncovering the Benefits of Machine Learning for Automating Financial Regulatory Tasks</t>
  </si>
  <si>
    <t>Design of Routing Protocols for Heterogeneous WSN Based on Multi-Agent Reinforcement Learning</t>
  </si>
  <si>
    <t>22-06-2024</t>
  </si>
  <si>
    <t>Long-Distance Secure Communication Based on Quantum Repeater Deployment with Quantum-Key Distribution</t>
  </si>
  <si>
    <t>23-04-2024</t>
  </si>
  <si>
    <t>A novel tree‑slotted metamaterial terahertz antenna to diagnose breast cancer cells</t>
  </si>
  <si>
    <t xml:space="preserve">Design and Investigation of Line-Defected Photonic Crystal Antenna for Outstanding Data Transmission
</t>
  </si>
  <si>
    <t>An eco-safety g-C3N4/Nb2O5/Ag ternary nanocomposite for photocatalytic degradation of pharmaceutical wastes and dyes in wastewater and zebrafish embryonic assessment</t>
  </si>
  <si>
    <t>Neutrosophic Fuzzy Interval Sets and its Extension through MCDM and Applications in E-Management</t>
  </si>
  <si>
    <t>Dr.R.Saranya</t>
  </si>
  <si>
    <t>Early Prediction of Diabetes and its Risk Factors based on ARIMA-ELMAN ANN Network</t>
  </si>
  <si>
    <t>Ms.N.Akiladevi</t>
  </si>
  <si>
    <t>26-01-2024</t>
  </si>
  <si>
    <t>NeuroAI-Driven Advanced Deep Brain Stimulation for Precision Management of Movement Disorders</t>
  </si>
  <si>
    <t>Integrating selective flocculation techniques for enhanced efficiency in manufacturing processes: A novel approach through artificial neural network modeling</t>
  </si>
  <si>
    <t>A Review on Leveraging Reinforcement Learning for Enhanced Decision-Making in Power and Energy Systems</t>
  </si>
  <si>
    <t>Machine Learning-Based Pre-Stroke Detection System</t>
  </si>
  <si>
    <t>Securing Shared Data Based on Homomorphic Encryption Schemes</t>
  </si>
  <si>
    <t>19-06-2024</t>
  </si>
  <si>
    <t>Reviewing the effectiveness of lexicon-based techniques for sentiment analysis in massive open online courses</t>
  </si>
  <si>
    <t>17-01-2024</t>
  </si>
  <si>
    <t>Air Quality Image Classification using Ensemble Based Transfer Learning Techniques</t>
  </si>
  <si>
    <t>Automatic lung cancer detection and classifcation using Modifed Golf Optimization with densenet classifer</t>
  </si>
  <si>
    <t>Ethical Considerations for wearable sensors and AI algorithms : Fetal Heart rate monitoring</t>
  </si>
  <si>
    <t>Application of response surface methodology and neural networks in pyramid solar still for seawater desalination: An optimization and prediction strategy</t>
  </si>
  <si>
    <t xml:space="preserve">Exploring the Synergy Between Network Security
and Blockchain Technology </t>
  </si>
  <si>
    <t>26-06-2024</t>
  </si>
  <si>
    <t>Multidisciplinary Applications of AI Robotics and Autonomous Systems</t>
  </si>
  <si>
    <t>Classification of Leukemia White Blood Cell Cancer</t>
  </si>
  <si>
    <t>Enhanced Large Language Models</t>
  </si>
  <si>
    <t>Handwritten Paragraph Text Recognition using OCR</t>
  </si>
  <si>
    <t>Deep RegNet-150 architecture for single image super resolution of real-time unpaired image data</t>
  </si>
  <si>
    <t>U-Net Based Deep Regression Network Architecture for Single Image Super Resolution of License Plate Image</t>
  </si>
  <si>
    <t>Skeletal Fragility Detection using Deep Learning</t>
  </si>
  <si>
    <t>Air Quality Control using Machine Learning</t>
  </si>
  <si>
    <t>Solar FPC performance enrichment with Al2O3 /SiO2 nanofluids and hybrid nanofluid</t>
  </si>
  <si>
    <t>POT-YOLO: Real-Time Road Potholes Detection using Edge Segmentation based Yolo V8 Network</t>
  </si>
  <si>
    <t xml:space="preserve"> Heterogeneous Energy Harvesting Techniques for Smart Home IOT Acceleration</t>
  </si>
  <si>
    <t>Neural harmony: revolutionizing thyroid nodule diagnosis with hybrid networks and genetic algorithms</t>
  </si>
  <si>
    <t>22-04-2024</t>
  </si>
  <si>
    <t>A Multi-Modal Framework for Fake News Analysis for Detection to Deconstruction</t>
  </si>
  <si>
    <t>07.06.2024</t>
  </si>
  <si>
    <t>Termite wings derived N-doped carbon nanodots: applications for Cu2+ sensing, fluorescent ink and flexible polymeric film</t>
  </si>
  <si>
    <t>Interval-valued Picture Fuzzy Geometric Bonferroni Mean Aggregation Operators in Multiple Attributes</t>
  </si>
  <si>
    <t>21.07.2024</t>
  </si>
  <si>
    <t>Fermatean Fuzzy Normalised Bonferroni Mean Operator in Multi Criteria Decision Making on Selection of Electric Bike</t>
  </si>
  <si>
    <t>10.02.2024</t>
  </si>
  <si>
    <t>The Characteristics of Circular Fermatean Fuzzy Sets and Multicriteria Decision-Making Based on the Fermatean Fuzzy t-Norm and t-Conorm</t>
  </si>
  <si>
    <t>07.05.2024</t>
  </si>
  <si>
    <t>Modern Approach in Pattern Recognition Using Circular Fermatean Fuzzy Similarity Measure for Decision Making with Practical Applications</t>
  </si>
  <si>
    <t>12.08.2024</t>
  </si>
  <si>
    <t>Environmental and chemical changes in palm oil biodiesel using homogeneous catalysts</t>
  </si>
  <si>
    <t>17.06.2024</t>
  </si>
  <si>
    <t>Development Of A Penetration Monitoring And Repellent Method For Wild Animals Using Yolov3, Opencv, And Python</t>
  </si>
  <si>
    <t>04.06.2024</t>
  </si>
  <si>
    <t xml:space="preserve">An innovative approach for cluster head selection and Energy Optimization in wireless sensor networks using Zebra Fish and Sea Horse Optimization techniques </t>
  </si>
  <si>
    <t>07.03.2024</t>
  </si>
  <si>
    <t xml:space="preserve">Investigation of different buffer layer impact on AlN/GaN/AlGaN
HEMT using silicon carbide substrate for high-speed
RF applications </t>
  </si>
  <si>
    <t>Dr. N. Ramkumar</t>
  </si>
  <si>
    <t>07.12.2024</t>
  </si>
  <si>
    <t>AI Based Innovative Approach on Precision
Agriculture Using IoT</t>
  </si>
  <si>
    <t>15.11.2024</t>
  </si>
  <si>
    <t>A Intelligent Approach for Fault Detection in Solar Photovoltaic Systems based on BERT-BiGRU Network</t>
  </si>
  <si>
    <t>31.05.2024</t>
  </si>
  <si>
    <t xml:space="preserve">Revolutionizing Prostate Cancer Diagnosis: Unleashing The
Potential Of An Optimized Deep Belief Network For Accurate
Gleason Grading In Histological Images
</t>
  </si>
  <si>
    <t>14.05.2024</t>
  </si>
  <si>
    <t>Fractional stochastic Schrödinger evolution system with complex potential and poisson jumps: Qualitative behavior and T-controllability</t>
  </si>
  <si>
    <t>16.05.2024</t>
  </si>
  <si>
    <t>Solvability and optimal control for second-order stochastic differential systems under the influence of delay and impulses</t>
  </si>
  <si>
    <t>06.06.2024</t>
  </si>
  <si>
    <t>Impact of Renewable Energy Resources and Industry 4.0 on Growth of Economics and Policy forDeveloping Nations</t>
  </si>
  <si>
    <t>24.04.2024</t>
  </si>
  <si>
    <t xml:space="preserve"> Development of new improved plastic collapse moment equations of pressurized different angled pipe bends under bending moments</t>
  </si>
  <si>
    <t>05.02.2024</t>
  </si>
  <si>
    <t>Enhanced Cluster Head Selection and Routing in Wireless Sensor Networks Using Fuzzy Logic and Adaptive Cat Swarm Optimization</t>
  </si>
  <si>
    <t>15.04.2024</t>
  </si>
  <si>
    <t>26.03.2024</t>
  </si>
  <si>
    <t>Renewable energy resource integrated multilevel inverter using evolutionary algorithms</t>
  </si>
  <si>
    <t>12.04.2024</t>
  </si>
  <si>
    <t>Performance Evaluation of Fuzzy Logic Controller Enabled Wind Energy Conversion System</t>
  </si>
  <si>
    <t>09.05.2024</t>
  </si>
  <si>
    <t>Performnance Analysis for battery stability improvement using direct air cooling mechanism for electric vehicles</t>
  </si>
  <si>
    <t>24.4.2024</t>
  </si>
  <si>
    <t>Application of fuzzified genetic algorithm for optimal allocation of renewable energy sources into the power system</t>
  </si>
  <si>
    <t>02.04.2024</t>
  </si>
  <si>
    <t>Multi objective optimal distributed generators integration using rey algorithm with Fuzzy decision making</t>
  </si>
  <si>
    <t>Design of Narrowband Terahertz Filtenna for High‑Speed Wireless Communication</t>
  </si>
  <si>
    <t>01.05.2024</t>
  </si>
  <si>
    <t>An energy efficient reconfigurable architecture for multi-lead ECG signal compression</t>
  </si>
  <si>
    <t>22.03.2024</t>
  </si>
  <si>
    <t>Deep Learning-based Thigh Muscle Investigation Using MRI For Prosthetic Development for Patients Undergoing Total Knee Replacement (TKR)</t>
  </si>
  <si>
    <t>Embracing circular economy principles for sustainable green supplychain management in manufacturing industries</t>
  </si>
  <si>
    <t>Future Trends in ICT and E-Services Through Advanced Assessment Metrics: Harnessing the Powerof AI</t>
  </si>
  <si>
    <t>03.02.2024</t>
  </si>
  <si>
    <t>Cardiovascular Syndrome Prediction Using Machine Learning Algorithms</t>
  </si>
  <si>
    <t>11.07.2023</t>
  </si>
  <si>
    <t>Artificial Intelligence based Agricultural Chatbot and Virtual Assistant for Delivery of Harvested Crops</t>
  </si>
  <si>
    <t>03.05.2024</t>
  </si>
  <si>
    <t>Design of a delay efficient carry select adder</t>
  </si>
  <si>
    <t>Survey of livestock monitoring and management system using a machine learning algorithm</t>
  </si>
  <si>
    <t>An improved dual-phased meta-heuristic optimization-based framework for energy efficient cluster-based routing in wireless sensor networks</t>
  </si>
  <si>
    <t>11.06.2024</t>
  </si>
  <si>
    <t>Improving Vehicle Security using CNN and Internet of Things Based Face Identification</t>
  </si>
  <si>
    <t>29.05.2024</t>
  </si>
  <si>
    <t>OR2M: a novel optimized resource rendering methodology for wireless networks based on virtual reality (VR) applications</t>
  </si>
  <si>
    <t>10.06.2024</t>
  </si>
  <si>
    <t>A synergistic framework for histopathologic cancer detection using Epicurve Search –PSB model with surrosec Optimizer</t>
  </si>
  <si>
    <t>23-02-2024</t>
  </si>
  <si>
    <t>Design and Implementation of a Cost-Effective Solar Photo Voltaic Food Dryer for Rural Botswana</t>
  </si>
  <si>
    <t>Prediction of Happiness Score by Adopting Simple Linear Regression Model</t>
  </si>
  <si>
    <t>19-04-2023</t>
  </si>
  <si>
    <t>Enhanced Epileptic Seizure Identification using Sparse ELM-ABO Fusion with Feature Reduction and Multi-Class Classification</t>
  </si>
  <si>
    <t xml:space="preserve"> Automatic detection of epileptic seizure using machine learning-based IANFIS-LightGBM system</t>
  </si>
  <si>
    <t>Automatic Identification of Epileptic Seizure Using Kelm Optimized by Grey Wolf Algorithm</t>
  </si>
  <si>
    <t>16-08-2023</t>
  </si>
  <si>
    <t>RFID based Smart Cart using Load Cell</t>
  </si>
  <si>
    <t>20-04-2024</t>
  </si>
  <si>
    <t>Sustainable Energy And Power Quality Assessment By Invasive Thermography And Energy Audit In The Tea Industry: A Scientific Study</t>
  </si>
  <si>
    <t>29-05-2024</t>
  </si>
  <si>
    <t>18-03-2024</t>
  </si>
  <si>
    <t>Analysis and Real-time Implementation of Power Line Disturbances Test in Three Phase Induction Motor</t>
  </si>
  <si>
    <t>Applying Fusion Of Feature Classification To Retrieve Mammography Image Using Soft Computing Approach Under Environmentalism</t>
  </si>
  <si>
    <t>23-05-2024</t>
  </si>
  <si>
    <t>Reversible Logic Toffoli Gate Priority Encoder
for Effective Nano-Scale Application in QCA
Paradigm</t>
  </si>
  <si>
    <t>22-05-2024</t>
  </si>
  <si>
    <t xml:space="preserve">Auto Sorting and Placing of Objects using Robotics Vision Module in MELFA Industrial Robot </t>
  </si>
  <si>
    <t>19-05-2024</t>
  </si>
  <si>
    <t>A Lightweight CNN with LSTM Malware Detection Architecture for 5G and IoT Networks</t>
  </si>
  <si>
    <t>13-05-2024</t>
  </si>
  <si>
    <t>Threat Analysis and Security Measures for the Internet of Medical Things (IoMT): A Study</t>
  </si>
  <si>
    <t>A multi-radio antenna system for Cognitive Radio(CR), 5G, WLAN and
UWB MIMO applications</t>
  </si>
  <si>
    <t>18-05-2024</t>
  </si>
  <si>
    <t>Optimizing federated learning approaches with hybrid Convolutional Neural Networks - Bidirectional Encoder Representations from Transformers for precise estimation of average localization errors in wireless sensor networks</t>
  </si>
  <si>
    <t>27-05-2024</t>
  </si>
  <si>
    <t>20-05-2024</t>
  </si>
  <si>
    <t>Test Power Reduction through Reordering
Algorithm Implementation and Advancements in
BIST Architecture</t>
  </si>
  <si>
    <t>29-03-2024</t>
  </si>
  <si>
    <t>Deep Neural Machine Translation (DNMT) Hybrid Deep Learning Architecture-Based English-to-Indian Language Translation</t>
  </si>
  <si>
    <t>Application of Green Graphene-Based Nanomaterials in Agri- Biotechnological Sensors for Surveillance and Prevention of Agricultural Productivity</t>
  </si>
  <si>
    <t>Independent PV-Battery Systems by Combining Autonomous Incremental Conductance Particle Swarm Technique with a Power Management Circuitry</t>
  </si>
  <si>
    <t>A versatile nature of effective photocatalytic activity for degradation of the organic pollutant Rhodamine-B dye by PVA/ZnO/CuO nanocomposite</t>
  </si>
  <si>
    <t>Impetus Yield of Acrylic Top Cover Pyramid Solar Still Due toFurthered Thermal Conductivity of MnO and PANI-MnO Nanocomposite Materials</t>
  </si>
  <si>
    <t>Redox additives dependent supercapacitor performances of ZnO/SnO @MWCNT nanocomposites</t>
  </si>
  <si>
    <t>24-05-2024</t>
  </si>
  <si>
    <t>26-03-2024</t>
  </si>
  <si>
    <t>Green Synthesis of Metal-Doped ZnO Nanoparticles Using Bauhinia racemosa Lam. Extract and Evaluation of Their Photocatalysis and Biomedical Applications</t>
  </si>
  <si>
    <t>A novel swarm intelligence-based fuzzy logic in efficient connectivity of vehicles</t>
  </si>
  <si>
    <t>Preparation of activated carbon derived from Prosopis juliflora for the removal of malachite green</t>
  </si>
  <si>
    <t xml:space="preserve">Dr.Rajesha </t>
  </si>
  <si>
    <t>Sustainable Energy Solutions: Avoa Algorithm for Precision Solar Farm Placement</t>
  </si>
  <si>
    <t>LOAD BALANCING IN CLOUD COMPUTING VIA MAYFLY OPTIMIZATION ALGORITHM</t>
  </si>
  <si>
    <t>DETECTION OF PARKINSON'S DISEASE VIA CLIFFORD GRADIENT-BASED RECURRENT NEURAL NETWORK USING MULTI-DIMENSIONAL DATA</t>
  </si>
  <si>
    <t>15-04-2024</t>
  </si>
  <si>
    <t>Secure multi-party computation in deep learning : Enhancing privacy in distributed neural networks</t>
  </si>
  <si>
    <t>CNN based plant disease identification using PYNQ FPGA</t>
  </si>
  <si>
    <t>Design of Efficient Binary Multiplier Architecture using Hybrid Compressor with FPGA Implementation</t>
  </si>
  <si>
    <t>Optimizing Cervical Cancer Classification with SVM and Improved Genetic Algorithm on Pap Smear Images.</t>
  </si>
  <si>
    <t>Advancements and Challenges in Underwater Soft Robotics: Materials, Control and Integration</t>
  </si>
  <si>
    <t>Privacy and Security in Digital Libraries</t>
  </si>
  <si>
    <t>Anticipated requirements and expectations in the digital library</t>
  </si>
  <si>
    <t>Intelligent Library Management Using Radio Frequency Identification</t>
  </si>
  <si>
    <t>Deep Learning based DDoS Attack Detection in Internet of Things: An Optimized CNN-BiLSTM Architecture with Transfer Learning and Regularization Technologies.</t>
  </si>
  <si>
    <t>A lightweight multi-layer authentication protocol for wireless sensor networks in IoT applications</t>
  </si>
  <si>
    <t>Ms.R. Megala</t>
  </si>
  <si>
    <t>Quantum computing basics, applications and future perspectives</t>
  </si>
  <si>
    <t>Leveraging Natural Language Processing for
Detecting Fake News: A Comparative Analysis</t>
  </si>
  <si>
    <t>Single input multiple output maze shaped array antenna for millimeter wave applications</t>
  </si>
  <si>
    <t>Dr. K. Mohaideen Abdhul Kadhar</t>
  </si>
  <si>
    <t>Load based dynamic channel allocation model to enhance
the performance of device-to-device communication in WPAN</t>
  </si>
  <si>
    <t>AI-Driven Continuous Integration and Continuous Deployment in Software Engineering</t>
  </si>
  <si>
    <t>Examine the role of generative AI in enhancing threat intelligence and cyber security measures</t>
  </si>
  <si>
    <t>Investigate the role of machine learning in optimizing dynamic scaling strategies for cloudbased applications</t>
  </si>
  <si>
    <t>Impacts of high denisty Cloud Computing on Data Protection and Security management for 6G Networking</t>
  </si>
  <si>
    <t>Comparing the supersonic cloud computing model to enhance the networking and security in Traditional Data Centers</t>
  </si>
  <si>
    <t>An enhanced Virtualization of Resources for high performance applications in Cloud Computing using deep regression model</t>
  </si>
  <si>
    <t>28-01-2024</t>
  </si>
  <si>
    <t>LoRa-IoT based Smart Weather Data Acquisition and Prediction for PV Plant using Machine Learning</t>
  </si>
  <si>
    <t>16-03-2024</t>
  </si>
  <si>
    <t>An energy efficient data fault prediction based clustering and routing protocol using hybrid ASSO with MERNN in wireless sensor network</t>
  </si>
  <si>
    <t>13-02-2024</t>
  </si>
  <si>
    <t xml:space="preserve">Cognitive radio spectrum allocation using Nash equilibrium with multiple
scheduling resource selection algorithm </t>
  </si>
  <si>
    <t>29-04-2024</t>
  </si>
  <si>
    <t xml:space="preserve">Performance Investigation of Source Extension Approach on III–V Vertical Tunnel FET
</t>
  </si>
  <si>
    <t>A score based link delay aware routing protocol to improve energy optimization in wireless sensor network</t>
  </si>
  <si>
    <t>19-03-2024</t>
  </si>
  <si>
    <t>An Efficient Classification of Cassava Leaf
Disease using VGG 16</t>
  </si>
  <si>
    <t>Artificial and Deceitful Faces Detection Using Machine Learning</t>
  </si>
  <si>
    <t>21-04-2024</t>
  </si>
  <si>
    <t>A Hierarchical Framework for Fake News Detection Using Semantic Analysis and Source Reliability</t>
  </si>
  <si>
    <t>30-04-2024</t>
  </si>
  <si>
    <t>Elevating metaverse virtual reality experiences through network-integrated neuro-fuzzy emotion recognition and adaptive content generation algorithms</t>
  </si>
  <si>
    <t>Satellite-terrestrial Integrated Computing and Artificial Intelligence as a Means of Achieving Handover Management</t>
  </si>
  <si>
    <t>Monitor and detect suspicious online transactions</t>
  </si>
  <si>
    <t>FEDDBN-IDS: federated deep belief network-based wireless network intrusion detection system</t>
  </si>
  <si>
    <t>16-01-2024</t>
  </si>
  <si>
    <t>Seidel Laplacian Energy of Fuzzy graphs</t>
  </si>
  <si>
    <t>17-04-2024</t>
  </si>
  <si>
    <t>Improvement of Aerodynamic Performance of Aerofoil Design by Using Shark Skin Inspired Denticles</t>
  </si>
  <si>
    <t>23-03-2024</t>
  </si>
  <si>
    <t>Comparison of plastic collapse moment for diferent angled non‑circular pipe bends under bending moments and internal pressure</t>
  </si>
  <si>
    <t>Microstructure, Worn Surface, Wear Assessment and Taguchi’s Approach of Titanium Alloy Hybrid Metal Matrix Composites for Automotive Applications</t>
  </si>
  <si>
    <t>Design and Performance Enhancement of DGS Based Planar Antenna for UWB Wireless Communication</t>
  </si>
  <si>
    <t xml:space="preserve">An inspired chaos-based estimation-theory optimization for low-density
parity-check (LDPC) code decoding </t>
  </si>
  <si>
    <t>20-03-2024</t>
  </si>
  <si>
    <t xml:space="preserve">Analyzing the performance of a bio-sensor integrated improved blended
learning model for accurate pneumonia prediction </t>
  </si>
  <si>
    <t>Multi-Objective ED2MT Strategy-based Clustering Algorithm for Large Scale WSN</t>
  </si>
  <si>
    <t>Energy Aware Reliable Sleep Wakeup based Clustering Scheme in WSN</t>
  </si>
  <si>
    <t>HOEEACR: Hybrid Optimized Energy-Efficient Adaptive Clustered Routing for WSN</t>
  </si>
  <si>
    <t>"Analysis Of Software Defect Prediction Using Machine-Learning Techniques"</t>
  </si>
  <si>
    <t xml:space="preserve">Vision based Plant Leaf Disease Detection and Recognition Model using Machine Learning Techniques </t>
  </si>
  <si>
    <t>Vision based Cassava Plant Leaf Disease
Classification using Machine Learning Techniques</t>
  </si>
  <si>
    <t xml:space="preserve">Intelligent Video Surveillance System for Real Time Effective Human Action Recognition using Deep .Learning Techniques </t>
  </si>
  <si>
    <t>24-04-2024</t>
  </si>
  <si>
    <t xml:space="preserve">An effective transfer learning model for multiclass brain tumor classification using MRI images </t>
  </si>
  <si>
    <t>Machine Learning Approaches on Pedestrian Detection in an autonomous vehicle</t>
  </si>
  <si>
    <t>Handwritten Character Recognition System using Deep Learning Models for Tamil Language</t>
  </si>
  <si>
    <t>Deep Cryogenic Temperature CMOS Circuit and System Design for Quantum Computing Applications</t>
  </si>
  <si>
    <t>A Survey about Post Quantum Cryptography Methods</t>
  </si>
  <si>
    <t>An improved single short detection method for smart vision-based
water garbage cleaning robot</t>
  </si>
  <si>
    <t>Evolutionary meta-heuristic optimized model: An application to plant disease diagnosis</t>
  </si>
  <si>
    <t>19-01-2024</t>
  </si>
  <si>
    <t>Energy Utilization and Production Assessment in a Cement
Industry</t>
  </si>
  <si>
    <t xml:space="preserve">Assessment of Detailed Energy Conservation Potentials: The
Case of the Ethiopian Leather Industry </t>
  </si>
  <si>
    <t>14-03-2024</t>
  </si>
  <si>
    <t>Management of GPS Tracking Systems in Transportation</t>
  </si>
  <si>
    <t>Management of Intelligent Transportation Systems and Advanced Technology</t>
  </si>
  <si>
    <t>25-03-2024</t>
  </si>
  <si>
    <t>Photonic crystal based hour glass patch antenna for the detection of breast cancer</t>
  </si>
  <si>
    <t>Design and Management of an Intelligent Parking Slot System using Computer Vision</t>
  </si>
  <si>
    <t>19-02-2024</t>
  </si>
  <si>
    <t>Brain Tumor Detection and Marker-Based Watershed Segmentation for Size Estimation using CNN</t>
  </si>
  <si>
    <t>Analysis of GAA Junction Less NS FET Towards Analog and RF Applications at 30 nm Regime</t>
  </si>
  <si>
    <t>Secure Supplu Chain Management using RFID-IoT</t>
  </si>
  <si>
    <t xml:space="preserve">FAULT PREDICTION OF INDUCTION MOTOR USINGMACHINE LEARNING ALGORITHMS </t>
  </si>
  <si>
    <t>SPRUCE: A Wearable Self-Analysis System for Real-Time Sports Performance Monitoring</t>
  </si>
  <si>
    <t>Ms.N. Banupriya</t>
  </si>
  <si>
    <t>Conference and 20 citations</t>
  </si>
  <si>
    <t>Cloud-based fault prediction using IoT in office automation for improvisation of the health of employees</t>
  </si>
  <si>
    <t>21-02-2024</t>
  </si>
  <si>
    <t xml:space="preserve">Convolution Neural Network with Unsupervised Machine Learning Approach for Feature Extraction and Brain Tumor Detection in Human beings </t>
  </si>
  <si>
    <t>29-02-2024</t>
  </si>
  <si>
    <t>Comparative study between hot isostatic pressing and pressure less sintering for self-lubricating CuO/ZTA composites</t>
  </si>
  <si>
    <t>30-01-2024</t>
  </si>
  <si>
    <t xml:space="preserve">	
Nanocomposite Marvels: Unveiling Breakthroughs inPhotocatalytic Water Splitting for Enhanced Hydrogen Evolution</t>
  </si>
  <si>
    <t>25-01-2024</t>
  </si>
  <si>
    <t>Experimental Analysis for the Performance Assessment and Characteristics of Enhanced Magnesium Composites Reinforced with Nano-Sized Silicon Carbide Developed Using Powder Metallurgy</t>
  </si>
  <si>
    <t xml:space="preserve">Green-synthesized flattened rice-shaped CuO and metal doped CuO
nanoparticles using Bauhinia racemosa Lam. leaves extract and their
photocatalytic and biological applications </t>
  </si>
  <si>
    <t>AI Based Tagging the Optimal Power Point of a Solar Photovoltaic using Artificial Bee Colony (ABC) Optimization Algorithm</t>
  </si>
  <si>
    <t>Graphical image of Trisomy Ultrascan related Total edge magic labelling</t>
  </si>
  <si>
    <t>Investigation of early symptoms of tomato leaf disorder by using analysing image and deep learning models</t>
  </si>
  <si>
    <t>A Deep Learning-based Innovative Approach for Enhancing the Precision of Tool Wear Prediction</t>
  </si>
  <si>
    <t>Energy Management System of Luminosity Controlled Smart City Using IoT</t>
  </si>
  <si>
    <t>Enhancing Network Security Algorithm Using Machine Learning</t>
  </si>
  <si>
    <t>An Overview on IoT Architecture Application Layer and Security Threats</t>
  </si>
  <si>
    <t>Ms.K.Parvathy</t>
  </si>
  <si>
    <t xml:space="preserve">Deep learning architecture towards consumer buying behaviour prediction using multitask learning paradigm
</t>
  </si>
  <si>
    <t>Dr.M.P.Geetha</t>
  </si>
  <si>
    <t>Improved Recommender System for Kid’s Hobby Prediction using different Machine Learning Techniques</t>
  </si>
  <si>
    <t>Ms.V. Niranjani</t>
  </si>
  <si>
    <t>Sensor Automation for Industrial Applications and Prediction of Energy Level for Home Appliances Using Machine Learning Algorithm</t>
  </si>
  <si>
    <t>Optimized Detection of Continuous Gravitational-Wave Signals using Convolutional Neural Network</t>
  </si>
  <si>
    <t>An Overview of Different Types of Recommendations Systems - A Survey</t>
  </si>
  <si>
    <t xml:space="preserve">Potato Plant Leaf Disease Detection and
Recognition Using R-CNN Model
</t>
  </si>
  <si>
    <t>26-09-2023</t>
  </si>
  <si>
    <t>Development of Product Quality with Enhanced
Productivity in Industry 4.0 with AI Driven
Automation and Robotic Technology</t>
  </si>
  <si>
    <t>Mr.N. Vishnu Sakravarthy</t>
  </si>
  <si>
    <t>Effect of eggshell powder on polyvinyl ester composite:
A statistical correlation on mechanical strength</t>
  </si>
  <si>
    <t xml:space="preserve">IoT-BASED ENERGY METER MONITORING SYSTEM FOR
SUSTAINABLE DEVELOPMENT
</t>
  </si>
  <si>
    <t>Reinforcement Learning Method for
Identifying Health Issues for People
with Chronic Diseases</t>
  </si>
  <si>
    <t>Internet of Healthcare Things-Enabled Open-Source Non-invasive
Wearable Sensor Architecture for Incessant Real-Time Pneumonia
Patient Monitoring</t>
  </si>
  <si>
    <t>22-02-2024</t>
  </si>
  <si>
    <t>Extreme learning machine optimized by artifcial cell swarm
optimization for the data fusion modal in WSNs</t>
  </si>
  <si>
    <t>1403-2024</t>
  </si>
  <si>
    <t>A new deep neuro-fuzzy system for Lyme disease detection
and classification using UNet, Inception, and XGBoost model
from medical images</t>
  </si>
  <si>
    <t>27-01-2024</t>
  </si>
  <si>
    <t xml:space="preserve">Regression Analysis Based Circuit Power
Estimation Technique </t>
  </si>
  <si>
    <t>Advanced Technologies for Smart
Agriculture- Crop Management System</t>
  </si>
  <si>
    <t>28-02-2024</t>
  </si>
  <si>
    <t xml:space="preserve">Detecting and Mitigating Low-Rate DoS and DDoS Attacks: Multimodal Fusion of TimeFrequency Analysis and Deep Learning model </t>
  </si>
  <si>
    <t>Enhanced ultra violet photo detecting properties of La3+ ions doped NiO nanoparticles</t>
  </si>
  <si>
    <t>Enhanced Security in Public Key Cryptography: A Novel
Approach Combining Gaussian Graceful Labeling and
NTRU Public Key Cryptosystem</t>
  </si>
  <si>
    <t>A Study on Stochastic Neutral Integro-differential Equations with Infinite
Delays: Mixed Fractional Brownian Motion and Poisson Jumps</t>
  </si>
  <si>
    <t>20-02-2024</t>
  </si>
  <si>
    <t>Characterization of heat‑treated biosilica from biomass waste fox tail
millet husks and banana fber reinforced epoxy composite</t>
  </si>
  <si>
    <t>17-02-2024</t>
  </si>
  <si>
    <t>Mechanical, wear, and fammability of chitin‑rich endoskeleton
of Sepioteuthis Sepioidea powder‑dispersed pineapple fber‑reinforced
polyester composite</t>
  </si>
  <si>
    <t>Optimization of Tube Slot Patch Antenna for TeraHertz Systems</t>
  </si>
  <si>
    <t>27-02-2024</t>
  </si>
  <si>
    <t>Design of High Gain 5G Millimeter wave Micro
Strip Patch Antenna for Wireless Applications</t>
  </si>
  <si>
    <t>28-12-2023</t>
  </si>
  <si>
    <t>RED FOX-BASED FRACTIONAL ORDER FUZZY PID CONTROLLER
FOR SMART LED DRIVER CIRCUIT</t>
  </si>
  <si>
    <t>Emotion recognition of the driver based on KLT algorithm
and ShuffleNet V2</t>
  </si>
  <si>
    <t>Detection of Brain Tumour Via Reversing
Hexagonal Feature Pattern for Classifying DoubleModal Brain Images</t>
  </si>
  <si>
    <t>Stock Market Prediction via Twitter Sentiment Analysis using BERT A Federated Learning Approach</t>
  </si>
  <si>
    <t>Formation of solitons with shape changing for a generalized nonlinear Schrödinger equation in an optical fber</t>
  </si>
  <si>
    <t>Low-Power High-Speed Modified
Three-Stage Comparator with Low
Kickback Noise</t>
  </si>
  <si>
    <t xml:space="preserve">Animal Repellent Smart System using AI based
Edge Computing
</t>
  </si>
  <si>
    <t>25-04-2023</t>
  </si>
  <si>
    <t>Construction and Integration of Knowledge Grid in
Agricultural Information Management Services</t>
  </si>
  <si>
    <t>Federated learning with hybrid differential privacy for
secure and reliable cross-IoT platform knowledge sharing</t>
  </si>
  <si>
    <t>Multimodal sentiment analysis leveraging the
strength of deep neural networks enhanced by the
XGBoost classifier</t>
  </si>
  <si>
    <t>Arduino UNO based OTP Lock for Integrated Home
Security System</t>
  </si>
  <si>
    <t>Enhancing solid waste sustainability with iroko wooden sawdust and african oil bean shell particle-strengthened epoxy composites</t>
  </si>
  <si>
    <t>Study on properties of new biodegradable plant fiber (agave decipiens) for polymer reinforcement</t>
  </si>
  <si>
    <t xml:space="preserve">Sustainable groundwater development using semi-supervised learning and community-led total forestry and pasture approach 
</t>
  </si>
  <si>
    <t xml:space="preserve">Performance analysis of battery E-vehicle system using open loop and
closed loop application </t>
  </si>
  <si>
    <t>Firebug Optimized Modified Bee Colony lgorithm for Trusted WSN Routing</t>
  </si>
  <si>
    <t xml:space="preserve">Arduino UNO Controller Based Semi Automated Wheelbarrow: The Ultimate Companion
</t>
  </si>
  <si>
    <t>Artificial Intelligence based Smart Farming and Data Collection using Deep Learning</t>
  </si>
  <si>
    <t>Performance enhancement of efficient lustering and routing protocol for wireless sensor etworks using improved elephant herd optimization algorithm</t>
  </si>
  <si>
    <t>Hybrid Artificial Neural Network-based Grasshopper Optimization Algorithm for nomaly Detection in Wireless Body Area Networks</t>
  </si>
  <si>
    <t>Efficient Nano-Scale Design of TIEO Based Reversible Logic Toffoli Gate Priority Encoder in Quantum-Dot Cellular Automata</t>
  </si>
  <si>
    <t xml:space="preserve">Enhancing data transmission efficiency in wireless sensor networks through machine learning- nabled energy optimization: A grouping model approach </t>
  </si>
  <si>
    <t>A Review on Lightweight Cryptographic algorithms in Internet of Things</t>
  </si>
  <si>
    <t>Influence of cerium and iron substitution on the Bi2WO6 hierarchical microsphere and their enhanced photocatalytic degradation performance</t>
  </si>
  <si>
    <t>SOMBOR INDEX OF EDGE CORONA PRODUCT OF SOME CLASSES OF GRAPHS</t>
  </si>
  <si>
    <t xml:space="preserve">ELECTROCHEMICAL AND QUANTUM CHEMICAL
EVALUATION ON THE CORROSION PROTECTION
EFFICIENCY OF GUM EXUDATES OF Astragalus genusFOR MILD STEEL CORROSION IN HCL MEDIUM </t>
  </si>
  <si>
    <t>Cryogenic treatment on M2 HSS tool and its
 performance</t>
  </si>
  <si>
    <t>Design and Development of Novel Solar Concentrating Spittoon to Control the Spread of COVID-19 Virus at Public Places</t>
  </si>
  <si>
    <t>Experimental Study for the Enhancement of Thermal Efficiency and Development of Nusselt Number Correlation for the Roughened Collector of Solar Air Heater</t>
  </si>
  <si>
    <t>Optimization of wire-cut EDM parameters using Taguchi and entropy coupled COPRAS approach for machining of CRT glass powder reinforced magnesium surface composite developed using friction stir processing</t>
  </si>
  <si>
    <t>Vehicle Supervision System Using Navigation Systems and Internet of Things</t>
  </si>
  <si>
    <t>Mitigation of Cyber Attacks in Software Defined Networking Framework</t>
  </si>
  <si>
    <t>IoT Based Smart Parking System</t>
  </si>
  <si>
    <t>Stress Free Workouts Using Virtual Reality</t>
  </si>
  <si>
    <t>Analysis of Distribution Line in Link with Substation using GSM Technology</t>
  </si>
  <si>
    <t>Grey Wolf Optimized Pi Controller for High Gain SEPIC Converter for PV Application</t>
  </si>
  <si>
    <t>Revolutionizing E-Cycle Charging with a Novel Regenerative Battery System</t>
  </si>
  <si>
    <t>Deep Regression Network for the Single Image
Super Resolution of Multimedia Text Image</t>
  </si>
  <si>
    <t>Examination System Automation using Natural Language Processing</t>
  </si>
  <si>
    <t>Multi-term islanding protection and load priority-based optimal shedding framework for maintain voltage stability loadability in microgrid system</t>
  </si>
  <si>
    <t>fusion with alpha Gaussian dropout in MCNN architecture</t>
  </si>
  <si>
    <t>Multi-modal emotion recognition through adaptive normalization</t>
  </si>
  <si>
    <t>-</t>
  </si>
  <si>
    <t xml:space="preserve">Folk Music Recommendation Using NSGA-II Optimization
Algorithm </t>
  </si>
  <si>
    <t>Ms.M. Sowmiya</t>
  </si>
  <si>
    <t>Crop Information Retrieval Framework Based on LDW-Ontology and SNM-BERT Techniques</t>
  </si>
  <si>
    <t>Impact of GeoGebra on Student Learning and Inclusion of GeoGebra in the Mainstream</t>
  </si>
  <si>
    <t>B.Vennila</t>
  </si>
  <si>
    <t>Trajectory Controllability of Impulsive Neutral Stochastic Functional Integrodifferential Equations Driven by fBm with Noncompact Semigroup via Mönch Fixed Point</t>
  </si>
  <si>
    <t>Design and Investigation of Photonic Crystal Antenna Performance for Expeditious Data Rate in Wireless Communication</t>
  </si>
  <si>
    <t>Design of High speed Adder with three operandsfor Image Blending Applications</t>
  </si>
  <si>
    <t>Introduction to Conventional MOSFET and Advanced Transistor TFET</t>
  </si>
  <si>
    <t xml:space="preserve">A Harris Hawk Optimization with chaotic
map based image encryption for multimedia
application
</t>
  </si>
  <si>
    <t>Automatic detection of epileptic seizure disease from EEG signals using a deep learning framework</t>
  </si>
  <si>
    <t>A.Anandaraj</t>
  </si>
  <si>
    <t>Machine Learning Based Breast Cancer Detection Using Logistic Regression</t>
  </si>
  <si>
    <t>MXene nanocomposites for current trend applications: Synthesis, properties, and future directions</t>
  </si>
  <si>
    <t>Investigation on the effects of isothermal holding temperature and time on the coarsening mechanism and rheological properties of ADC12 Al semi-solid slurry</t>
  </si>
  <si>
    <t>Comparative study using renormalized group k- 2, realizable k- 2, and standard k- 2 models for flow through S-shaped diffuser</t>
  </si>
  <si>
    <t>An Efficient System for Visually Impaired by using LORA RA01</t>
  </si>
  <si>
    <t>E. Saranya</t>
  </si>
  <si>
    <t>Cyber Security Control Systems for Operational Technology</t>
  </si>
  <si>
    <t>Machine Learning Based Crop Suitability Prediction And Fertiliser Recommendation System</t>
  </si>
  <si>
    <t>Machine Learning based Iris Recognition Modern Voting System</t>
  </si>
  <si>
    <t>D.Mohana Priya</t>
  </si>
  <si>
    <t>A survey on fault prediction and fault detection</t>
  </si>
  <si>
    <t>A CRITIC integrated WASPAS approach for selection of natural and synthetic fibers embedded hybrid polymer composite configuration</t>
  </si>
  <si>
    <t>AI-BASED POWER QUALITY IMPROVEMENT OF A UPS
FOR A SUSTAINABLE ELECTRICAL NETWORK</t>
  </si>
  <si>
    <t>An IoT based Natural Disaster Monitoring for Railway Accident Warning Alert System</t>
  </si>
  <si>
    <t>Refractive Index Sensing Using Metamaterial Absorbing
Augmentation in Elliptical Graphene Arrays</t>
  </si>
  <si>
    <t xml:space="preserve">Differential privacy scheme using Laplace mechanism and statistical
method computation in deep neural network for privacy preservation </t>
  </si>
  <si>
    <t>Era of reversible logic based quantum computing on low
power applications</t>
  </si>
  <si>
    <t>Applied for Citations(120)</t>
  </si>
  <si>
    <t>ARCHITECTURE AND FUTURE TRNDS ON NEXT
GENERATION NETWORK</t>
  </si>
  <si>
    <t>E-Mode-Operated Advanced III-V
Heterostructure Quantum Well Devices
for Analog/RF and High-Power
Switching Applications</t>
  </si>
  <si>
    <t>Biomedical Devices Adopting Energy-Harvesting Schemes</t>
  </si>
  <si>
    <t xml:space="preserve">DEEP LEARNING-BASED PRECISION DIAGNOSIS
OF LUNG DISEASES ON THE INTERNET
OF MEDICAL THINGS (IoMT)
</t>
  </si>
  <si>
    <t>Maximizing energy efficiency in wireless sensor networks for data transmission: A Deep Learning-Based Grouping Model approach</t>
  </si>
  <si>
    <t>Geospatial Data Exploration using Machine
Learning</t>
  </si>
  <si>
    <t xml:space="preserve">Epilepsy detection method based on magnitude
squared coherence and machine learning </t>
  </si>
  <si>
    <t>Improved Privacy Conservation Applicability for the
Disturbed Data in Multi Partitioned Data Collection
Environment</t>
  </si>
  <si>
    <t xml:space="preserve">Sentiment Analysis using Machine learning
algorithm using speech signal
</t>
  </si>
  <si>
    <t xml:space="preserve">An Overview of Different Types of
Recommendations Systems - A Survey
</t>
  </si>
  <si>
    <t xml:space="preserve">A Survey on Human Face Emotion Recognition
using Machine Learning Models
</t>
  </si>
  <si>
    <t>A dense layer model for cognitive emotion recognition with feature representation</t>
  </si>
  <si>
    <t>Modeling a Risk-based Networ Model for Epileptic Seizure Prediction using Learning Approaches</t>
  </si>
  <si>
    <t>Enhancing Epileptic Seizure Prediction with
Machine Learning and EEG Analysis</t>
  </si>
  <si>
    <t>1.Marking and Traceback Algorithm for IP Traceback with Bitwise Operator
2.SIGN BOT Extending an Ability to Communicate by Creating an Indian Sign Language</t>
  </si>
  <si>
    <t>File Number</t>
  </si>
  <si>
    <t xml:space="preserve"> Faculty Name</t>
  </si>
  <si>
    <t xml:space="preserve"> </t>
  </si>
  <si>
    <t>31-08-2025</t>
  </si>
  <si>
    <t>Optimization of Economic Order Quantity Inventory Model for Backorders through Trapezoidal Fuzzy Number and Regression Sensitivity Analysis</t>
  </si>
  <si>
    <t>Controllability of a fuzzy solution for nonlinearsecond-order functional neutral integro differential equation</t>
  </si>
  <si>
    <t>28-11-2025</t>
  </si>
  <si>
    <t>Applied for Citations (50)</t>
  </si>
  <si>
    <t>Visible-light induced dual charge couplings via green mixed ligand metal-organic framework for boosting photoelectrocatalytic hydrogen production in pharmaceutical wastewater</t>
  </si>
  <si>
    <t>Dr. R. Sivaguresundar</t>
  </si>
  <si>
    <t>Smart Classrooms Electric Appliances Power Consumption Minimization Using Piezoelectric Energy</t>
  </si>
  <si>
    <t>Deep Learning-Enabled Fetal Health Classiﬁcation Through Sensor-Fused IoT Environment</t>
  </si>
  <si>
    <t>Deep Learning-Based Industrial Scale Seawater Desalination Using Reverse Osmosis System</t>
  </si>
  <si>
    <t>Automatic segmentation and detection of renal cyst using AMS‑PAN and RFN‑PINN approach based on ultrasound image</t>
  </si>
  <si>
    <t>RACE-IoT: Shannon–Dragonfly Optimized Clustered Load Balancing in IoT Edge Computing</t>
  </si>
  <si>
    <t>21-08-2025</t>
  </si>
  <si>
    <t>Flexible fractal loaded patch antenna for wearable application</t>
  </si>
  <si>
    <t>22-07-2025</t>
  </si>
  <si>
    <t>FEG-NET: Fuzzy Edge Guided Deep Learning Network for Classifying Proximal Humerus Fracture</t>
  </si>
  <si>
    <t>24-11-2025</t>
  </si>
  <si>
    <t>Applied for Citations (70)</t>
  </si>
  <si>
    <t>24-03-2025</t>
  </si>
  <si>
    <t>Effect of process parameters on abrasive water jet machining of natural and synthetic fibre reinforced polymer composites: a review</t>
  </si>
  <si>
    <t>Applied for Citations (40)</t>
  </si>
  <si>
    <t>A nature-inspired dual phased fuzzy hybrid algorithm for adaptive self-healing and dynamic energy-aware resource management in cloud computing</t>
  </si>
  <si>
    <t>31-10-2025</t>
  </si>
  <si>
    <t>Mobility-Aware Lévy-Enhanced Adaptive Squirrel Optimisation Framework With Improved Double Q-Learning for Energy-Efficient DynamicWireless Sensor Networks</t>
  </si>
  <si>
    <t>ChatBot for Food Ordering Website using DialogFlow</t>
  </si>
  <si>
    <t>AI based strategic decision framework for precise e-commerce applications and ensuring consumer trust through tactical precision and decision-driven strategies</t>
  </si>
  <si>
    <t>27-11-2025</t>
  </si>
  <si>
    <t>Dr.K.Suganyadevi</t>
  </si>
  <si>
    <t>Applied for Citations (30)</t>
  </si>
  <si>
    <t>26-11-2025</t>
  </si>
  <si>
    <t>Combined Effect of Melt Shearing and Mold Vibration on Morphology of Si and Mechanical Properties of Rheo-gravity Die Casting of A339 Al Alloy</t>
  </si>
  <si>
    <t>21-11-2025</t>
  </si>
  <si>
    <t>Applied for Citations (20)</t>
  </si>
  <si>
    <t>Generative AI in Virtual Media Image, Video, and Animation Generation</t>
  </si>
  <si>
    <t>Fusion of Generative AI and Blockchain Conceptual Framework</t>
  </si>
  <si>
    <t>13-08-2025</t>
  </si>
  <si>
    <t>Hybrid Temporal Convolutional Networks with LSTSVM Model for Android Malware Detection Using Explainable AI</t>
  </si>
  <si>
    <t>22-11-2025</t>
  </si>
  <si>
    <t>Applied for Citations (80)</t>
  </si>
  <si>
    <t>Dr.M.Saravanan</t>
  </si>
  <si>
    <t>30-09-2025</t>
  </si>
  <si>
    <t>UPS-Tailored Next-Generation Battery Technologies: Variability, Sustainability, Comparative Analysis and a Technology Roadmap</t>
  </si>
  <si>
    <t>25-11-2025</t>
  </si>
  <si>
    <t>Applied for Citations (150)</t>
  </si>
  <si>
    <t>Enhancing File Security in Cloud using Dynamic Key Encryption and Blockchain Key Management</t>
  </si>
  <si>
    <t>20-11-2025</t>
  </si>
  <si>
    <t>A decision-making approach using Seidel Laplacian energy within the framework of Fermatean fuzzy graphs</t>
  </si>
  <si>
    <t>20-10-2025</t>
  </si>
  <si>
    <t>Smart Wearable Fitness Belt for Myoprotection</t>
  </si>
  <si>
    <t>31-07-2025</t>
  </si>
  <si>
    <t>Solvent Effects on the Antioxidant Activity of Daidzein and Genistein Isoflavones Through DFT Approach</t>
  </si>
  <si>
    <t>A neutral stochastic differential system analysis for ABC fractional order with a constant of variations</t>
  </si>
  <si>
    <t>Machine Learning Approaches for Optimizing ERP Supply Chain Management with Ant Colony Optimization and GBDT</t>
  </si>
  <si>
    <t>Dr.T.Kanimozhi</t>
  </si>
  <si>
    <t>24-12-2024</t>
  </si>
  <si>
    <t>Paddy Plant Disease Detection using Hybrid Deep Learning Algorithms</t>
  </si>
  <si>
    <t>Enhancing Speech Emotion Recognition Using Self Supervised Learning and Transformer-Based Models</t>
  </si>
  <si>
    <t>An Improved Spam Detection Technique using Deep and Recurrent Neural Networks</t>
  </si>
  <si>
    <t>OPTIMIZATION ALGORITHMS FOR DESIGN AND CONTROL</t>
  </si>
  <si>
    <t>17-09-20205</t>
  </si>
  <si>
    <t>GLCM features and artificial neural network for tomato crop disease classification</t>
  </si>
  <si>
    <t>17-11-2025</t>
  </si>
  <si>
    <t>Applied for Citations (60)</t>
  </si>
  <si>
    <t>Effect of Sal Wood and Babool Sawdust Fillers on theMechanical Properties of Snake Grass Fiber-ReinforcedPolyester Composites</t>
  </si>
  <si>
    <t>19-11-2025</t>
  </si>
  <si>
    <t>Modeling COVID-19 pneumonia and COVIDassociated pulmonary aspergillosis: sensitivity analysis and optimal control</t>
  </si>
  <si>
    <t>28-08-2025</t>
  </si>
  <si>
    <t>Utilizing Vehicle Adhoc Networks for Real-Time Automotive Surveillance Technology</t>
  </si>
  <si>
    <t>A novel mobile sink placement in wireless sensor network using deep maxout network based energy prediction with adjacent cell score</t>
  </si>
  <si>
    <t>Threshold Behavior of Bidirectional Sodium Currents in Sinoatrial Node Cells and Modeling Consequences for Pacemaker Dysfunction</t>
  </si>
  <si>
    <t>Age of Information Minimization Through Reinforcement Learning in IoT Enabled Cognitive Radio Networks</t>
  </si>
  <si>
    <t>Dr. R. Deepa</t>
  </si>
  <si>
    <t>Comparative Review of Large Language Models</t>
  </si>
  <si>
    <t>14-10-2025</t>
  </si>
  <si>
    <t>AI-Driven Anomaly Detection in Graphene-based Wearable Sensors for Real-Time Remote Patient Monitoring</t>
  </si>
  <si>
    <t>Application of deep learning to segment pelvis bones</t>
  </si>
  <si>
    <t>Inorganic nanocatalysts for energy systems, environmental/industrial processes and healthcare applications: A comprehensive review</t>
  </si>
  <si>
    <t>Experimental investigation on the effectof different reflecting surface by usingbox type solar cooker</t>
  </si>
  <si>
    <t>18-08-2025</t>
  </si>
  <si>
    <t>Electric Vehicle Technology Opportunities and Challenges</t>
  </si>
  <si>
    <t>Detection of IoT Botnet Attacks using Hybrid Deep Learning Models</t>
  </si>
  <si>
    <t>Design of ACEP Multiplier for Wireless Applications with Low Latency</t>
  </si>
  <si>
    <t>21-01-2025</t>
  </si>
  <si>
    <t>Deep learning approach using modified DarkNet-53 for renal cell carcinoma grading</t>
  </si>
  <si>
    <t>AI-Based Sustainable Solution for Energy Management in the Mechatronics Industry</t>
  </si>
  <si>
    <t>28-10-2025</t>
  </si>
  <si>
    <t>OPTIMIZED PHOTOVOLTAIC-DYNAMIC VOLTAGE RESTORER (PV-DVR) SYSTEM FOR POWER QUALITY ADVANCEMENT IN GRID</t>
  </si>
  <si>
    <t>A Class of Nonlinear Hilfer Fractional Differential Control System with Distributed Delay and Damping</t>
  </si>
  <si>
    <t>18-09-2025</t>
  </si>
  <si>
    <t>Fractional Neutral Pantograph Systems with Non-Singular Kernel: Analysis and Numerical Approximation</t>
  </si>
  <si>
    <t>26-02-2025</t>
  </si>
  <si>
    <t>Sodium lauryl sulphate-mediated manganese doping to enhance photocatalytic performance of cadmium sulphide-manganese composite</t>
  </si>
  <si>
    <t>1701-2025</t>
  </si>
  <si>
    <t>Fusion of  Bi 2 O /ZnO:rGO Nanocomposites and Redox Additive Electrolyte for High‑Energy‑Density Supercapacitors 3</t>
  </si>
  <si>
    <t>20-09-2025</t>
  </si>
  <si>
    <t>AI in Mechatronics Engineering</t>
  </si>
  <si>
    <t>Applications of Hyperautomation in Finance and Banking Industries</t>
  </si>
  <si>
    <t>Track Sentinel</t>
  </si>
  <si>
    <t>An Effective Content Based Image Retrieval Using Multi Feature Fusion Algorithm with Optimized Retrieval Technique of Soft Computing Approach</t>
  </si>
  <si>
    <t>16-10-2025</t>
  </si>
  <si>
    <t>Design and optimization of graphene-based terahertz absorber for stealth application</t>
  </si>
  <si>
    <t>23-09-2025</t>
  </si>
  <si>
    <t>Sustainable Predictive Maintenance for Biomass Energy Plants Using IoT and Decision Trees</t>
  </si>
  <si>
    <t>Dr.D.Thillaikkarasi</t>
  </si>
  <si>
    <t>Smart Grid Stability Enhancement using Waterwheel Plant Algorithm for Demand Side Management</t>
  </si>
  <si>
    <t>Development and Implementation of an IoTEnabled CNC Router with Integrated Vibration Monitoring System for Industry 4.0</t>
  </si>
  <si>
    <t>18-10-2025</t>
  </si>
  <si>
    <t>Revolutionizing Music Creation through Collaboration and Digital Innovation - Mutual Canvas</t>
  </si>
  <si>
    <t>30-07-25</t>
  </si>
  <si>
    <t>Securing sensitive health data: A creative solution for personal health record protection in cloud environment using attribute-based access control</t>
  </si>
  <si>
    <t>Exploring the fusion of cryptography methods for enhanced security in healthcare record management on the cloud</t>
  </si>
  <si>
    <t>24-10</t>
  </si>
  <si>
    <t>Enhancing wireless sensor network performance through self-tuned fuzzy logic, adaptive palm tree optimization, and Stackelberg Game-Theoretic load balancing: A comprehensive approach for energy efficiency, reliability, and security</t>
  </si>
  <si>
    <t>25-09</t>
  </si>
  <si>
    <t>An Automated Microstructural Analysis of SEM Images for Multiple Domain Sets Using Improved CURE (i-CURE) Algorithm in Machine Learning</t>
  </si>
  <si>
    <t>Mr.S.Tamilselvan</t>
  </si>
  <si>
    <t>14-07-2025</t>
  </si>
  <si>
    <t>Identifying the Fetal Heart Rate and gender with Intuitionistic Fuzzy Total edge Magic Labelling</t>
  </si>
  <si>
    <t>Optimizing Cutting Parameters for Effective Turning of EN-31 Steel by Utilizing Vegetable-Based Cutting Fluids as a Coolant</t>
  </si>
  <si>
    <t>23-07-2025</t>
  </si>
  <si>
    <t>Investigation on flow pattern and performance of square and cylindrical cyclone by experimental and numerical approach</t>
  </si>
  <si>
    <t>24-09-2025</t>
  </si>
  <si>
    <t>Applied for Citations (110)</t>
  </si>
  <si>
    <t>25-09-2025</t>
  </si>
  <si>
    <t>An Area Efficient Approach to Realize Vedic Multiplier using 4–2 Compressor adder for Image processing Applications</t>
  </si>
  <si>
    <t>30-07-2025</t>
  </si>
  <si>
    <t>Multi-Objective Threshold Optimized Image De-Noising Algorithm for High Density Mixed Impulse Noise</t>
  </si>
  <si>
    <t>26-09-2025</t>
  </si>
  <si>
    <t>29-09-2025</t>
  </si>
  <si>
    <t>A Secure System for Accessing the Big Data Over the Scattered Cloud Information Center Using C-Hadoop</t>
  </si>
  <si>
    <t>15-09-2025</t>
  </si>
  <si>
    <t>Exploring nonchaotic dynamics and synchronization in externally stimulated Chay neuronal networks</t>
  </si>
  <si>
    <t>Thermal vision for lady finger quality assessment: a three-stage convolutional neural network approach</t>
  </si>
  <si>
    <t>26-06-2025</t>
  </si>
  <si>
    <t>Deep Stacked Kronecker Network for Intrusion Detection System in IoT Environment with Big Data</t>
  </si>
  <si>
    <t>15-01-2025</t>
  </si>
  <si>
    <t>Monitoring and Tracking Orthotic Patients using IoT</t>
  </si>
  <si>
    <t>MXene-MOF hybrid nanocomposite in hydrogen production: Challenges, strategies, and future perspectives</t>
  </si>
  <si>
    <t>01.08.2025</t>
  </si>
  <si>
    <t>HYBRID DEEP LEARNING-BASED RADIOMICS ANALYSIS FOR PREDICTING TREATMENT RESPONSE IN PANCREATIC CANCER USING MULTI- PARAMETRIC MRI</t>
  </si>
  <si>
    <t>15.07.2025</t>
  </si>
  <si>
    <t>Implementation_of_IoT_based_Voice_Controlled_Smart_Home_using_Google_Assistant</t>
  </si>
  <si>
    <t>25.08.2025</t>
  </si>
  <si>
    <t>FPGA based design and performance evaluation of 32-bit hybrid carry select adder architectures</t>
  </si>
  <si>
    <t>09.09.2025</t>
  </si>
  <si>
    <t>Business Intelligence and Big Data Analytics for Industry 4.0</t>
  </si>
  <si>
    <t>Industry 4.0 and the AI/ML Era: Revolutionizing Manufacturing</t>
  </si>
  <si>
    <t>12.09.2025</t>
  </si>
  <si>
    <t>Dr.S.Sheebha Rani</t>
  </si>
  <si>
    <t>28.02.2025</t>
  </si>
  <si>
    <t>Intelligent Energy Harvesting from Biodegradable Waste Using Wireless Sensor Networks and Machine Learning Techniques</t>
  </si>
  <si>
    <t>23.07.2025</t>
  </si>
  <si>
    <t>DFT Aware Test Architecture for Communication ICs: ATPG-Based Fault Detection on Lower Technology Node</t>
  </si>
  <si>
    <t>03.07.2025</t>
  </si>
  <si>
    <t>Synthesis and characterization of aluminum-doped tin oxide nanoparticles for aerospace applications</t>
  </si>
  <si>
    <t>21.07.2025</t>
  </si>
  <si>
    <t>Advanced IoT-enabled embedded wearable system for continuous cardiovascular health monitoring using edge intelligence</t>
  </si>
  <si>
    <t>Image Copyright Protection Using Quantum Watermarking</t>
  </si>
  <si>
    <t>A Performance-based Comparison of Li-Ion and Flexible Battery Technologies in Smartphones</t>
  </si>
  <si>
    <t>26-08-2025</t>
  </si>
  <si>
    <t>Seidel Laplacian energy of bipolar fuzzy graphs and enhanced score functions for decision-making applications</t>
  </si>
  <si>
    <t>Comparison of high-performance TiO2-coated Al electrode (TiO2/Al) and conventional electrodes in removal of dyes using electrocoagulation reactor</t>
  </si>
  <si>
    <t>15-06-2025</t>
  </si>
  <si>
    <t>Measurement and analysis of transient heat flux on a conical surface using platinum thin film gauges</t>
  </si>
  <si>
    <t>25-06-2025</t>
  </si>
  <si>
    <t>Novel mammography images approach for breast cancer diagnosis using ensemble feature extraction</t>
  </si>
  <si>
    <t>Smart Mirror Using Internet of Things</t>
  </si>
  <si>
    <t>20.07.2025</t>
  </si>
  <si>
    <t xml:space="preserve">Design of SP Terahertz Filtenna Using Frequency-Selective Surface for High Data Rate Communication
</t>
  </si>
  <si>
    <t>Impact of Metamaterial Patch Antenna onBreast Cancer Detection Using TerahertzTechnologies</t>
  </si>
  <si>
    <t>Design and Analysis of THZ Notch Filter UsingSS-SRR</t>
  </si>
  <si>
    <t>Optical Signal Processing Beamforming Networkfor 6G Mobile Communication</t>
  </si>
  <si>
    <t>12.06.2025</t>
  </si>
  <si>
    <t>Improving wireless data efficiency through the development of terahertz antennas with unique photonic crystal air holes</t>
  </si>
  <si>
    <t>Enhanced Network Performance in WSNs through the Improved PSO-MBO Coverage Algorithm</t>
  </si>
  <si>
    <t xml:space="preserve">Efficient Intrusion Detection System Data Preprocessing Using Deep Sparse Autoencoder with Differential Evolution
</t>
  </si>
  <si>
    <t>Ms. N. Saranya</t>
  </si>
  <si>
    <t>Aeroponics Techniques for Improved Farming Using Artificial and Deep Learning techniques</t>
  </si>
  <si>
    <t>Crop Disease Detection Using Edge IoT Devices and YOLOv5 based Classification</t>
  </si>
  <si>
    <t>Nanotechnology in drug delivery: Targeted therapies for precision medicine</t>
  </si>
  <si>
    <t>Incentive</t>
  </si>
  <si>
    <t>Research Incentive Approved by Pricipal Mam</t>
  </si>
  <si>
    <t>19-08-2025</t>
  </si>
  <si>
    <t>Smart Speed Enforcement using YOLOv8, SuperResolution, and Exponential Penalty Model</t>
  </si>
  <si>
    <t>Road Crater Detection and Damage Analysis for Smart Urban Infrastructure using YOLOv8</t>
  </si>
  <si>
    <t>Wildlife Detection and Behavioral Analysis in Farmland using YOLOv8m and LSTM</t>
  </si>
  <si>
    <t>05.08.2025</t>
  </si>
  <si>
    <t>08.08.2025</t>
  </si>
  <si>
    <t>12.12.2024</t>
  </si>
  <si>
    <t>Precise Identiﬁcation of Anomalies in Brats MR Brain Images using Metaheuristic Optimization Techniques</t>
  </si>
  <si>
    <t>Ms.M.Vaishali</t>
  </si>
  <si>
    <t>Robotics in Healthcare: Artiﬁcial Intelligence-Driven Application for Medical Diagnosis and Treatment</t>
  </si>
  <si>
    <t>10.08.2025</t>
  </si>
  <si>
    <t>Design of mTCN framework for disaster prediction a fusion of massive machine type communications and temporal convolutional networks</t>
  </si>
  <si>
    <t>17.06.2025</t>
  </si>
  <si>
    <t>Real-Time Monitoring of Brackish Water Quality using an IoT System with LoRaWAN Technology</t>
  </si>
  <si>
    <t>Experimental Analysis Of 10*4 Circular Patch Multiband Array Antenna With Improved Radiation Efficiency For Wireless Communication</t>
  </si>
  <si>
    <t>Design and Development of a Shamrock Leaf-Shaped Fractal Antenna with Integrated Filtering for WLAN/WiMAX Applications</t>
  </si>
  <si>
    <t>Influence of extruder speed on tensile strength of PLA material casted through additive manufacturing</t>
  </si>
  <si>
    <t>Wear Analysis of Manganese Steel in Order to Develop Mathematical Model</t>
  </si>
  <si>
    <t>Construction of MoS2@RGO hybrid catalyst: An efficient and highly stable electrocatalyst for enhanced hydrogen generation reactions</t>
  </si>
  <si>
    <t>29-07-2025</t>
  </si>
  <si>
    <t>Applied for Citations (90)</t>
  </si>
  <si>
    <t>13-02-2025</t>
  </si>
  <si>
    <t>Efficient Energy Utilization and Emission Reduction Strategies in Plant Operations</t>
  </si>
  <si>
    <t>Studies on the Effect of Baffle Plates in Settling Chamber Performance by CFD and Experimental Analysis</t>
  </si>
  <si>
    <t>Blockchain Technology for Secure Transactions in Banking: A Research Perspective</t>
  </si>
  <si>
    <t>The Smart Prediction of Stroke Risk with Artificial Intelligence based algorithms</t>
  </si>
  <si>
    <t>Machine Learning Approaches to Fraud Detection in Banking Systems: A Technical analysis</t>
  </si>
  <si>
    <t>Q2 Journal</t>
  </si>
  <si>
    <t>Sybil Attack Detection in VANET Using CNN Enhanced with Chaotic Maps and Elephant Herding Optimization for Secure Data Transmission</t>
  </si>
  <si>
    <t>Quantum-Aided Digital Twin Synchronization for Autonomous Vehicular Ecosystems over 6G-Enabled Edge Networks</t>
  </si>
  <si>
    <t>Ms.R.Preethi</t>
  </si>
  <si>
    <t>Performance Evaluation of Shor Algorithm on Simulated Quantum Hardware with Circuit Level Analysis</t>
  </si>
  <si>
    <t>17-07-2025</t>
  </si>
  <si>
    <t>Biosynthesized CoFe2O4 from grape peel extract and polyvinyl alcohol-based composite evaluation and characterization</t>
  </si>
  <si>
    <t>16-07-2025</t>
  </si>
  <si>
    <t>Blockchain Technology for Secure and Trustworthy IoT Systems</t>
  </si>
  <si>
    <t>Synergizing blockchain and collaborative networks</t>
  </si>
  <si>
    <t>Enhancing access to information</t>
  </si>
  <si>
    <t>Business Intelligence and Big Data Analytics for Industry 5.0</t>
  </si>
  <si>
    <t>Enhancing Data Security and Accessibility in Libraries Through Blockchain Technology</t>
  </si>
  <si>
    <t>Leveraging Blockchain for Enhanced User Authentication and Privacy</t>
  </si>
  <si>
    <t>Safeguarding Digital Archives With Advanced Strategies</t>
  </si>
  <si>
    <t>Blockchain in academic libraries</t>
  </si>
  <si>
    <t>Leveraging Blockchain Technology to Enhance Library Security</t>
  </si>
  <si>
    <t>Ensuring Transparent and Auditable Library Transactions With Blockchain</t>
  </si>
  <si>
    <t>18-07-2025</t>
  </si>
  <si>
    <t>27-06-2025</t>
  </si>
  <si>
    <t>CRITIC–EDAS Approach for Evaluating Mechanical Properties of Flax/Vetiver/MFF Hybrid Composites</t>
  </si>
  <si>
    <t>Enhancing Consumer Interaction with AI Chatbots: Investigating the Impact of Human-Like Attributes, Social Connectivity, and Engagement Dynamics</t>
  </si>
  <si>
    <t>HarnessingGenerative AIforIoT Enhanced Education</t>
  </si>
  <si>
    <t>Adaptive Vehicle Control System for Improved Safety With Image Processing</t>
  </si>
  <si>
    <t>Computational Linear Modeling for Human Lung Mechanics</t>
  </si>
  <si>
    <t>Binary Classification of Meningioma Grades Using CNN and VGG16 + XGBoost Deep Learning Models</t>
  </si>
  <si>
    <t>25-05-2025</t>
  </si>
  <si>
    <t>Separator equipment performance of iron ore and coal using experimental and ANN-based analysis</t>
  </si>
  <si>
    <t>End-to-End Personalized Medical Recommendation Framework for Disease Prediction</t>
  </si>
  <si>
    <t>Hybrid Quantum-Classical Phase optimization in Reflecting PMS beamforming</t>
  </si>
  <si>
    <t>14-05-2025</t>
  </si>
  <si>
    <t>Reconfigurable Intelligent Surfaces for 6G: A Comprehensive Overview and Electromagnetic Analysis</t>
  </si>
  <si>
    <t>Emerging Applications and Potential Use Cases of Reconfigurable Intelligent Surfaces in Wireless Communication Systems</t>
  </si>
  <si>
    <t>Enhancing Electricity Theft Detection and Loss Prediction in Metro Cites Using Hybrid Machine Learning Model</t>
  </si>
  <si>
    <t>Dr. L.R.Sujithra</t>
  </si>
  <si>
    <t>20-07-2025</t>
  </si>
  <si>
    <t>Optimal Charging Control of No-Insulation HTS Magnets using Pontryagin’s Principle and Advanced Nizar Optimization Technique</t>
  </si>
  <si>
    <t>28-06-2025</t>
  </si>
  <si>
    <t>Detection Of Counterfeit Images Through Deep Learning based Yolov3 Model</t>
  </si>
  <si>
    <t>Threat Eye: Behavior Analytics for Cloud Security using ML</t>
  </si>
  <si>
    <t>27-02-2025</t>
  </si>
  <si>
    <t>An Energy Efficient Low Power CNTFET Implementation of Pseudo-NMOS Based 4:2 Compressor</t>
  </si>
  <si>
    <t>Deep LSTM and Chi-Square Based Feature Selection Model for Traffic Congestion Prediction in Ad-Hoc Network</t>
  </si>
  <si>
    <t>Reliable Optical Wireless Communication in Underwater Sensor Networks Using GRO Based DCO‑OFDM</t>
  </si>
  <si>
    <t>M-DODGE: Mutation Based Dragon Fly Optimized Deep Learning Model for Congestion Control in MANET</t>
  </si>
  <si>
    <t>14-06-2025</t>
  </si>
  <si>
    <t>DGN-TBMF: DUAL GENERATOR NETWORK BASED ON TRI-BRAIN MODAL FUSION FOR ACCURATE BRAIN DISEASE DIAGNOSIS</t>
  </si>
  <si>
    <t>GINSER: Geographic Information System Based Optimal Route Recommendation via Optimized Faster R‑CNN</t>
  </si>
  <si>
    <t>24-06-2025</t>
  </si>
  <si>
    <t>Outlier Detection in High-Dimensional Data using t- Distributed Stochastic Neighbor Embedding</t>
  </si>
  <si>
    <t>25-02-2025</t>
  </si>
  <si>
    <t>Face Recognition Based on Smart Attendance System Using Python</t>
  </si>
  <si>
    <t>Effects of Palm Stalk Ash on Mechanical Properties of A16061 Reinforced with Graphite by Using Stir Casting Process</t>
  </si>
  <si>
    <t>Dr.K.Sathish</t>
  </si>
  <si>
    <t>An Experimental Investigation of Volume Fraction of Natural Java Jute and Sponge Gourd Fiber Reinforced Polymer Matrix Composite</t>
  </si>
  <si>
    <t>Explorations into the mechanical properties of composites reinforced with sisal and abaca natural fibers</t>
  </si>
  <si>
    <t>SCI</t>
  </si>
  <si>
    <t>Real-Time Monitoring in Polymer Composites: Internet of Things Integration for Enhanced Performance and Sustainability-A Review</t>
  </si>
  <si>
    <t>Some new open sets in bipolar N-neutrosophic supra topological spaces</t>
  </si>
  <si>
    <t>The Experimental Significance Of Enhancing Titanium Alloy Nanocomposites Made By Selective Laser Additive Manufacturing And Extracting Bio-Silica From Calotropis Gigantea</t>
  </si>
  <si>
    <t>13-03-2025</t>
  </si>
  <si>
    <t>Enhancing the Security by Analyzing the Behavior of Multiple Classification Algorithms with Dimensionality Reduction to Obtain Better Accuracy</t>
  </si>
  <si>
    <t>Automated Pest Detection in Crop Fields using Deep Learning Techniques</t>
  </si>
  <si>
    <t>Multi-Parameter MRI Image Analysis and Application of Edge Detection for Brain Tumor Detection</t>
  </si>
  <si>
    <t>AI Driven railway crack detection system using Convolutional Neural Network and IoT</t>
  </si>
  <si>
    <t>Banach Fixed-Point Theorem for Fuzzy Nonlinear Neutral Integrodifferential Equations in n-Dimensional Spaces</t>
  </si>
  <si>
    <t>21-05-2025</t>
  </si>
  <si>
    <t>Characterization Of Amino-Silane Functionalized Annealed Biosilica And Nettle Fiber-Reinforced Vinyl Ester Composite</t>
  </si>
  <si>
    <t>15-02-2025</t>
  </si>
  <si>
    <t>Load bearing characterization of kenaf fiber/poly(vinyl ester) composites reinforced by silanized biomass waste tamarind shell and roasted chickpeas powder</t>
  </si>
  <si>
    <t>Refining Intrusion Detection Capabilities through Combined Algorithmic Classification Techniques</t>
  </si>
  <si>
    <t>Improving Intrusion Detection Precision via Multi- Classification Algorithm Examination</t>
  </si>
  <si>
    <t>17-06-2025</t>
  </si>
  <si>
    <t>Biometric System Attacks-A Case Study</t>
  </si>
  <si>
    <t>20-05-2025</t>
  </si>
  <si>
    <t>Investigation of Octuplet Patch Terahertz Antenna for the Application of Breast Cancer Detection</t>
  </si>
  <si>
    <t>Skin Cancer Classification using Machine Learning Techniques</t>
  </si>
  <si>
    <t>Software Based Self Determined Welfare Scheme</t>
  </si>
  <si>
    <t>E-BUDDY FOR RESCUE CHILD LABOUR</t>
  </si>
  <si>
    <t>28-05-2025</t>
  </si>
  <si>
    <t>Utilizing Extreme Gradient Boosting (XGBoost) for Apple Scab Disease Detection</t>
  </si>
  <si>
    <t>Unraveling The Mysteries Of Brain Tumors: Harnessing Deep Learning For Detection And Classification</t>
  </si>
  <si>
    <t>Enhancing Healthcare Monitoring through Wearable Computing and Massive MIMO Technology in 5G IoT Networks</t>
  </si>
  <si>
    <t>24-05-2025</t>
  </si>
  <si>
    <t>Optimized Energy-Efficient Hybrid LW-AES and LW-ECC Security Framework for VLC and RF Networks</t>
  </si>
  <si>
    <t>14-04-2025</t>
  </si>
  <si>
    <t>Investigation of Magnet Materials for In-Wheel BLDC Motors for Low-power Electric Vehicle Applications</t>
  </si>
  <si>
    <t>Membership Weight Salp Swarm Algorithm (MWSSA) based feature selection and deep learning approach for breast cancer classification of SNP genomics data</t>
  </si>
  <si>
    <t>Automated Apple Wax Detection with Convolutional Neural Networks</t>
  </si>
  <si>
    <t xml:space="preserve">Dr.M.Thenmozhi </t>
  </si>
  <si>
    <t>Enhanced Skin Leision Diagnosis using Deep Learning Techniques</t>
  </si>
  <si>
    <t>Advancing Conversational Chatbots: Optimizing User Interaction and Information Access</t>
  </si>
  <si>
    <t>31-05-2025</t>
  </si>
  <si>
    <t>An efficient optimized deep learning model for the risk prediction of arterial stiffness in diabetes patients</t>
  </si>
  <si>
    <t>Advanced Dual Mode Weapon Detection for Public Safety and Surveillance System</t>
  </si>
  <si>
    <t>Hybrid Termite Queen and Walrus Optimization Algorithm-based energy efcient cluster-based routing with static and mobile sink node in WSNs</t>
  </si>
  <si>
    <t>Dr.PL.Rajarajeswari</t>
  </si>
  <si>
    <t>22-05-2025</t>
  </si>
  <si>
    <t>Adaptive Hierarchical Clustering and Batch-free Top-K Sequential Pattern Mining for Data Streams</t>
  </si>
  <si>
    <t>Dr.K.Poonkodi</t>
  </si>
  <si>
    <t>17-02-2025</t>
  </si>
  <si>
    <t>Accurate Brain Tumor detection using Optimized feature selection based hybrid algorithm</t>
  </si>
  <si>
    <t>16-06-2025</t>
  </si>
  <si>
    <t>Utilizing AI and Digital Twin Technology to Cultivate Entrepreneurial Mindsets and Foster Creativity in Management Education</t>
  </si>
  <si>
    <t>16-05-2025</t>
  </si>
  <si>
    <t>A review of machine learning applications in polymer composites: advancements, challenges, and future prospects</t>
  </si>
  <si>
    <t>16-04-2025</t>
  </si>
  <si>
    <t>Applied for Citations (120)</t>
  </si>
  <si>
    <t>Q1 Journal</t>
  </si>
  <si>
    <t>Value-added utilization of agricultural wastes in biocomposite production: Characteristics and applications</t>
  </si>
  <si>
    <t>26-04-2025</t>
  </si>
  <si>
    <t>A Novel NiMn2O4@rGO Nanocomposite as a Photocatalytic Application Against Organic Pollutants</t>
  </si>
  <si>
    <t>Dr.R.Kayalvizhi</t>
  </si>
  <si>
    <t>Robust Sensor Fusion Algorithms for IoT</t>
  </si>
  <si>
    <t>Ms. S. Leela</t>
  </si>
  <si>
    <t>An adaptive energy detection scheme using estimation of noise uncertainty for cognitive radio</t>
  </si>
  <si>
    <t>Design and Implementation of Voice based Writing Machine using Speech Recognition</t>
  </si>
  <si>
    <t>Design and FPGA Implementation of Efficient Multiplier Architecture using Reversible Logic</t>
  </si>
  <si>
    <t>Advancing VLSI Routing Algorithms through Machine Learning Techniques</t>
  </si>
  <si>
    <t>An Improved Sunflower Optimization Algorithm For Cluster Selection With Secured Data Transmission Using Cryptographic Techniques In Wsns -IOT</t>
  </si>
  <si>
    <t>Aritificial Intelligence- Based Drowsiness Detection</t>
  </si>
  <si>
    <t>18-05-2025</t>
  </si>
  <si>
    <t>An Analysis Of The Seidel Laplacian Energy Of A Fuzzy Intuitionistic System</t>
  </si>
  <si>
    <t>30-12-2024</t>
  </si>
  <si>
    <t>On Fermatean Fuzzy alpha Separation Axioms</t>
  </si>
  <si>
    <t>17-05-2025</t>
  </si>
  <si>
    <t>Investigation on Enhanced Detection of Parkinson’s Disease in Brain Imaging using Ensemble Learning Approaches</t>
  </si>
  <si>
    <t>IoT Applications in Smart Building Energy Management</t>
  </si>
  <si>
    <t>28-03-2025</t>
  </si>
  <si>
    <t>Conformable Fractional Stochastic Differential Inclusions Driven byPoisson JumpswithOptimalControlandClarke Subdifferential</t>
  </si>
  <si>
    <t>Applied for Citations (100)</t>
  </si>
  <si>
    <t>25-03-2025</t>
  </si>
  <si>
    <t>Smart Reader and Obstacle Detector for Visually Impaired</t>
  </si>
  <si>
    <t>IoT-Enabled_Smart_Recycling_Vending_Machine Using Raspberry_Pi for Waste Management</t>
  </si>
  <si>
    <t>An Analysis on Energy Performance Assessment for Energy Efficiency Measures in Selected Commercial Buildings Using IoT Simulation Frameworks</t>
  </si>
  <si>
    <t>23-04-2025</t>
  </si>
  <si>
    <t>Enhancement of fMAX/fT in α-Ga2O3 MOSFET with ultra-wide bandgap MgO and CaO blocking layers</t>
  </si>
  <si>
    <t>Deep learning-assisted 3D model for the detection and classification of knee arthritis</t>
  </si>
  <si>
    <t>Rolling Bearing Fault Diagnosis using Support Vector Machine Algorithm with K-Fold Cross Validation and Gaussian Kernel</t>
  </si>
  <si>
    <t>Emotion Based Music Recommendation System</t>
  </si>
  <si>
    <t>24-04-2025</t>
  </si>
  <si>
    <t>Ag2MoO4 nANO PARTICLES ANCHORED ON NITROGEN-DOPED GRAPHENE NANOSHEETS AS ELECTRODE MATERIAL FRO SUPERCAPACITORS</t>
  </si>
  <si>
    <t>Human Detection and Tracking using Machine Learning Algorithm</t>
  </si>
  <si>
    <t>An Effective Improved Dropout-Boosted Convolutional Autoencoder for Energy Consumption Prediction in Electrical Construction Industry</t>
  </si>
  <si>
    <t>Mask FORD-NET: Efficient Detection of Digital Image Forgery using Hybrid REG-NET based Mask-RCNN</t>
  </si>
  <si>
    <t>Energy-Efficient Parametric Optimization of Al/TiB/SiO Hybrid Nanocomposites through SN ratio and ANOVA method</t>
  </si>
  <si>
    <t>Strawberry Diseases Detection Using Adaptive Deep Residual Network</t>
  </si>
  <si>
    <t>Cryptography in IoT Using Elliptic Curve Cryptography with Adaptive Hunter-Prey Optimization</t>
  </si>
  <si>
    <t>Solar integrated interleaved Luo converter for brushless DC motor using whale optimization</t>
  </si>
  <si>
    <t>13-05-2025</t>
  </si>
  <si>
    <t>Compact Analytical Model for a Raised Buried Oxide Ferroelectric TFET for RF/Analog Applications and Its Implementation as an Inverter</t>
  </si>
  <si>
    <t>AREA-DELAY-POWER-EFFICIENT GDI ARCHITECTURE SELECT ADDER TO CARRY</t>
  </si>
  <si>
    <t>Improved Adaptive Fairness-Indexed Technique for Congestion Control in Underwater Networks</t>
  </si>
  <si>
    <t>Hybrid Machine Learning Methodology for Real Time Quality of Service Prediction and Ideal Spectrum Selection in CRNs</t>
  </si>
  <si>
    <t>Tech Guardians: Comprehensive Defense against Cyber Threats</t>
  </si>
  <si>
    <t>Ms.P. Megala</t>
  </si>
  <si>
    <t>17-09-2024</t>
  </si>
  <si>
    <t>Smart Patrolling System Using Machine Learning</t>
  </si>
  <si>
    <t>Fuzzy Traveling Salesman Problem of Fuzzy Hexagonal Numbers using Ranking Method and Dijkstra's Algorithms</t>
  </si>
  <si>
    <t>Classification of Inter-Turn Insulation Faults in Three-Phase Induction Motors and Optimum Detection Using GJO-GBDT Method</t>
  </si>
  <si>
    <t>13-12-2025</t>
  </si>
  <si>
    <t>Smart Healthcare Systems Using IoE and AI</t>
  </si>
  <si>
    <t>22-04-2025</t>
  </si>
  <si>
    <t>28-02-2025</t>
  </si>
  <si>
    <t>Enhanced brain tumor detection and classification using a deep image recognition generative adversarial network (DIR-GAN): A comparative study on MRI, X-ray, and FigShare datasets</t>
  </si>
  <si>
    <t>25-04-2025</t>
  </si>
  <si>
    <t>MONKEYPOX: A NEW MATHEMATICAL MODEL USING THE CAPUTOFABRIZIO FRACTIONAL DERIVATIVE</t>
  </si>
  <si>
    <t>An Energy-Efficient Branch and Bound Optimization Algorithm for Large-Scale Software-Defined Networks</t>
  </si>
  <si>
    <t>23-02-2025</t>
  </si>
  <si>
    <t>Emerging Trends Shaping the Sustainable Future of Food Industry 5.0: Challenges and Opportunities</t>
  </si>
  <si>
    <t>Dr.M.Mohamad Mustafa</t>
  </si>
  <si>
    <t>Aggregated approach for interstitial lung diseases classification using attention based CNN and radial basis function neural network</t>
  </si>
  <si>
    <t>Classifications of meningioma brain images using the novel Convolutional Fuzzy C Means (CFCM) architecture and performance analysis of hardware incorporated tumor segmentation module</t>
  </si>
  <si>
    <t>An innovative dual-phased synergistic energy management approach for WSNs using enhanced sleep/awake scheduling and adaptive routing process</t>
  </si>
  <si>
    <t>High-Resolution Gc-Ms For Tracking Volatile Organic Emissions In Solar-Enhanced Redox Flow Batteries</t>
  </si>
  <si>
    <t>Enhanced visible light driven of novel 2D/2D CoNb2O6/g-C3N5 type-II heterojunction for boosting photocatalytic degradation of cefuroxime: Performance and mechanistic insights</t>
  </si>
  <si>
    <t>Optimization of crystal violet adsorption using sulfuric acid activated kamugu nut shell carbon: a factorial design approach</t>
  </si>
  <si>
    <t>Grid Based Reliable Routing Algorithm with Energy Efficient in Wireless Sensor Networks Using Image Processing</t>
  </si>
  <si>
    <t>Enhanced Framework for MRI Brain Tumor Recognition with Residual Learning and Intuitive Heatmap Visualization</t>
  </si>
  <si>
    <t>18-03-2025</t>
  </si>
  <si>
    <t>An Investigative Analysis on Blockchain for Secure and Transparent Solution for Healthcare Data Challenges</t>
  </si>
  <si>
    <t>PREDICTIVE MODELING OF LUNG CANCER DISEASE OUTCOMES USING ENSEMBLE LEARNING</t>
  </si>
  <si>
    <t>ADDRESSING NON-NORMALISED SEQUENCES IN STROKE IMAGING DATA: ROBUST DEEP LEARNING MODELS FOR CROSS-MODALITY IMAGE ANALYSIS</t>
  </si>
  <si>
    <t>TEMPORAL GRAPH CONVOLUTIONAL NETWORKS FOR PREDICTING DISEASE OUTBREAKS IN PUBLIC HEALTH SURVEILLANCE</t>
  </si>
  <si>
    <t>Grey wolf optimizer with softmax-regressed and tanimoto reweight for AI-ML-based wireless sensor network routing</t>
  </si>
  <si>
    <t>Factors Affecting Performance of Diesel Engine Using DEE as an Ignition Enhancer by varying EGR and Intake Air Temperature</t>
  </si>
  <si>
    <t>Deep Learning Models for Customer Lifetime Value Prediction in E-commerce</t>
  </si>
  <si>
    <t>Already Paid 1800 instead of 3000 so Remaining Amount is Paid here</t>
  </si>
  <si>
    <t>An optimized Indian-General-Elections-Based social science data prediction using multiscale dense nested parallel MobileNetV3 mantis search attention network</t>
  </si>
  <si>
    <t>Transforming Education With AI- Driven Intelligent Tutoring Systems</t>
  </si>
  <si>
    <t>Advanced Customer Emotion Detection in Online Shopping: A CNN and BiLSTM-Based Approach</t>
  </si>
  <si>
    <t xml:space="preserve">Wireless mmWave Communication in 5G Network Slicing
With Routing Model Based on IoT and Deep Learning Model
</t>
  </si>
  <si>
    <t>Can MXene act as universal solid lubricant: A prolix review</t>
  </si>
  <si>
    <t>Real time SOC estimation for Liion batteries in Electric vehicles using UKBF with online parameter identification</t>
  </si>
  <si>
    <t>31-12-2024</t>
  </si>
  <si>
    <t>Design and Implementation of an IoT Enabled Bionic Arm Gesture Control Robot Using Embedded System</t>
  </si>
  <si>
    <t>Quantum Machine Learning for the Future Medical Analysis: A Comprehensive Review and Future Prospects</t>
  </si>
  <si>
    <t>Self-powered triboelectric sensors for biomedical applications</t>
  </si>
  <si>
    <t>A future prediction for cyber-attacks in the network domain with the visualisation of patterns in cyber-security tickets with machine learning</t>
  </si>
  <si>
    <t>Securing 5G Wireless Networks With Advanced Key Management and Authentication for Enhanced Data Protection</t>
  </si>
  <si>
    <t>An efficient image encryption algorithm using a discrete memory-based logistic map with deep neural network</t>
  </si>
  <si>
    <t>Optimization of Material Removal Rate and Electrode Wear Rate in EDM Machining of D2 Steel Using Al–Cu– SiC Nanocomposite Powder Metallurgy Electrodes: a Taguchi and ANN-based Approach</t>
  </si>
  <si>
    <t>Advancing Polymer Composites Through Computational Learning and Artificial Intelligence Integration</t>
  </si>
  <si>
    <t>Design and fabrication of oil skimmer and water waste collecting robot</t>
  </si>
  <si>
    <t>Pistachio shell biochar as a reinforcing filler in short Turkish hemp fiber composites: a path toward sustainable materials</t>
  </si>
  <si>
    <t>14-02-2025</t>
  </si>
  <si>
    <t>Adaptive Genghis Khan Shark based convolutional denoising autoencoder for quality enhancement of satellite images</t>
  </si>
  <si>
    <t>Enhanced Urban Environmental Monitoring Networks: Ai-Driven Predictive Analytics For Pollution Hotspot Identification</t>
  </si>
  <si>
    <t>Predictive Correlation Frameworks for Optimized CPU Sensing and System Call Coordination</t>
  </si>
  <si>
    <t>Automated laser machining and electro chemical honing of stellite alloy</t>
  </si>
  <si>
    <t>Empowering Visual Interaction: Raspberry Pi 4 and OLED Displays for Dynamic Feedback Applications</t>
  </si>
  <si>
    <t>Adaptive Voltage Regulation System with GSM Integration and Enhanced Disaster Mitigation Strategies</t>
  </si>
  <si>
    <t>Advanced Glaucoma Detection Using CNN Models Integrated with Random Forest Classifier for Enhanced Diagnosis</t>
  </si>
  <si>
    <t>Dr.R.R.Thirrunvukkarasu</t>
  </si>
  <si>
    <t>Enhancing the Thermal Performance of a SolarAir Heater by Incorporating Artificial Roughness to the Absorber Plate</t>
  </si>
  <si>
    <t>21-02-2025</t>
  </si>
  <si>
    <t>Comparison Of The Performance Of Indirect Evaluation Of Flank Wear For Turning Inconel-718 Using The Processed Image And Acoustic Waves</t>
  </si>
  <si>
    <t>31-05-2024</t>
  </si>
  <si>
    <t>Bio-Inspired Metaheuristic Algorithm for Network Intrusion Detection System of Architecture</t>
  </si>
  <si>
    <t>24-11-2024</t>
  </si>
  <si>
    <t>An hybrid machine learning and improved social spider optimization based clustering and routing protocol for wireless sensor network</t>
  </si>
  <si>
    <t>Data Clustering and Routing using Improved Water Wave Optimization in Wireless Sensor Network</t>
  </si>
  <si>
    <t>Smart Home Automation with Smart Metering Using ZigBee Technology and Deep Belief Networks – Optimization using MB-ABCOA Algorithm</t>
  </si>
  <si>
    <t>Dr. S.Kavitha</t>
  </si>
  <si>
    <t>A Context - Aware Content Recommendation Engine for Personalized Learning using Hybrid Reinforcement Learning Technique</t>
  </si>
  <si>
    <t>Pioneering Skin Cancer Prediction with Deep Learning Techniques</t>
  </si>
  <si>
    <t>Deep Learning Model for Human Detection-Enhanced YOLO Comparative Analysis</t>
  </si>
  <si>
    <t>Enhancing COVID-19 Detection with YOLOv5 Object Detection Algorithm in Chest X-ray Images</t>
  </si>
  <si>
    <t>Implementing Machine Learning Techniques for Hair Health Prediction in Follicle Futures</t>
  </si>
  <si>
    <t>18-02-2025</t>
  </si>
  <si>
    <t>A multi-modality framework for precise brain tumor detection and multi-class classification using hybrid GAN approach</t>
  </si>
  <si>
    <t>26-10-2024</t>
  </si>
  <si>
    <t>Communications Using Fog Cloud Systems with Interrupted Network Connectivity in Health-Care Emergency</t>
  </si>
  <si>
    <t>Ms.S.Sowmiya</t>
  </si>
  <si>
    <t>Air Pollution Monitoring System using Machine Learning techniques for Smart cities</t>
  </si>
  <si>
    <t>Energy Efficient Routing FrameWork for Cloud based IoT Networks using AI</t>
  </si>
  <si>
    <t>A Novel Hierarchical Algorithm for Securing Distributed Networks Against Cyber Attacks</t>
  </si>
  <si>
    <t>Feasibility of variable delay fuzzy fractional stochastic differential system with non-instantaneous impulses</t>
  </si>
  <si>
    <t>Dr. N. Krishnamoorthy</t>
  </si>
  <si>
    <t>Characterization of Mechanical and Viscoelastic Properties of Glass Fibre Reinforced Polymer Composites</t>
  </si>
  <si>
    <t>Synthesis and Characterization of Multilayered Supported Siliceous Shell and Metallic Core Nanocomposites: Catalyst for Decolorization of Methyl Violet Dye</t>
  </si>
  <si>
    <t>Study On The Phytoextraction Of Soil Contaminated With Selected Heavy Metals: Effects Of Biochar</t>
  </si>
  <si>
    <t>26-12-2022</t>
  </si>
  <si>
    <t>Design and performance optimization of a solar still using Nano-Coated Condensing Glass</t>
  </si>
  <si>
    <t>30-11-2022</t>
  </si>
  <si>
    <t>Green synthesis of Fe2O3 Nanoparticles using Musa acuminata: A study on its Photocatalytic Degradation under Sunlight and Antibacterial Applications</t>
  </si>
  <si>
    <t>Statistical Modeling Steadiness And Dynamics Of Direct Red 83 Establishment Aqueous Solution By Balsamodendron Caudatum Wood Waste Activated Nanoporous Carbon</t>
  </si>
  <si>
    <t>25-09-2023</t>
  </si>
  <si>
    <t>A characterization study on toughening natural fibre composites using functionalized barely husk biosilica</t>
  </si>
  <si>
    <t>30-03-2023</t>
  </si>
  <si>
    <t>Assessment of underground water quality and water quality index across the Noyyal River basin of Tirupur District in South India</t>
  </si>
  <si>
    <t>Exploration of compost soil for the production of thermo-stable Bacillus protease to synthesize bioactive compounds through Soy Protein Hydrolysis</t>
  </si>
  <si>
    <t>Flax and Graphene Reinforced Natural Fiber Nanocomposites under cryogenic environment for constructional applications</t>
  </si>
  <si>
    <t>Investigation on Mechanical and Thermal Properties of a Kenaf/ Jute Fiber-Reinforced Polyester Hybrid Biocomposite</t>
  </si>
  <si>
    <t>29-03-2025</t>
  </si>
  <si>
    <t>Molecular Structural, Spectral and HOMO-LUMO Analysis of Acemetacin in Aqueous Phases: A Density Functional Theory Study</t>
  </si>
  <si>
    <t>The effect of TiO2 concentration on the anticancer activity of PANI/TiO2 nanocomposites against HCT-116 cancer cell lines</t>
  </si>
  <si>
    <t>The results on random impulsive differential equations of second order</t>
  </si>
  <si>
    <t>15-04-2025</t>
  </si>
  <si>
    <t>A Study on the Existence and Uniqueness of Random Impulsive Hilfer Pantograph Differential Equations</t>
  </si>
  <si>
    <t>12-002-2025</t>
  </si>
  <si>
    <t>Check why the amount is reduced</t>
  </si>
  <si>
    <t>22-02-2025</t>
  </si>
  <si>
    <t>Exploring metal organic frameworks/MXene based composite for an environmental applications–A critical review</t>
  </si>
  <si>
    <t>Solvability and controllability of Sobolev-type nonlocal Hilfer fractional stochastic evolution inclusions of order 1 &lt;  &lt; 2</t>
  </si>
  <si>
    <t>22-01-2025</t>
  </si>
  <si>
    <t>New discussion on the approximate controllability of Sobolev-type Hilfer fractional stochastic mixed  Volterra-Fredholm integrodifferential inclusions of  order 1 &lt; μ &lt; 2</t>
  </si>
  <si>
    <t>An investigation of optimality and controllability for quasilinear impulsive evolution systems in abstract spaces</t>
  </si>
  <si>
    <t>Energy efficient hierarchical clustering based dynamic data fusion algorithm for wireless sensor networks in smart agriculture</t>
  </si>
  <si>
    <t>Bonevoyage: Navigating the depths of osteoporosis detection with a dual-core ensemble of cascaded ShuffleNet and neural networks</t>
  </si>
  <si>
    <t>LoRaWAN and Biosensor-Assisted Smart City Framework to Mitigate the Effects of Lung Diseases</t>
  </si>
  <si>
    <t>Generative Models and Diffusion Models for Skin Sore Detection and Treatment</t>
  </si>
  <si>
    <t>20-02-2025</t>
  </si>
  <si>
    <t>IntelliFuzz: An Advanced Fuzzy Logic Framework for Dynamic Evaluation of Student Performance in Open-Ended Learning Tasks</t>
  </si>
  <si>
    <t>20-06-2024</t>
  </si>
  <si>
    <t>Simplex Social Spider Optimization with Decision Tree Consumer Behavior Patterns</t>
  </si>
  <si>
    <t>25-01-2025</t>
  </si>
  <si>
    <t>Performance Enhancement of IoT LoRa Network for Mobile Devices based on Improved AMILCC Technique</t>
  </si>
  <si>
    <t>Enhancing anomaly detection in WBANs using hybrid deep learning and optimization algorithms</t>
  </si>
  <si>
    <t>Exploiting adaptive neuro-fuzzy inference systems for cognitive patterns in multimodal brain signal analysis</t>
  </si>
  <si>
    <t>Navigating autism detection and guided growth with machine learning</t>
  </si>
  <si>
    <t>Protecting Sensitive Data in the Cloud: A Network Security Approach</t>
  </si>
  <si>
    <t>Optimizing Cloud Resources using Algorithmic Approaches in Serverless Computing</t>
  </si>
  <si>
    <t>Advancements in semi-solid metalprocessing of ADC12 aluminium alloy:Microstructure and mechanical properties</t>
  </si>
  <si>
    <t>Influence of graphene reinforced inside yttria stabilized zirconia in terms of functional &amp; mechanical properties</t>
  </si>
  <si>
    <t>Integration of IoT and AI for Enhanced Efficiency and Control in Smart Energy Management Systems</t>
  </si>
  <si>
    <t>Analyzing an M/M/c Queue with Linguistic Single-Valued Neutrosophic Logic Using Parametric Nonlinear Programming</t>
  </si>
  <si>
    <t>New Approach on M/M/c/K Queueing Models via Single Valued Linguistic Neutrosophic Numbers and Perceptionization Using a Non-Linear Programming Technique</t>
  </si>
  <si>
    <t>Optimized Substrate Integrated Waveguide (SIW) Antenna Solutions for Wearable Health Monitoring Applications</t>
  </si>
  <si>
    <t>Complementary Split Ring Resonator-Inspired Antenna for Wearable Multiband Applications Using Biodegradable Polylactic Acid</t>
  </si>
  <si>
    <t xml:space="preserve">Design and Implementation of a Decentralized Voting System Using Volta Blockchain </t>
  </si>
  <si>
    <t>Visible-Light- Driven Photocatalytic Degradation of Amoxicillin Using FeMoO2/Chitosan/CdO Nanocomposite for Sustainable Water Treatment</t>
  </si>
  <si>
    <t>Enhanced 16 × 16 Dadda Multiplier Using Kung-Brent Adder for Superior Parallel Processing Performance</t>
  </si>
  <si>
    <t>15-12-2024</t>
  </si>
  <si>
    <t>Improving energy efficiency in WSN through adaptive memetic-based clustering and routing for resource management</t>
  </si>
  <si>
    <t>Ms.T.Kalaivani</t>
  </si>
  <si>
    <t>24-01-2025</t>
  </si>
  <si>
    <t>Strain-controlled thermomechanical fatigue testing of EN-GJL-250 for automotive brake disc application</t>
  </si>
  <si>
    <t>Effect of ion exchange resinmembranes and activated carbonelectrodes in water desalinationusing capacitive deionizationtechnique with saline streams</t>
  </si>
  <si>
    <t>Review on bio-inspired approaches in polymer composites: Mimicking nature for enhanced performance</t>
  </si>
  <si>
    <t>22-11-2024</t>
  </si>
  <si>
    <t>Recent developments in functional polymer composites for biomedical applications</t>
  </si>
  <si>
    <t>Progress in self-healing polymer composites: Materials design, mechanisms, and applications</t>
  </si>
  <si>
    <t>Design and Evaluation of Generative Adversarial Network for Automated Image Colorization System</t>
  </si>
  <si>
    <t>Challenging the Anomaly Detection Paradigm: CNN-CRF Approach</t>
  </si>
  <si>
    <t>Ms. E. Saranya</t>
  </si>
  <si>
    <t>Incorporating Transfer Learning in Engine Health Assessment for Accurate Remaining Useful Life Prediction</t>
  </si>
  <si>
    <t>Mitigating Voltage Sag in Power Systems with Proportional Integral Control using Tangent Search Algorithm and Multi-Fidelity Bayesian Neural Network</t>
  </si>
  <si>
    <t>26-07-2024</t>
  </si>
  <si>
    <t>Boundary Feature-Based Leaf Disease Detection Using Differential Network</t>
  </si>
  <si>
    <t>Enhancing Aspect-Based Sentiment Analysis Through Multi-Granularity Information Sharing</t>
  </si>
  <si>
    <t>Energy-Synchronized Operation Frequency Management Technique for Internet of Things (IoT)-based Health Monitoring Systems</t>
  </si>
  <si>
    <t>An Improved Lightning Search Algorithm-based End- to-End Lightweight Partially Homomorphic Encryption Approach for Enhanced IoT Security</t>
  </si>
  <si>
    <t>Ms.K.B.Sarmila</t>
  </si>
  <si>
    <t>A Structured Lightweight Encryption Architecture for Data Protection in IoT</t>
  </si>
  <si>
    <t>29-01-2025</t>
  </si>
  <si>
    <t>23-01-2025</t>
  </si>
  <si>
    <t xml:space="preserve">Dr. S.Sheikameer Batcha </t>
  </si>
  <si>
    <t>SRADHO: statistical reduction approach with deep hyper optimization for disease classification using artificial intelligence</t>
  </si>
  <si>
    <t>14-10-202</t>
  </si>
  <si>
    <t>ZFNet and deep Maxout network based cancer prediction using gene expression data</t>
  </si>
  <si>
    <t>Non-Proliferative Diabetic Retinopathy (NPDR) using Deep Learning Approach</t>
  </si>
  <si>
    <t>A Lightweight and Federated Machine Learning Based Intrusion Detection System for Multi Attack Detection in IoT Networks</t>
  </si>
  <si>
    <t>Enhanced Forgery Detection of Fake Face in Forensic Investigation using Convolution Neural Network</t>
  </si>
  <si>
    <t>Real Time Prediction of Diabetes by using Artificial Intelligence</t>
  </si>
  <si>
    <t>An Intelligent Vehicle License Plate Detection for an Emergency Notification System</t>
  </si>
  <si>
    <t>Securing the Internet of Things with Block chain-based Network Security Protocols</t>
  </si>
  <si>
    <t>IoT and Tele-Communication Networks: Opportunities for Industry 4.0</t>
  </si>
  <si>
    <t>04-01+2024</t>
  </si>
  <si>
    <t>Novel Applications of Cloud Computing and Deep Learning Techniques for Data Analysis</t>
  </si>
  <si>
    <t xml:space="preserve">A Multi-Dimensional Deep Learning Approach for Enhanced Cardiovascular Disease Diagnosis using ECG Signals
</t>
  </si>
  <si>
    <t>Water Quality Prediction for Indian States with varied parameters using ensemble machine learning algorithm</t>
  </si>
  <si>
    <t>Applied for Citations(70)</t>
  </si>
  <si>
    <t>26-11-2024</t>
  </si>
  <si>
    <t>Data-Driven Healthcare: The Role of Computational Methods in Medical Innovation</t>
  </si>
  <si>
    <t>Integrating Project-Based and Skills-Based Learning for Enhanced Student Engagement and Success: Transforming Higher Education</t>
  </si>
  <si>
    <t>Mr.M.Mohanraj</t>
  </si>
  <si>
    <t>Challenges in Cyber Physical Social Systems and Internet of Things</t>
  </si>
  <si>
    <t>Expeditious Diagnosis of Cerebral Aneurysm on MR Brain Angiogram Images Utilizing Soft Computing Techniques</t>
  </si>
  <si>
    <t>Mr.K.P.Siva</t>
  </si>
  <si>
    <t>24-01-2024</t>
  </si>
  <si>
    <t>Ethical considerations of AI implementation in the library era</t>
  </si>
  <si>
    <t>Android traffic malware analysis and detection using ensemble classifier</t>
  </si>
  <si>
    <t>Integration of AI and IoT for Smart Home Automation</t>
  </si>
  <si>
    <t>25-11-2024</t>
  </si>
  <si>
    <t>Utilizing Distribution Optimization through Cloud
Computing in Wireless Networks</t>
  </si>
  <si>
    <t>Secure Access Control Schemes for Cloud-Based Networks</t>
  </si>
  <si>
    <t>Enhancement of high data rate in wireless systems using distinct photonic crystals air holes in terahertz antenna</t>
  </si>
  <si>
    <t>23-12-2024</t>
  </si>
  <si>
    <t>Survey of Livestock monitoring and Management System using a ML Algorihm</t>
  </si>
  <si>
    <t>Design and Optimization of Saturation Based Image Dehazing Algorithm</t>
  </si>
  <si>
    <t>Improving Microgrid Reliability and Efficiency through Energy Storage Systems with a Pyramidal Dilation Attention Convolutional Neural Network for Renewable Energy Integration</t>
  </si>
  <si>
    <t>22-12-2022</t>
  </si>
  <si>
    <t>An Effective Possibilistic Fuzzy Clustering Method for Tumor Segmentation in MRI brain Images</t>
  </si>
  <si>
    <t>Mr.B.Saravanan</t>
  </si>
  <si>
    <t>A Novel Time Resource Allocation Configuration for Multi-Task Offloading in Mobile Cloud Computing (MCC)</t>
  </si>
  <si>
    <t>Cloud Computing Based Diabetes Classification Using Binary Grey Wolf Optimization</t>
  </si>
  <si>
    <t>Optimizing Water Irrigation in Agriculture: Harnessing Bi-GRU Networks for Smart and Sustainable Crop Management</t>
  </si>
  <si>
    <t>AI-DRIVEN GREEN NETWORK MANAGEMENT FOR FUTURE INTERNET AND SOFTWARE-DEFINED NETWORKING (SDN)</t>
  </si>
  <si>
    <t>14-11-2024</t>
  </si>
  <si>
    <t>Prediction of Magnetic Properties in MR Damper Using FEA</t>
  </si>
  <si>
    <t>Effect of packing factor on energy performance of solar PV/T water-heating collector system – An experimental study</t>
  </si>
  <si>
    <t>Friction and wear behavior of premixed reinforcement hybrid composite materials</t>
  </si>
  <si>
    <t>Wear behaviour of friction surfaced Al-Ni and Al-SiC coatings over mild steel</t>
  </si>
  <si>
    <t>25-12-2024</t>
  </si>
  <si>
    <t>Ant Colony Optimization for Service Composition in Multi-cloud Environments</t>
  </si>
  <si>
    <t>Modelling of a Novel Correlation - Weightrd Elman Neural Network for Buliding System</t>
  </si>
  <si>
    <t>Enhancing grid voltage stability and reliability by harnessing off-grid power sources with multi-objective fuzzy spark firefly optimization algorithm</t>
  </si>
  <si>
    <t>Reversible Vedic Direct Flag Divider in Key Generation of RSA Cryptography</t>
  </si>
  <si>
    <t>Advancing PV technology with ZnO/Ag+ nanocomposites</t>
  </si>
  <si>
    <t>Navigating the future with YOLOv9 for Advanced Traffic Sign Recognition in Autonomous Vehicles</t>
  </si>
  <si>
    <t>Optimizing Performance in Automatic Powder Filling Systems</t>
  </si>
  <si>
    <t>Intelligent Energy Management Energy Storage Systems Using Machine Learning</t>
  </si>
  <si>
    <t>Mr.D.Shyam Prakash</t>
  </si>
  <si>
    <t>15-10-2024</t>
  </si>
  <si>
    <t>Big Data Analytics in IoT Challenges and Opportunities</t>
  </si>
  <si>
    <t>Optimized Attention with Sparse Graph Convolutional Network based Tumor Segmentation using Field Programmable Gated Array</t>
  </si>
  <si>
    <t>27-01-2025</t>
  </si>
  <si>
    <t>AI- Powered Early Detection and Prevention System for Student Dropout Risk</t>
  </si>
  <si>
    <t>An automated cervical cancer diagnosis model using Y‑net and ensemble deep learning model</t>
  </si>
  <si>
    <t>An optimized Hybrid Deep Learning and IOT-Enabled Heath System in Retina Image Analysis for Blindness Detection</t>
  </si>
  <si>
    <t>Nano technology - Infused Azolla Manure: Improving Rice Stem Thickness in Sustainable Agriculture</t>
  </si>
  <si>
    <t>Exploring the Properties and Applications of Nanomaterials in Environmental Technology: A review</t>
  </si>
  <si>
    <t>22-12-2024</t>
  </si>
  <si>
    <t>Developing an AI-Powered Interactive Virtual Tutor for Enhanced Learning Experiences</t>
  </si>
  <si>
    <t>A review on the effects of nano-additives in alternative fuel for CI engines, on performance and emission characteristics</t>
  </si>
  <si>
    <t>Efficient load balancing strategy for cloud computing environment with African vultures algorithm</t>
  </si>
  <si>
    <t>Dr.A.Santhana Karuppan</t>
  </si>
  <si>
    <t>Heat propagation phenomenon of compressed natural gas /air premixed laminar flame impinging on a flat surface</t>
  </si>
  <si>
    <t>Manufacturing and mechanical characterization of alkali‑treated Borassus fruit natural fber with cellulose acetate synthetic fber reinforced polymer composite: selection of optimum confguration using CRITIC‑integrated EDAS soft computing techniques</t>
  </si>
  <si>
    <t>Investigation on the thermal properties of carbon fibres with silica-based aerogel composites</t>
  </si>
  <si>
    <t>Modeling and Analysis of MEMS Electrostatic Energy Harvesting System</t>
  </si>
  <si>
    <t>Smart Grid Technologies in Plant Operations for Waste Reduction</t>
  </si>
  <si>
    <t>Impact on pitting corrosion in Martensitic Stainless Steel: The Effect of Annealing Response</t>
  </si>
  <si>
    <t>18-1-2024</t>
  </si>
  <si>
    <t>SIMULATION ANALYSIS OF A MULTILEVEL INVERTER IN A GRID-CONNECTED HYBRID RENEWABLE SYSTEM FOR SUSTAINABLE DEVELOPMENT</t>
  </si>
  <si>
    <t>ANALYSIS OF AWPI BASED HYBRID GRID-TIED INVERTER FOR SMART ENERGY MANAGEMENT SYSTEM</t>
  </si>
  <si>
    <t>23-1-2025</t>
  </si>
  <si>
    <t>30-03-2024</t>
  </si>
  <si>
    <t>Sodium Lauryl Sulphate-mediated Synthesis: Unravelling the Optimization path for Enhanced Stability and Optical Properties of Cadmium Sulphide Nanoparticles</t>
  </si>
  <si>
    <t>Chitosan-mediated Tailoring of Cadmium Sulphide Nanoparticle: Synthesis, Properties, and Interactive Mechanisms</t>
  </si>
  <si>
    <t>Boosting supercapacitor performance synergistically with Bi :rGO nanocomposites and redox additive electrolyte</t>
  </si>
  <si>
    <t>16-06-2024</t>
  </si>
  <si>
    <t>An Antiviral Drug - Peramivir: Degradation and Identification of Impurities and the Endorsement of an HPLC–MS Method</t>
  </si>
  <si>
    <t>Nicotine Sensing Behavior of Nickel (II) Complexes Catalyzed Oxidation and Coupling Reactions</t>
  </si>
  <si>
    <t>A Method for Image De-Hazing for Vision Based Application</t>
  </si>
  <si>
    <t>Ms.D.Ramya</t>
  </si>
  <si>
    <t>Enhancing Power Quality through Harmonic Reduction: A Triple-Memristor Hopfield Neural Network Approach</t>
  </si>
  <si>
    <t>A Stacked BiLSTM based Approach for Bus Passenger Demand Forecasting using Smart Card Data</t>
  </si>
  <si>
    <t>Design and Development of a Non-Invasive Glucose Monitoring Device Using Advanced Microcontroller</t>
  </si>
  <si>
    <t>Applied for Citations(110)</t>
  </si>
  <si>
    <t>29-09-2024</t>
  </si>
  <si>
    <t>MEG AND PET IMAGES-BASED BRAIN TUMOR DETECTION USING KAPUR’S OTSU SEGMENTATION AND SOOTY OPTIMIZED MOBILENET CLASSIFICATION</t>
  </si>
  <si>
    <t>Integrating sentimental analysis with learning analytics for improved student</t>
  </si>
  <si>
    <t>Puzzle sine cosine optimization-based secure communication and brain tumor classification in IoT‐healthcare system</t>
  </si>
  <si>
    <t>Multiobjective Gannet Dung Beetle Optimization for routing in IoT‐WSN</t>
  </si>
  <si>
    <t>ODESMAN: Optimizing Decision - Making in Complex Environments: Integrating Neutrosophic and Fuzzy Logic for Advanced System Modeling</t>
  </si>
  <si>
    <t>Dr. N.Murugavalli</t>
  </si>
  <si>
    <t>Attentive Dual Residual Generative Adversarial Network for Energy-Aware Routing Through Golden Search Optimization Algorithm in Wireless Sensor Network Utilizing Cluster Head Selection</t>
  </si>
  <si>
    <t>21-01-2024</t>
  </si>
  <si>
    <t>27-12-2024</t>
  </si>
  <si>
    <t>Integrating LoRa for Enhanced Hazard Detection and Mitigation in Industrial Environments</t>
  </si>
  <si>
    <t>Understanding the Impact of AI-driven Clinical Decision Support Systems</t>
  </si>
  <si>
    <t>Leveraging Deep Learning in Implementing Efficient Healthcare Processes</t>
  </si>
  <si>
    <t>Implementing AI-driven Diagnostic Decision Support Systems for Smart Healthcare</t>
  </si>
  <si>
    <t>Convolutional Neural Network for Battery System Monitoring and SOC Estimation for Ev Applications to Achieve Sustainability</t>
  </si>
  <si>
    <t>State of Charge Estimation of Lithium-Ion Batteries for Electric Vehicle Application Using Gaussian Process Regression Approach</t>
  </si>
  <si>
    <t>21-12-2024</t>
  </si>
  <si>
    <t>AI-Driven Real-Time Feedback System for Enhanced Student Support: Leveraging Sentiment Analysis and Machine Learning Algorithms</t>
  </si>
  <si>
    <t>The Convergence of Block chain and Network Security: Opportunities and Challenges</t>
  </si>
  <si>
    <t>A Novel Approach to Intrusion Detection using Reinforcement Learning</t>
  </si>
  <si>
    <t>An enhanced analysis of Machine Learning Techniques for Image Restoration and Enhancement</t>
  </si>
  <si>
    <t>AI-driven Risk Assessment Algorithm for Secured transactions in E-Commerce applications</t>
  </si>
  <si>
    <t>An improved SSH optimization model for wireless security in Complex networks</t>
  </si>
  <si>
    <t>Investigating the Ability of AI Algorithms to Optimize Data Access Processes</t>
  </si>
  <si>
    <t>Importanceofdevelopingsocialskillsinengineeringstudentsusing Artificial Intelligence</t>
  </si>
  <si>
    <t>Dr.S. Karthick</t>
  </si>
  <si>
    <t>Integration of AI tools in learning pedagogy for L2 Learners in Engineering Education: Impacts, Challenges and Possibilities</t>
  </si>
  <si>
    <t>Optimal Sizing of Hybrid Power System using Genetic Algorithm based Partial Reinforcement Optimizer</t>
  </si>
  <si>
    <t>26-12-2024</t>
  </si>
  <si>
    <t>Carbon Quantum dots for smart electronic devices</t>
  </si>
  <si>
    <t>Optical and Biomedial Features of green Carbon Quanum Dots</t>
  </si>
  <si>
    <t>Computation of Weighted PI Index of Lexicographic product graphs and for Silicates Networks</t>
  </si>
  <si>
    <t>Development of an internet of things based smart cold storage with inventory monitoring system</t>
  </si>
  <si>
    <t>16-08-2024</t>
  </si>
  <si>
    <t>Analyzing of the Performance of Batteries in Electrical Vehicle</t>
  </si>
  <si>
    <t>Intelligent Modular Controller for Implementing the Digital Protection of Transformers as AI Algorithms Techniques</t>
  </si>
  <si>
    <t>Investigation of High Switching Frequency Dual Active Bridge Converter for Electric Vehicle Application</t>
  </si>
  <si>
    <t>Design and Control of PV Based Isolated Power Supply Using iQF Controller for Agricultural</t>
  </si>
  <si>
    <t>Virtual Control of Industrial Machineries Using Intelligent Controllers</t>
  </si>
  <si>
    <t>Mr.R.Prem Kumar</t>
  </si>
  <si>
    <t>DESIGN AND ANALYSIS OF INTRUSION DETECTION SYSTEM USING MACHINE LEARNING IN SMART HEALTHCARE SYSTEM</t>
  </si>
  <si>
    <t>Evaluating Credit Risk in Banking using AI-based Algorithm Optimization</t>
  </si>
  <si>
    <t>31-01-2024</t>
  </si>
  <si>
    <t>Consolidation Coefficient of Soil Prediction by Using Teaching Learning based Optimization with Fuzzy Neural Network</t>
  </si>
  <si>
    <t>Improved spectrum prediction model for cognitive radio networks using hybrid deep learning technique</t>
  </si>
  <si>
    <t>Dr.M.Suriya</t>
  </si>
  <si>
    <t>19-11-2024</t>
  </si>
  <si>
    <t>Efficient swarm intelligent optimization techniques using cooperative spectrum sensing for terrestrial handovers</t>
  </si>
  <si>
    <t>Submitted Date</t>
  </si>
  <si>
    <t xml:space="preserve">     </t>
  </si>
  <si>
    <t>17-09-2025</t>
  </si>
  <si>
    <t>17-05-2026</t>
  </si>
  <si>
    <t>AI Based Extended driver drowsiness detection and notification framework system</t>
  </si>
  <si>
    <t>Quantum-enhanced fuzzy convolutional neural networks for high-performance analog signal processing systems</t>
  </si>
  <si>
    <t>Dr. Suresh Kumar K</t>
  </si>
  <si>
    <t>A blockchain-enabled IoT framework for smart electro-medical waste management</t>
  </si>
  <si>
    <t>30-06-2026</t>
  </si>
  <si>
    <t>Moringa oleifera Extract-mediated Green Synthesis of Highly Active Ag@ZnO Nanohybrids for Azo Dye Removal</t>
  </si>
  <si>
    <t>15-12-2026</t>
  </si>
  <si>
    <t>A review of accelerating green manufacturing through advanced nano-composites and energyeﬃcient methods</t>
  </si>
  <si>
    <t>A Robust Evolutionary Gravity Neocognitron Neural Network Model for Construction Cash Flow Prediction in Complex Project Management</t>
  </si>
  <si>
    <t>Bioengineered magnetite nanoplatforms for ROS-induced anticancer and antibacterial applications</t>
  </si>
  <si>
    <t>Agro-waste derived porous biochar for adsorptive removal of the fluorinated antibiotic florfenicol: Isotherm, kinetic, and mechanistic insights</t>
  </si>
  <si>
    <t>Photocatalytic degradation of Rhodamine 6 G dye and antibacterial study by using Chitosan/Ga2O3/WO3 nanocomposite</t>
  </si>
  <si>
    <t>29-06-2026</t>
  </si>
  <si>
    <t>19-06-2026</t>
  </si>
  <si>
    <t>Tailoring structural and optical properties of ZnS nanoparticles via strontium doping</t>
  </si>
  <si>
    <t>Sustainable bio-composites from agro-green waste: Optimize the effect of waste ceramic particles filler addition on mechanical performance</t>
  </si>
  <si>
    <t>Fault diagnosis in photovoltaic array by exploring the eﬃcacy of back propagation neural networks</t>
  </si>
  <si>
    <t>Mr. Hemananth B</t>
  </si>
  <si>
    <t>26-05-2026</t>
  </si>
  <si>
    <t>Chaotic Swarm Based Sparse Linguistic Sensing Algorithm for Disaster-Resilient Emergency Communication Systems</t>
  </si>
  <si>
    <t>29-05-2026</t>
  </si>
  <si>
    <t>Temporal integrated CNN for robust real time video based traffic sign recognition on indian roads</t>
  </si>
  <si>
    <t>AIML</t>
  </si>
  <si>
    <t>20-05-2026</t>
  </si>
  <si>
    <t>Benchmarking Generative Adversarial Networks for Realistic Tabular Data Generation</t>
  </si>
  <si>
    <t>A YOLO and Transformer-based Smart Scan Framework for Lung Disease Identification in Radiographic Imaging</t>
  </si>
  <si>
    <t>21-04-2026</t>
  </si>
  <si>
    <t>Multi objective optimization of mechanical and wear performance of basalt fiber reinforced nylon composites fabricated by FFF using ANN MOGA hybrid approach</t>
  </si>
  <si>
    <t>17-10-2025</t>
  </si>
  <si>
    <t>Enhanced security and privacy in IoMT: a hierarchical federated learning approach using Dew-Cloud with HLSTM for hostile attack mitigation</t>
  </si>
  <si>
    <t>25-04-2026</t>
  </si>
  <si>
    <t>Quantum generative dynamic graph attention adversarial network for early detection of breast cancer using histopathology images</t>
  </si>
  <si>
    <t>25-05-2026</t>
  </si>
  <si>
    <t>Ensemble Machine Learning for Financial Statement Fraud Detection Using Numerical Features</t>
  </si>
  <si>
    <t>13-02-2026</t>
  </si>
  <si>
    <t>Prediction and Analysis of Water Quality Index using Machine Learning Approaches</t>
  </si>
  <si>
    <t>22-03-2026</t>
  </si>
  <si>
    <t>Enhanced lung cancer segmentation and classification using transformer-based deep learning and multimodal biomedical imaging</t>
  </si>
  <si>
    <t>BAYESIAN-OPTIMISED TABULAR ATTENTION LEARNING FOR FOLLOW-UP-INFORMED HEART FAILURE MORTALITY PREDICTION</t>
  </si>
  <si>
    <t>A critical review of design and applications of fractal patch antenna</t>
  </si>
  <si>
    <t>23-02-2026</t>
  </si>
  <si>
    <t>Comparative Evaluation of Dijkstra's Algorithm and Shortest Path Strategies in Mobile Ad Hoc Networks (MANETs)</t>
  </si>
  <si>
    <t>27-04-2026</t>
  </si>
  <si>
    <t>Quantum Convolution Searched Binary Neural Networks based autism spectrum disorder detection using MRI images in cloud computing</t>
  </si>
  <si>
    <t>31-03-2026</t>
  </si>
  <si>
    <t>MULTI-SOLITON SOLUTIONS OF KDV AND KP EQUATIONS UNDER THE FRACTIONAL DERIVATIVE - AN OVERVIEW</t>
  </si>
  <si>
    <t>Contemporary Issues and Strategic Practices in Urban Transportation Management</t>
  </si>
  <si>
    <t>Green Digital Finance and its Impact on Sustainable Development: Empirical Evidence from India</t>
  </si>
  <si>
    <t>28-05-2026</t>
  </si>
  <si>
    <t>Implementing AI-driven predictive cybersecurity in enterprise environments: Challenges and solutions</t>
  </si>
  <si>
    <t>Framework for Early-stage Alzheimer's Disease Prediction using AI Techniques: A Comprehensive Review</t>
  </si>
  <si>
    <t>21-07-2025</t>
  </si>
  <si>
    <t>Crop Disease Detection Using Edge IoT Devices and YOLOv5-Based Classification</t>
  </si>
  <si>
    <t>Deep Learning Based Classification of Copy Number Variations in Cervical Carcinoma Using Array comparative genomic hybridization Data</t>
  </si>
  <si>
    <t>19-12-2025</t>
  </si>
  <si>
    <t>SmartCityPredict: An AI and Machine Learning Framework for Enhancing Urban Service Efficiency Through Real-Time Data Analytics</t>
  </si>
  <si>
    <t>17-03-2026</t>
  </si>
  <si>
    <t>An Integrated DBN–GC–CRF Framework for Accurate Epileptic Seizure Identification Using EEG Signals</t>
  </si>
  <si>
    <t>25-03-2026</t>
  </si>
  <si>
    <t>Strengthening network security with advanced defense strategies for robust protection against DoS attacks in complex environments</t>
  </si>
  <si>
    <t>23-03-2026</t>
  </si>
  <si>
    <t>Improving IoT Data Security with Blockchain and SHA-3-Based Integrity Validation for Real-Time Transmission</t>
  </si>
  <si>
    <t>Ms. Charanya P</t>
  </si>
  <si>
    <t>Optimizing Artificial Pollination in Indian Agriculture through Multi-Agent Reinforcement Learning and Generative AI for Precision Pollen Distribution</t>
  </si>
  <si>
    <t>Process Engineering Strategies for Enzyme-and Microbial-Based Food Waste Valorization Towards Circular Food Manufacturing</t>
  </si>
  <si>
    <t>Deep learning models for automated crop disease detection in diverse conditions</t>
  </si>
  <si>
    <t>Implementation of a machine learning model for predicting and Evaluating Mental Health Risks</t>
  </si>
  <si>
    <t>001-04-2026</t>
  </si>
  <si>
    <t>Adaptive Machine Learning Framework for Comprehensive Disease Risk Forecasting From Electronic Health Record</t>
  </si>
  <si>
    <t>Intrusion Detection in Wireless Sensor Networks Using Multitask Residual Shrinkage CNN Optimized by Fennec Fox Algorithm</t>
  </si>
  <si>
    <t>Improved deep learning model for accurate energy demand prediction and conservation in electric vehicles integrated with cognitive radio networks</t>
  </si>
  <si>
    <t>Developing a Graphical User Interface for linking the Backscattering Sensor (BB3) to acquire realtime data</t>
  </si>
  <si>
    <t>15-05-2026</t>
  </si>
  <si>
    <t>Dynamic Adjustment of Wind Turbine Blades using LSTM Networks for Optimal Performance</t>
  </si>
  <si>
    <t>Secure Artificial Neural Networks with Reversible Gates for Hardware Compliant with Quantum Technology</t>
  </si>
  <si>
    <t>Impact of Breast Density on Early Breast Cancer Detection and Classification: A Comprehensive Survey with Emphasis on Mammography</t>
  </si>
  <si>
    <t>30-05-2026</t>
  </si>
  <si>
    <t>Emerging Trends and Paradigms in 6G Wireless Communication for Future Technologies</t>
  </si>
  <si>
    <t>Mr.Arun R</t>
  </si>
  <si>
    <t>Unlocking the potential of CdS-based photocatalysts for high-efficiency hydrogen evolution in water splitting</t>
  </si>
  <si>
    <t>13-09-2025</t>
  </si>
  <si>
    <t>Evaluation of Machine Learning Models in predicting diesel engine behaviour and Emissions with Biodiesel Blends</t>
  </si>
  <si>
    <t>A Bio-Inspired AI-Driven Framework for Fault Tolerance and Extended Lifespan in Wireless Sensor Networks</t>
  </si>
  <si>
    <t>Doctoral Symposium on Computational Intelligence</t>
  </si>
  <si>
    <t>Smart Trends in Computing and Communications</t>
  </si>
  <si>
    <t>30-10-2025</t>
  </si>
  <si>
    <t>ICT Systems and Sustainability</t>
  </si>
  <si>
    <t>24-03-2026</t>
  </si>
  <si>
    <t>Mitigating Skin Tone Bias in AI Driven Melanoma Detection to Improve Diagnostic Equity Across Diverse Populations</t>
  </si>
  <si>
    <t>LR Machine Learning Model for Prediction of Energy Demand and Source Management using Intelligent Controller</t>
  </si>
  <si>
    <t>Greener Roads Ahead: A Comprehensive Review of Alternative Transportation Fuels</t>
  </si>
  <si>
    <t>Alternative Fuels and Applications for Sustainable Transportation Industries: A Prolix Review</t>
  </si>
  <si>
    <t>Adoptation and Challenges of Advanced Technologies in Intelligent Transportation Management Systems: A Prolix Review</t>
  </si>
  <si>
    <t>Introduction to Next-Generation Energy Management and Need for AI Solutions</t>
  </si>
  <si>
    <t>Smart Motor Fault Detection Leveraging LabVIEW and IoT Integration</t>
  </si>
  <si>
    <t>DriveMind: A Machine Learning Algorithm for Driver Safety Score Prediction</t>
  </si>
  <si>
    <t>19-09-2025</t>
  </si>
  <si>
    <t>Earthing System Monitoring and Fault Alert Communication Mechanism using MAFIA Algorithm</t>
  </si>
  <si>
    <t>Smart hybrid power management system in electric vehicle for efficient resource utilization with ANN</t>
  </si>
  <si>
    <t>Leveraging Generative AI in Vehicles for Enhanced Driver Safety and Advanced Communication Systems</t>
  </si>
  <si>
    <t>An efficient prediction based data collection method for wireless sensor networks using hybrid fuzzy clustering and optimized deep maxout neural networks</t>
  </si>
  <si>
    <t>Design and Characterization of a Miniaturized Fractal-EBG Flexible Membrane Antenna for Spaceborne Communication Systems</t>
  </si>
  <si>
    <t>SoulCare: A Privacy-Focused, Locally-Run AI Chatbot for Supporting Mental Health</t>
  </si>
  <si>
    <t>Augmented Reality in K–12 Education: A Review of Tools, Applications, Pedagogy, and Learning Outcomes</t>
  </si>
  <si>
    <t>Automated Question Generation with Fine-Tuned NLP Model Based on Revised Bloom’s Taxonomy</t>
  </si>
  <si>
    <t>14-01-2025</t>
  </si>
  <si>
    <t>Cutting-Edge Deep Learning Models for Skin Lesion Diagnosis and Categorization</t>
  </si>
  <si>
    <t>22-12-2025</t>
  </si>
  <si>
    <t>Enhanced Energy Harvesting in Wireless Sensor Networks with Diverse Power Converters and ADRC</t>
  </si>
  <si>
    <t>Rough set theory in Hilbert algebras: A study on subalgebras and ideals</t>
  </si>
  <si>
    <t>Dr.R.Vennilla</t>
  </si>
  <si>
    <t>Malware Analysis and Attribution in Human Threat Intelligence</t>
  </si>
  <si>
    <t>16-01-2026</t>
  </si>
  <si>
    <t>Innovative Approaches to Designing and Optimizing Mobile Robotics for Advanced Collaboration in Industry 5.0</t>
  </si>
  <si>
    <t>Enhanced Adsorptive Removal of Methylene Blue Using Kaolinite–MnFe2O4 Nanocomposites: Synthesis, Characterization and Adsorption Mechanisms</t>
  </si>
  <si>
    <t>Preserving the Past with Deep Learning-Based Damage Detection in Ancient Manuscripts and Artworks</t>
  </si>
  <si>
    <t>Next-Gen AI Intelligent Home Surveillance Robot (IHSR) in Revolutionizing Security with Facial Recognition and Autonomous Patrolling</t>
  </si>
  <si>
    <t>29-08-2025</t>
  </si>
  <si>
    <t>Spatiotemporal Deep Learning for Forecasting Regional Sea-Level Rise using Annual Temperature Trends</t>
  </si>
  <si>
    <t>METAHEURISTIC-DRIVEN DUAL INDUCTOR BOOST CONVERTER FOR FLOATING PV SYSTEMS IN MATLAB/SIMULINK</t>
  </si>
  <si>
    <t>An analysis on fractional non-local stochastic neutral delay differential equations with non-instantaneous impulses</t>
  </si>
  <si>
    <t>Stationary distribution and extinction of stochastic avian influenza infection model</t>
  </si>
  <si>
    <t>30-04-2026</t>
  </si>
  <si>
    <t>17-04-2026</t>
  </si>
  <si>
    <t>Recent Progress in MXene–polymer nanocomposites for advanced electrochemical sensing applications</t>
  </si>
  <si>
    <t>MXene quantum dots: Emerging multifunctional nanomaterials for optoelectronic, photonic, and smart device applications</t>
  </si>
  <si>
    <t>Optimizing Career Trajectories: A Deep dive into Pllacement Management Systems' efficiency and Impact</t>
  </si>
  <si>
    <t>29-04-2026</t>
  </si>
  <si>
    <t>A blockchain-driven intrusion detection model for secure communication in IoT-WSN mesh architectures</t>
  </si>
  <si>
    <t>15-04-2026</t>
  </si>
  <si>
    <t>Effect of Al Composition in AlxGa1 – xN Barrier on Performance of Gate Field-Plate GaN HEMTs on SiC Substrates</t>
  </si>
  <si>
    <t>Effect of AlGaN and InAlGaN Barrier Layers on the Performance of GaN-based HEMTs on Sapphire Substrates</t>
  </si>
  <si>
    <t>Generative AI as an Accelerator for Data Engineering</t>
  </si>
  <si>
    <t>Smart Healthcare Revolutionizing Wellness Through Technology</t>
  </si>
  <si>
    <t>Efficient and secure task scheduling in cloud communication using hybridconvolutional neural network and enhanced encryption techniques</t>
  </si>
  <si>
    <t>Mr.G.Swaminathan</t>
  </si>
  <si>
    <t>Materials Engineering of Elastomer–Metal Interfaces Under Corrosion, Wear, and Adhesion Stressors</t>
  </si>
  <si>
    <t>16-04-2026</t>
  </si>
  <si>
    <t>Applied for Citations (630)</t>
  </si>
  <si>
    <t>Design of a ZnO/ZrO2 hybrid photocatalyst for efficient degradation of crystal violet dye and ciprofloxacin antibiotic under UV irradiation</t>
  </si>
  <si>
    <t>MOF–Metal hydride composite materials for hydrogen storage: A comprehensive review</t>
  </si>
  <si>
    <t>18-03-2026</t>
  </si>
  <si>
    <t>22-01-2026</t>
  </si>
  <si>
    <t>Leveraging Machine Learning Algorithms for Diabetes Prediction</t>
  </si>
  <si>
    <t>Pedagogical Innovations in English Education: Bridging Language Skills and Learning Sciences</t>
  </si>
  <si>
    <t>Anomaly based Intrusion Detection to Enhance IoT Devices Security using LSTM and Radial Basis Function Approach</t>
  </si>
  <si>
    <t>Ms.G.Sharmila</t>
  </si>
  <si>
    <t>Integrated Ensemble Framework for Using Strain Gauges and Accelerometers to Monitor Building Stability in Real Time</t>
  </si>
  <si>
    <t>Mr.M.Gowrisankar</t>
  </si>
  <si>
    <t>Personalized Stress Relief System Using Emotion Recognition and Machine Learning</t>
  </si>
  <si>
    <t>24-02-2026</t>
  </si>
  <si>
    <t>From nature to nanostructures: Advances in green and bio-inspired catalysts for renewable energy and pollution mitigation</t>
  </si>
  <si>
    <t>Chemical composition and dual bioefficacy of Chenopodium ambrosioides essential oil: Anti-inflammatory and cytotoxic potential</t>
  </si>
  <si>
    <t>25-02-2026</t>
  </si>
  <si>
    <t>Novel method to correlate acoustic emission and cutting force during machining of aluminium-5052Through ceramic (ZTA) inserts</t>
  </si>
  <si>
    <t>21-01-2026</t>
  </si>
  <si>
    <t>Label Free Bio-detection using di-electrically modulated pocket doped drain engineered ferro-electric gate tunnel FET</t>
  </si>
  <si>
    <t>31-09-2025</t>
  </si>
  <si>
    <t>Twitter Sentiment Analysis via Chaotic Quantum Fruit Fly Optimization: Enhancing Feature Selection and Classification</t>
  </si>
  <si>
    <t>A Quantum-Enhanced Deep Learning Framework for Precise Leaf Disease Detection in Tomato and Cotton Crops</t>
  </si>
  <si>
    <t>CERVICAL CANCER PREDICTION USING DEFORMABLE KERNEL DARKNET-53 AND DEPTH WISE SEPARABLE CNN</t>
  </si>
  <si>
    <t>A Multiobjective Genetic Approach for Sustainable Task Scheduling in Next-Gen Cloud Platforms</t>
  </si>
  <si>
    <t>Resistor Value Finder through Speech to Text Conversion</t>
  </si>
  <si>
    <t>Real-time Stream Processing and Analytics in Cloud-based IoT Systems</t>
  </si>
  <si>
    <t>Blockchain Technology for Secure and Transparent Health Records Management</t>
  </si>
  <si>
    <t>Quantum optimized hierarchical chunk encoding with robust embedding for perceptual integrity and compression tolerant visual data protection</t>
  </si>
  <si>
    <t>30-12-2026</t>
  </si>
  <si>
    <t>Deep Learning-Guided Genomic Profiling For Brain Tumor Subtyping Using Hybrid Feature Selection And Ensemble Classification</t>
  </si>
  <si>
    <t>Hybrid net powered large scale audit of dataset licensing and attribution practices for enhanced transparency and compliance</t>
  </si>
  <si>
    <t>Modeling Pandemic Dynamics via Fuzzy Fractional SEIQR Framework with ABC Derivatives: Qualitative Analysis and Computational Approaches</t>
  </si>
  <si>
    <t>21-02-2026</t>
  </si>
  <si>
    <t>Hybrid modeling and forecasting of COVID-19: integrating SEAIQHRD and GPR for improved predictions</t>
  </si>
  <si>
    <t>Attractivity and Asymptotic Stability in Hilfer-Katugampola Fractional Differential Equations</t>
  </si>
  <si>
    <t>Energy and Laplacian Energy of Pythagorean Intuitionistic Fuzzy Graphs with Applications in Medical Diagnosis Networks</t>
  </si>
  <si>
    <t>15-12-2025</t>
  </si>
  <si>
    <t>Feedforward Neural Network for Temperature Forecasting in Smart Agriculture and Energy Planning</t>
  </si>
  <si>
    <t>28-07-2025</t>
  </si>
  <si>
    <t>AI-Driven Forensic Investigation: Automated 3D Reconstruction and Evidence Visualization</t>
  </si>
  <si>
    <t>AEGIS FLARE: IOT-ENABLED ROBOTIC FIREFIGHTER FOR ADVANCED FIRE DETECTION AND SUPPRESSION</t>
  </si>
  <si>
    <t>19-01-2026</t>
  </si>
  <si>
    <t>Visible light response of NiNb2O6/g-C3N4/Ag heterojunctions for degradation of ofloxacin and analyzing the impact of an environmental problem through embryos</t>
  </si>
  <si>
    <t>18-12-2025</t>
  </si>
  <si>
    <t>Securing electronic health records using blockchain-based bi-layer algorithm with bit swapping codon encryption</t>
  </si>
  <si>
    <t>Ms.G.Durga Devi</t>
  </si>
  <si>
    <t>Corrosion to Cohesion: Surface Engineering Strategies for Durable Metal–Rubber Interfaces</t>
  </si>
  <si>
    <t>17-01-2026</t>
  </si>
  <si>
    <t>Unraveling the superior HER catalysis of Sr2VO3@Au: Electrochemical, structural, and stability studies</t>
  </si>
  <si>
    <t>Design and intelligent tuning of a proportional–integral–derivative controller for an armature-controlled DC motor</t>
  </si>
  <si>
    <t>15-01-2026</t>
  </si>
  <si>
    <t>Smart patches for healthcare industry: a review of emerging technologies, challenges, and developmental opportunities</t>
  </si>
  <si>
    <t>Sustainable inorganic nanocatalysts in biodiesel production - A review on recent developments</t>
  </si>
  <si>
    <t>0809-2025</t>
  </si>
  <si>
    <t>Robust Security Strategies for Smart Grid Networks: Integration of AI, Blockchain, and Resource-Efficient Techniques</t>
  </si>
  <si>
    <t>13-01-2026</t>
  </si>
  <si>
    <t>Hilfer-Langevin System - Results on Controllability and its Application to RLC Circuit</t>
  </si>
  <si>
    <t>Predictive Modelling of Osteoporosis using Machine Learning Algorithms</t>
  </si>
  <si>
    <t>Automated Detection of Encryption Algorithms using AI Techniques</t>
  </si>
  <si>
    <t>Analysis and development of smart production and distribution line system in smart grid based on optimization techniques involving digital twin</t>
  </si>
  <si>
    <t>27-01-2026</t>
  </si>
  <si>
    <t>Effect of Vinyl Silane Treated Bast Fibers and Wood Biomass Filler Incorporated Epoxy Resin Composite – A Characterization Study</t>
  </si>
  <si>
    <t>30-01-2026</t>
  </si>
  <si>
    <t>Multi-functional log-periodic graphene antennas for ultra-wideband systems</t>
  </si>
  <si>
    <t>Impact of drain and source engineering on dual metal InAs-GaSb VTFETs with high-K gate stack design</t>
  </si>
  <si>
    <t>29-12-2025</t>
  </si>
  <si>
    <t>A Novel Approach to Crop Cultivation via BipolarInterval-Valued Intuitionistic Fuzzy Bidirectional Projection Measure</t>
  </si>
  <si>
    <t>A Symmetric Analysis of COVID-19 Transmission Using a Fuzzy Fractional SEIRi–UiHR Model</t>
  </si>
  <si>
    <t>Optimizing and analyzing the efficacy of the diet plans using minimal soft pre-rough sets</t>
  </si>
  <si>
    <t>Some novel results on semiring hypergraph rough sets</t>
  </si>
  <si>
    <t>Cyber Threat Detection in 6G Internet of Things Using Deep Learning and Privacy Preservation via Blockchain</t>
  </si>
  <si>
    <t>Data-Driven Evaluation of a Gamified Breath-Holding Training Application to Improve CT Scan Quality and Reduce Patient Anxiety</t>
  </si>
  <si>
    <t>Electric Vehicle Induction Motor Fault Classifications Using Thermal Image Temperature Matrix Index and Machine Learning</t>
  </si>
  <si>
    <t>An Overview of Automatic Speech Recognition Based on Deep Learning and Bio–Signal Sensors</t>
  </si>
  <si>
    <t>Securing Short Range Applications in 5G Cognitive Radio Using an AI-Based Analysis of Security Threats</t>
  </si>
  <si>
    <t>30-11-2025</t>
  </si>
  <si>
    <t>Improving E-jet process capabilities with black box machine learning</t>
  </si>
  <si>
    <t>Reforming disease prognosis and treatment prediction for palliative care with hybrid metaheuristic deep neural architectures in IoT healthcare ecosystems</t>
  </si>
  <si>
    <t>Recent advances in corrosion behaviour and interfacial failure of rubber–metal composites</t>
  </si>
  <si>
    <t>30-12-2025</t>
  </si>
  <si>
    <t>A hybrid approach for soil classification: integrating lightweight convolutional neural network, attention mechanisms, and color features under resource constraints</t>
  </si>
  <si>
    <t>Dual-Functional PANI/CeO Nanocomposites for Enhanced ROS-Mediated Apoptosis in HCT-116 Human Colon Cancer Cells and Antibacterial Applications</t>
  </si>
  <si>
    <t>Optimized Route Maintenance for Kruskal's Energy-Aware Chain-Based Data Aggregated Routing</t>
  </si>
  <si>
    <t>A Secure and Efficient Lightweight Cryptographic Framework for IoT Applications with an Optimized S-Box for the PRESENT Algorithm</t>
  </si>
  <si>
    <t>Addressing Imbalanced Data in Spam Detection by Evaluating Classifier Performance and using Robust Ensemble Learning Techniques</t>
  </si>
  <si>
    <t>Dynamic Security and Efficiency Improvements in IoT Through Enhanced Security Bounds Framework</t>
  </si>
  <si>
    <t>Lightweight Deep Learning Model for Breast Cancer Malignancy Prediction Using CNN on Embedded Edge Devices</t>
  </si>
  <si>
    <t>Modified Lightweight GIFT Cipher for Secure and Efficient Cryptographic Applications in IoT</t>
  </si>
  <si>
    <t>Deep Neural Multi-Layer Perceptron Integrated Hybrid Engineering for IIoT Resource Management</t>
  </si>
  <si>
    <t>Mathematical Analysis and Design of a Low Power Gravity-Based Energy Storage System and Comparison with Battery Storage Systems</t>
  </si>
  <si>
    <t>LACCASE-MIMETIC COPPER-POLYDOPAMINE NANOCATALYSTS AS REDOX REGULATORS FOR SELECTIVE AEROBIC OXIDATION OF PHENOLIC SUBSTRATES</t>
  </si>
  <si>
    <t>OPTIMIZING ALGAL BIOFUEL PRODUCTION IN WASTEWATER SYSTEMS: A STUDY ON NUTRIENT UPTAKE EFFICIENCY AND LIPID ACCUMULATION IN MICROALGAE FOR ENHANCED BIOFUEL YIELD</t>
  </si>
  <si>
    <t>17-12-2025</t>
  </si>
  <si>
    <t>Recent Advances in Structural Engineering of Perovskite-Layered Transition Metal Oxides for Emerging Catalytic Applications-A Comprehensive Review</t>
  </si>
  <si>
    <t>CARE‑MRI: Dual Channel‑Hint Attention Block Integrated Residual Network for Brain MRI Image Denoising</t>
  </si>
  <si>
    <t>A Novel Object Detection Model Using Gazelle White Shark Optimization With Enhanced FRCNN</t>
  </si>
  <si>
    <t>Morphological &amp; physical characteristics of Ceria (CeO2) doped Zirconia Toughened Alumina (ZTA) ceramics composites</t>
  </si>
  <si>
    <t>23-12-2025</t>
  </si>
  <si>
    <t>Chebyshev Map-Based Authenticated Key Agreement for Medical Consumer Electronics</t>
  </si>
  <si>
    <t>Enhancing Fruit recognition with Robotic automation and salp swarm optimization for random forest classification</t>
  </si>
  <si>
    <t>28-04-2025</t>
  </si>
  <si>
    <t>Optimized Deep Blief Network for Multi-Diseas classification and severity assessment in strawberries</t>
  </si>
  <si>
    <t>CFD-based evaluation of performance enhancement in a baffle-integrated settling chamber coupled with a cyclone separator</t>
  </si>
  <si>
    <t>Investigation of kinetic and thermodynamic attributes of co-pyrolysis of chemically treated wood apple seed and clinical medical waste for energy recovery</t>
  </si>
  <si>
    <t>Role of AI and ML in lung disease detection based on lung sound analysis using deep learning algorithms</t>
  </si>
  <si>
    <t>Effective skin cancer classification by modified and optimized inception-ResNet-V2 model</t>
  </si>
  <si>
    <t>Neuro inspired deep learning based secure and energy efficient routing with autonomous intrusion prevention in wireless sensor networks</t>
  </si>
  <si>
    <t>COA-SSD: A novel chaotic optimization algorithm for enhancement of real-time video surveillance images using single shot detector with MobileNetV2</t>
  </si>
  <si>
    <t>A Hybrid Neuro-Fuzzy Optimization Framework for Self-Healing and Lifetime Enhancement in Wireless Sensor Networks</t>
  </si>
  <si>
    <t>REAL-TIME VEDIC MATHEMATICS BASED MEMORYLESS ARITHMETIC CIRCUITS VERIFICATION TECHNIQUE</t>
  </si>
  <si>
    <t>An analysis of approximate controllability in fuzzy neutral impulsive stochastic differential system in Caputo order propelled by Rosenblatt process and Brownian motion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</si>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</sst>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dd\-mmm\-yyyy"/>
    <numFmt numFmtId="165" formatCode="dd/mmm/yyyy"/>
    <numFmt numFmtId="166" formatCode="m\-yyyy"/>
    <numFmt numFmtId="167" formatCode="[$₹]#,##0"/>
    <numFmt numFmtId="168" formatCode="mm\-dd\-yyyy"/>
    <numFmt numFmtId="169" formatCode="m\-d\-yyyy"/>
    <numFmt numFmtId="170" formatCode="mm\-yyyy"/>
    <numFmt numFmtId="171" formatCode="mm/dd/yyyy"/>
    <numFmt numFmtId="172" formatCode="mmm\ yyyy"/>
    <numFmt numFmtId="173" formatCode="mmmm\ yyyy"/>
    <numFmt numFmtId="174" formatCode="mmm\-yyyy"/>
    <numFmt numFmtId="175" formatCode="dd&quot;-&quot;mmm&quot;-&quot;yy"/>
    <numFmt numFmtId="176" formatCode="m\-d\-yy"/>
    <numFmt numFmtId="177" formatCode="d\-mmm\-yyyy"/>
    <numFmt numFmtId="178" formatCode="d\-mmm\-yy"/>
    <numFmt numFmtId="179" formatCode="d\-mmmm\-yyyy"/>
  </numFmts>
  <fonts count="13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4"/>
      <color theme="1"/>
      <name val="Calibri"/>
    </font>
    <font>
      <sz val="12"/>
      <color theme="1"/>
      <name val="Cambria"/>
    </font>
    <font>
      <b/>
      <sz val="12"/>
      <color theme="1"/>
      <name val="Cambria"/>
    </font>
    <font>
      <sz val="11"/>
      <name val="Calibri"/>
    </font>
    <font>
      <b/>
      <sz val="12"/>
      <color rgb="FF000000"/>
      <name val="Cambria"/>
    </font>
    <font>
      <b/>
      <sz val="11"/>
      <color theme="1"/>
      <name val="Calibri"/>
    </font>
    <font>
      <b/>
      <sz val="20"/>
      <color theme="1"/>
      <name val="Calibri"/>
    </font>
    <font>
      <sz val="12"/>
      <color rgb="FF000000"/>
      <name val="Cambria"/>
    </font>
    <font>
      <sz val="11"/>
      <color rgb="FF000000"/>
      <name val="Calibri"/>
    </font>
    <font>
      <sz val="11"/>
      <color rgb="FF000000"/>
      <name val="&quot;Verdana&quot;"/>
    </font>
  </fonts>
  <fills count="1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5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165" fontId="5" fillId="2" borderId="1" xfId="0" applyNumberFormat="1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14" fontId="4" fillId="5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5" borderId="0" xfId="0" applyFont="1" applyFill="1" applyAlignment="1">
      <alignment vertical="center"/>
    </xf>
    <xf numFmtId="0" fontId="8" fillId="5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9" fillId="5" borderId="1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4" fontId="10" fillId="0" borderId="10" xfId="0" applyNumberFormat="1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 wrapText="1"/>
    </xf>
    <xf numFmtId="169" fontId="4" fillId="0" borderId="2" xfId="0" applyNumberFormat="1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170" fontId="10" fillId="6" borderId="0" xfId="0" applyNumberFormat="1" applyFont="1" applyFill="1" applyAlignment="1">
      <alignment horizontal="center"/>
    </xf>
    <xf numFmtId="170" fontId="4" fillId="0" borderId="2" xfId="0" applyNumberFormat="1" applyFont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170" fontId="4" fillId="0" borderId="0" xfId="0" applyNumberFormat="1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164" fontId="10" fillId="6" borderId="10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1" fontId="5" fillId="0" borderId="0" xfId="0" applyNumberFormat="1" applyFont="1" applyAlignment="1">
      <alignment horizontal="center" vertical="center" wrapText="1"/>
    </xf>
    <xf numFmtId="164" fontId="5" fillId="2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172" fontId="5" fillId="0" borderId="0" xfId="0" applyNumberFormat="1" applyFont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173" fontId="5" fillId="0" borderId="0" xfId="0" applyNumberFormat="1" applyFont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174" fontId="5" fillId="0" borderId="0" xfId="0" applyNumberFormat="1" applyFont="1" applyAlignment="1">
      <alignment horizontal="center" vertical="center" wrapText="1"/>
    </xf>
    <xf numFmtId="165" fontId="10" fillId="0" borderId="1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175" fontId="5" fillId="2" borderId="1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75" fontId="10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176" fontId="4" fillId="0" borderId="2" xfId="0" applyNumberFormat="1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68" fontId="10" fillId="0" borderId="7" xfId="0" applyNumberFormat="1" applyFont="1" applyBorder="1" applyAlignment="1">
      <alignment horizontal="center" vertical="center"/>
    </xf>
    <xf numFmtId="178" fontId="10" fillId="0" borderId="7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 wrapText="1"/>
    </xf>
    <xf numFmtId="168" fontId="4" fillId="0" borderId="7" xfId="0" applyNumberFormat="1" applyFont="1" applyBorder="1" applyAlignment="1">
      <alignment horizontal="center" vertical="center" wrapText="1"/>
    </xf>
    <xf numFmtId="175" fontId="11" fillId="2" borderId="7" xfId="0" applyNumberFormat="1" applyFont="1" applyFill="1" applyBorder="1" applyAlignment="1">
      <alignment vertical="center"/>
    </xf>
    <xf numFmtId="0" fontId="10" fillId="11" borderId="7" xfId="0" applyFont="1" applyFill="1" applyBorder="1" applyAlignment="1">
      <alignment horizontal="center" vertical="center" wrapText="1"/>
    </xf>
    <xf numFmtId="169" fontId="4" fillId="0" borderId="7" xfId="0" applyNumberFormat="1" applyFont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168" fontId="4" fillId="5" borderId="2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 wrapText="1"/>
    </xf>
    <xf numFmtId="175" fontId="10" fillId="6" borderId="7" xfId="0" applyNumberFormat="1" applyFont="1" applyFill="1" applyBorder="1" applyAlignment="1">
      <alignment horizontal="center" vertical="center"/>
    </xf>
    <xf numFmtId="175" fontId="4" fillId="0" borderId="7" xfId="0" applyNumberFormat="1" applyFont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5" fontId="11" fillId="0" borderId="0" xfId="0" applyNumberFormat="1" applyFont="1" applyAlignment="1">
      <alignment vertical="center"/>
    </xf>
    <xf numFmtId="175" fontId="11" fillId="0" borderId="7" xfId="0" applyNumberFormat="1" applyFont="1" applyBorder="1" applyAlignment="1">
      <alignment vertical="center"/>
    </xf>
    <xf numFmtId="177" fontId="10" fillId="0" borderId="7" xfId="0" applyNumberFormat="1" applyFont="1" applyBorder="1" applyAlignment="1">
      <alignment horizontal="center" vertical="center"/>
    </xf>
    <xf numFmtId="0" fontId="12" fillId="6" borderId="0" xfId="0" applyFont="1" applyFill="1" applyAlignment="1"/>
    <xf numFmtId="0" fontId="1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culty%20Research%20Incentive%202024-2025_%20Ver%203.0%20dt.%2015.07.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SHEET"/>
      <sheetName val="Consolidated"/>
      <sheetName val="2024-2025 (Faculty Wise)"/>
      <sheetName val="Detail1 2024"/>
      <sheetName val="ECE"/>
      <sheetName val="EEE"/>
      <sheetName val="CSE"/>
      <sheetName val="IT"/>
      <sheetName val="Mech"/>
      <sheetName val="CCE"/>
      <sheetName val="CSBS"/>
      <sheetName val="AI-DS"/>
      <sheetName val="S&amp;H"/>
      <sheetName val="Maths"/>
      <sheetName val="Sheet1"/>
      <sheetName val="2022-23"/>
      <sheetName val="2023-24"/>
      <sheetName val="2024-2025"/>
      <sheetName val="Pivot Table 2"/>
      <sheetName val="Name of the Department"/>
      <sheetName val="Name of the Faculty"/>
      <sheetName val="Principal M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1072"/>
  <sheetViews>
    <sheetView workbookViewId="0"/>
  </sheetViews>
  <sheetFormatPr defaultColWidth="14.42578125" defaultRowHeight="15" customHeight="1"/>
  <cols>
    <col min="1" max="1" width="5.7109375" style="1" customWidth="1"/>
    <col min="2" max="2" width="14.7109375" style="1" customWidth="1"/>
    <col min="3" max="3" width="11.7109375" style="1" customWidth="1"/>
    <col min="4" max="4" width="36.5703125" style="1" customWidth="1"/>
    <col min="5" max="5" width="61.85546875" style="1" customWidth="1"/>
    <col min="6" max="6" width="24.28515625" style="1" customWidth="1"/>
    <col min="7" max="7" width="8.85546875" style="1" customWidth="1"/>
    <col min="8" max="8" width="14.7109375" style="1" customWidth="1"/>
    <col min="9" max="9" width="15.42578125" style="1" customWidth="1"/>
    <col min="10" max="10" width="20" style="1" customWidth="1"/>
    <col min="11" max="11" width="17.7109375" style="1" customWidth="1"/>
    <col min="12" max="12" width="16.5703125" style="1" customWidth="1"/>
    <col min="13" max="13" width="15.42578125" style="1" customWidth="1"/>
    <col min="14" max="19" width="13.7109375" style="1" customWidth="1"/>
    <col min="20" max="16384" width="14.42578125" style="1"/>
  </cols>
  <sheetData>
    <row r="1" spans="1:19" ht="47.25">
      <c r="A1" s="46" t="s">
        <v>2344</v>
      </c>
      <c r="B1" s="139" t="s">
        <v>2091</v>
      </c>
      <c r="C1" s="46" t="s">
        <v>154</v>
      </c>
      <c r="D1" s="46" t="s">
        <v>1421</v>
      </c>
      <c r="E1" s="54" t="s">
        <v>156</v>
      </c>
      <c r="F1" s="46" t="s">
        <v>155</v>
      </c>
      <c r="G1" s="46" t="s">
        <v>154</v>
      </c>
      <c r="H1" s="46" t="s">
        <v>153</v>
      </c>
      <c r="I1" s="55" t="s">
        <v>152</v>
      </c>
      <c r="J1" s="46" t="s">
        <v>151</v>
      </c>
      <c r="K1" s="46">
        <f>SUM(K2:K45)</f>
        <v>138400</v>
      </c>
      <c r="L1" s="55" t="s">
        <v>717</v>
      </c>
      <c r="M1" s="55" t="s">
        <v>1420</v>
      </c>
      <c r="N1" s="138"/>
      <c r="O1" s="138"/>
      <c r="P1" s="138"/>
      <c r="Q1" s="138"/>
      <c r="R1" s="138"/>
      <c r="S1" s="138"/>
    </row>
    <row r="2" spans="1:19" ht="47.25">
      <c r="A2" s="83">
        <v>1710</v>
      </c>
      <c r="B2" s="141">
        <v>46003</v>
      </c>
      <c r="C2" s="18" t="s">
        <v>0</v>
      </c>
      <c r="D2" s="21" t="s">
        <v>432</v>
      </c>
      <c r="E2" s="21" t="s">
        <v>2343</v>
      </c>
      <c r="F2" s="20" t="s">
        <v>324</v>
      </c>
      <c r="G2" s="18" t="str">
        <f>C2</f>
        <v>Maths</v>
      </c>
      <c r="H2" s="86">
        <v>5000</v>
      </c>
      <c r="I2" s="140">
        <v>46034</v>
      </c>
      <c r="J2" s="87"/>
      <c r="K2" s="57"/>
      <c r="L2" s="86">
        <v>2025</v>
      </c>
      <c r="M2" s="86">
        <v>90</v>
      </c>
      <c r="N2" s="85"/>
      <c r="O2" s="85"/>
      <c r="P2" s="85"/>
      <c r="Q2" s="85"/>
      <c r="R2" s="85"/>
      <c r="S2" s="85"/>
    </row>
    <row r="3" spans="1:19" ht="31.5">
      <c r="A3" s="83">
        <f>1+A2</f>
        <v>1711</v>
      </c>
      <c r="B3" s="141">
        <v>46006</v>
      </c>
      <c r="C3" s="18" t="s">
        <v>5</v>
      </c>
      <c r="D3" s="21" t="s">
        <v>831</v>
      </c>
      <c r="E3" s="21" t="s">
        <v>2342</v>
      </c>
      <c r="F3" s="20" t="s">
        <v>23</v>
      </c>
      <c r="G3" s="18" t="str">
        <f>C3</f>
        <v>ECE</v>
      </c>
      <c r="H3" s="86">
        <v>10000</v>
      </c>
      <c r="I3" s="140">
        <v>46034</v>
      </c>
      <c r="J3" s="87"/>
      <c r="K3" s="57"/>
      <c r="L3" s="86" t="s">
        <v>2308</v>
      </c>
      <c r="M3" s="86">
        <v>90</v>
      </c>
      <c r="N3" s="85"/>
      <c r="O3" s="85"/>
      <c r="P3" s="85"/>
      <c r="Q3" s="85"/>
      <c r="R3" s="85"/>
      <c r="S3" s="85"/>
    </row>
    <row r="4" spans="1:19" ht="47.25">
      <c r="A4" s="83">
        <f>1+A3</f>
        <v>1712</v>
      </c>
      <c r="B4" s="141">
        <v>46028</v>
      </c>
      <c r="C4" s="18" t="s">
        <v>8</v>
      </c>
      <c r="D4" s="21" t="s">
        <v>278</v>
      </c>
      <c r="E4" s="21" t="s">
        <v>2341</v>
      </c>
      <c r="F4" s="20" t="s">
        <v>23</v>
      </c>
      <c r="G4" s="18" t="str">
        <f>C4</f>
        <v>CCE</v>
      </c>
      <c r="H4" s="86">
        <v>10000</v>
      </c>
      <c r="I4" s="140">
        <v>46034</v>
      </c>
      <c r="J4" s="87"/>
      <c r="K4" s="57"/>
      <c r="L4" s="86" t="s">
        <v>2149</v>
      </c>
      <c r="M4" s="86">
        <v>90</v>
      </c>
      <c r="N4" s="85"/>
      <c r="O4" s="85"/>
      <c r="P4" s="85"/>
      <c r="Q4" s="85"/>
      <c r="R4" s="85"/>
      <c r="S4" s="85"/>
    </row>
    <row r="5" spans="1:19" ht="47.25">
      <c r="A5" s="83">
        <f>1+A4</f>
        <v>1713</v>
      </c>
      <c r="B5" s="141">
        <v>46006</v>
      </c>
      <c r="C5" s="18" t="s">
        <v>5</v>
      </c>
      <c r="D5" s="21" t="s">
        <v>18</v>
      </c>
      <c r="E5" s="21" t="s">
        <v>2340</v>
      </c>
      <c r="F5" s="20" t="s">
        <v>324</v>
      </c>
      <c r="G5" s="18" t="str">
        <f>C5</f>
        <v>ECE</v>
      </c>
      <c r="H5" s="86">
        <v>3000</v>
      </c>
      <c r="I5" s="140">
        <v>46034</v>
      </c>
      <c r="J5" s="87"/>
      <c r="K5" s="57"/>
      <c r="L5" s="86" t="s">
        <v>2276</v>
      </c>
      <c r="M5" s="86">
        <v>90</v>
      </c>
      <c r="N5" s="85"/>
      <c r="O5" s="85"/>
      <c r="P5" s="85"/>
      <c r="Q5" s="85"/>
      <c r="R5" s="85"/>
      <c r="S5" s="85"/>
    </row>
    <row r="6" spans="1:19" ht="47.25">
      <c r="A6" s="83">
        <f>1+A5</f>
        <v>1714</v>
      </c>
      <c r="B6" s="141">
        <v>46003</v>
      </c>
      <c r="C6" s="18" t="s">
        <v>5</v>
      </c>
      <c r="D6" s="21" t="s">
        <v>777</v>
      </c>
      <c r="E6" s="21" t="s">
        <v>2339</v>
      </c>
      <c r="F6" s="20" t="s">
        <v>23</v>
      </c>
      <c r="G6" s="18" t="str">
        <f>C6</f>
        <v>ECE</v>
      </c>
      <c r="H6" s="86">
        <v>12000</v>
      </c>
      <c r="I6" s="140">
        <v>46034</v>
      </c>
      <c r="J6" s="87"/>
      <c r="K6" s="57"/>
      <c r="L6" s="86" t="s">
        <v>2276</v>
      </c>
      <c r="M6" s="86">
        <v>90</v>
      </c>
      <c r="N6" s="85"/>
      <c r="O6" s="85"/>
      <c r="P6" s="85"/>
      <c r="Q6" s="85"/>
      <c r="R6" s="85"/>
      <c r="S6" s="85"/>
    </row>
    <row r="7" spans="1:19" ht="31.5">
      <c r="A7" s="83">
        <f>1+A6</f>
        <v>1715</v>
      </c>
      <c r="B7" s="141">
        <v>46003</v>
      </c>
      <c r="C7" s="18" t="s">
        <v>5</v>
      </c>
      <c r="D7" s="21" t="s">
        <v>781</v>
      </c>
      <c r="E7" s="21" t="s">
        <v>2338</v>
      </c>
      <c r="F7" s="20" t="s">
        <v>23</v>
      </c>
      <c r="G7" s="18" t="str">
        <f>C7</f>
        <v>ECE</v>
      </c>
      <c r="H7" s="86">
        <v>6000</v>
      </c>
      <c r="I7" s="140">
        <v>46034</v>
      </c>
      <c r="J7" s="87"/>
      <c r="K7" s="57"/>
      <c r="L7" s="146">
        <v>45991</v>
      </c>
      <c r="M7" s="86">
        <v>90</v>
      </c>
      <c r="N7" s="85"/>
      <c r="O7" s="85"/>
      <c r="P7" s="85"/>
      <c r="Q7" s="85"/>
      <c r="R7" s="85"/>
      <c r="S7" s="85"/>
    </row>
    <row r="8" spans="1:19" ht="31.5">
      <c r="A8" s="83">
        <f>1+A7</f>
        <v>1716</v>
      </c>
      <c r="B8" s="141">
        <v>46009</v>
      </c>
      <c r="C8" s="18" t="s">
        <v>5</v>
      </c>
      <c r="D8" s="21" t="s">
        <v>781</v>
      </c>
      <c r="E8" s="21" t="s">
        <v>2337</v>
      </c>
      <c r="F8" s="20" t="s">
        <v>187</v>
      </c>
      <c r="G8" s="18" t="str">
        <f>C8</f>
        <v>ECE</v>
      </c>
      <c r="H8" s="86">
        <v>1800</v>
      </c>
      <c r="I8" s="140">
        <v>46034</v>
      </c>
      <c r="J8" s="87"/>
      <c r="K8" s="57"/>
      <c r="L8" s="96">
        <v>45941</v>
      </c>
      <c r="M8" s="86">
        <v>90</v>
      </c>
      <c r="N8" s="85"/>
      <c r="O8" s="85"/>
      <c r="P8" s="85"/>
      <c r="Q8" s="85"/>
      <c r="R8" s="85"/>
      <c r="S8" s="85"/>
    </row>
    <row r="9" spans="1:19" ht="47.25">
      <c r="A9" s="83">
        <f>1+A8</f>
        <v>1717</v>
      </c>
      <c r="B9" s="141">
        <v>46003</v>
      </c>
      <c r="C9" s="18" t="s">
        <v>2</v>
      </c>
      <c r="D9" s="21" t="s">
        <v>48</v>
      </c>
      <c r="E9" s="21" t="s">
        <v>2336</v>
      </c>
      <c r="F9" s="20" t="s">
        <v>23</v>
      </c>
      <c r="G9" s="18" t="str">
        <f>C9</f>
        <v>Mech</v>
      </c>
      <c r="H9" s="86">
        <v>6000</v>
      </c>
      <c r="I9" s="140">
        <v>46034</v>
      </c>
      <c r="J9" s="87"/>
      <c r="K9" s="57"/>
      <c r="L9" s="86" t="s">
        <v>1508</v>
      </c>
      <c r="M9" s="86">
        <v>90</v>
      </c>
      <c r="N9" s="85"/>
      <c r="O9" s="85"/>
      <c r="P9" s="85"/>
      <c r="Q9" s="85"/>
      <c r="R9" s="85"/>
      <c r="S9" s="85"/>
    </row>
    <row r="10" spans="1:19" ht="47.25">
      <c r="A10" s="83">
        <f>1+A9</f>
        <v>1718</v>
      </c>
      <c r="B10" s="141">
        <v>46003</v>
      </c>
      <c r="C10" s="18" t="s">
        <v>2</v>
      </c>
      <c r="D10" s="21" t="s">
        <v>48</v>
      </c>
      <c r="E10" s="21" t="s">
        <v>2335</v>
      </c>
      <c r="F10" s="20" t="s">
        <v>23</v>
      </c>
      <c r="G10" s="18" t="str">
        <f>C10</f>
        <v>Mech</v>
      </c>
      <c r="H10" s="86">
        <v>10000</v>
      </c>
      <c r="I10" s="140">
        <v>46034</v>
      </c>
      <c r="J10" s="87"/>
      <c r="K10" s="57"/>
      <c r="L10" s="86" t="s">
        <v>1496</v>
      </c>
      <c r="M10" s="86">
        <v>90</v>
      </c>
      <c r="N10" s="85"/>
      <c r="O10" s="85"/>
      <c r="P10" s="85"/>
      <c r="Q10" s="85"/>
      <c r="R10" s="85"/>
      <c r="S10" s="85"/>
    </row>
    <row r="11" spans="1:19" ht="15.75">
      <c r="A11" s="83">
        <f>1+A10</f>
        <v>1719</v>
      </c>
      <c r="B11" s="141">
        <v>46003</v>
      </c>
      <c r="C11" s="18" t="s">
        <v>2</v>
      </c>
      <c r="D11" s="21" t="s">
        <v>48</v>
      </c>
      <c r="E11" s="21" t="s">
        <v>1485</v>
      </c>
      <c r="F11" s="20" t="s">
        <v>193</v>
      </c>
      <c r="G11" s="18" t="str">
        <f>C11</f>
        <v>Mech</v>
      </c>
      <c r="H11" s="86">
        <v>12000</v>
      </c>
      <c r="I11" s="140">
        <v>46034</v>
      </c>
      <c r="J11" s="87"/>
      <c r="K11" s="57"/>
      <c r="L11" s="86" t="s">
        <v>2325</v>
      </c>
      <c r="M11" s="86">
        <v>90</v>
      </c>
      <c r="N11" s="85"/>
      <c r="O11" s="85"/>
      <c r="P11" s="85"/>
      <c r="Q11" s="85"/>
      <c r="R11" s="85"/>
      <c r="S11" s="85"/>
    </row>
    <row r="12" spans="1:19" ht="31.5">
      <c r="A12" s="83">
        <f>1+A11</f>
        <v>1720</v>
      </c>
      <c r="B12" s="178">
        <v>46009</v>
      </c>
      <c r="C12" s="18" t="s">
        <v>4</v>
      </c>
      <c r="D12" s="21" t="s">
        <v>856</v>
      </c>
      <c r="E12" s="21" t="s">
        <v>2334</v>
      </c>
      <c r="F12" s="20" t="s">
        <v>23</v>
      </c>
      <c r="G12" s="18" t="str">
        <f>C12</f>
        <v>EEE</v>
      </c>
      <c r="H12" s="86">
        <v>6000</v>
      </c>
      <c r="I12" s="140">
        <v>46034</v>
      </c>
      <c r="J12" s="87"/>
      <c r="K12" s="57"/>
      <c r="L12" s="86" t="s">
        <v>2333</v>
      </c>
      <c r="M12" s="86">
        <v>90</v>
      </c>
      <c r="N12" s="85"/>
      <c r="O12" s="85"/>
      <c r="P12" s="85"/>
      <c r="Q12" s="85"/>
      <c r="R12" s="85"/>
      <c r="S12" s="85"/>
    </row>
    <row r="13" spans="1:19" ht="31.5">
      <c r="A13" s="83">
        <f>1+A12</f>
        <v>1721</v>
      </c>
      <c r="B13" s="178">
        <v>46009</v>
      </c>
      <c r="C13" s="18" t="s">
        <v>4</v>
      </c>
      <c r="D13" s="21" t="s">
        <v>856</v>
      </c>
      <c r="E13" s="21" t="s">
        <v>2332</v>
      </c>
      <c r="F13" s="20" t="s">
        <v>324</v>
      </c>
      <c r="G13" s="18" t="str">
        <f>C13</f>
        <v>EEE</v>
      </c>
      <c r="H13" s="86">
        <v>3000</v>
      </c>
      <c r="I13" s="140">
        <v>46034</v>
      </c>
      <c r="J13" s="87"/>
      <c r="K13" s="57"/>
      <c r="L13" s="95">
        <v>45783</v>
      </c>
      <c r="M13" s="86">
        <v>90</v>
      </c>
      <c r="N13" s="85"/>
      <c r="O13" s="85"/>
      <c r="P13" s="85"/>
      <c r="Q13" s="85"/>
      <c r="R13" s="85"/>
      <c r="S13" s="85"/>
    </row>
    <row r="14" spans="1:19" ht="31.5">
      <c r="A14" s="83">
        <f>1+A13</f>
        <v>1722</v>
      </c>
      <c r="B14" s="133" t="s">
        <v>2330</v>
      </c>
      <c r="C14" s="18" t="s">
        <v>5</v>
      </c>
      <c r="D14" s="21" t="s">
        <v>170</v>
      </c>
      <c r="E14" s="21" t="s">
        <v>2331</v>
      </c>
      <c r="F14" s="20" t="s">
        <v>23</v>
      </c>
      <c r="G14" s="18" t="str">
        <f>C14</f>
        <v>ECE</v>
      </c>
      <c r="H14" s="86">
        <v>3000</v>
      </c>
      <c r="I14" s="140">
        <v>46034</v>
      </c>
      <c r="J14" s="87"/>
      <c r="K14" s="57"/>
      <c r="L14" s="95">
        <v>45881</v>
      </c>
      <c r="M14" s="86">
        <v>90</v>
      </c>
      <c r="N14" s="85"/>
      <c r="O14" s="85"/>
      <c r="P14" s="85"/>
      <c r="Q14" s="85"/>
      <c r="R14" s="85"/>
      <c r="S14" s="85"/>
    </row>
    <row r="15" spans="1:19" ht="15.75">
      <c r="A15" s="83">
        <f>1+A14</f>
        <v>1723</v>
      </c>
      <c r="B15" s="133" t="s">
        <v>2330</v>
      </c>
      <c r="C15" s="18" t="s">
        <v>5</v>
      </c>
      <c r="D15" s="21" t="s">
        <v>170</v>
      </c>
      <c r="E15" s="21" t="s">
        <v>1461</v>
      </c>
      <c r="F15" s="20" t="s">
        <v>193</v>
      </c>
      <c r="G15" s="18" t="str">
        <f>C15</f>
        <v>ECE</v>
      </c>
      <c r="H15" s="86">
        <v>16000</v>
      </c>
      <c r="I15" s="140">
        <v>46034</v>
      </c>
      <c r="J15" s="87"/>
      <c r="K15" s="57"/>
      <c r="L15" s="86" t="s">
        <v>2330</v>
      </c>
      <c r="M15" s="86">
        <v>90</v>
      </c>
      <c r="N15" s="85"/>
      <c r="O15" s="85"/>
      <c r="P15" s="85"/>
      <c r="Q15" s="85"/>
      <c r="R15" s="85"/>
      <c r="S15" s="85"/>
    </row>
    <row r="16" spans="1:19" ht="47.25">
      <c r="A16" s="83">
        <f>1+A15</f>
        <v>1724</v>
      </c>
      <c r="B16" s="178">
        <v>46017</v>
      </c>
      <c r="C16" s="18" t="s">
        <v>2</v>
      </c>
      <c r="D16" s="21" t="s">
        <v>209</v>
      </c>
      <c r="E16" s="21" t="s">
        <v>2329</v>
      </c>
      <c r="F16" s="20" t="s">
        <v>23</v>
      </c>
      <c r="G16" s="18" t="str">
        <f>C16</f>
        <v>Mech</v>
      </c>
      <c r="H16" s="86">
        <v>10000</v>
      </c>
      <c r="I16" s="140">
        <v>46034</v>
      </c>
      <c r="J16" s="87"/>
      <c r="K16" s="57"/>
      <c r="L16" s="86" t="s">
        <v>1445</v>
      </c>
      <c r="M16" s="86">
        <v>90</v>
      </c>
      <c r="N16" s="85"/>
      <c r="O16" s="85"/>
      <c r="P16" s="85"/>
      <c r="Q16" s="85"/>
      <c r="R16" s="85"/>
      <c r="S16" s="85"/>
    </row>
    <row r="17" spans="1:19" ht="31.5">
      <c r="A17" s="83">
        <f>1+A16</f>
        <v>1725</v>
      </c>
      <c r="B17" s="141">
        <v>46014</v>
      </c>
      <c r="C17" s="18" t="s">
        <v>5</v>
      </c>
      <c r="D17" s="21" t="s">
        <v>173</v>
      </c>
      <c r="E17" s="21" t="s">
        <v>2328</v>
      </c>
      <c r="F17" s="20" t="s">
        <v>23</v>
      </c>
      <c r="G17" s="18" t="str">
        <f>C17</f>
        <v>ECE</v>
      </c>
      <c r="H17" s="86">
        <v>10000</v>
      </c>
      <c r="I17" s="140">
        <v>46034</v>
      </c>
      <c r="J17" s="87"/>
      <c r="K17" s="57"/>
      <c r="L17" s="86" t="s">
        <v>1484</v>
      </c>
      <c r="M17" s="86">
        <v>90</v>
      </c>
      <c r="N17" s="85"/>
      <c r="O17" s="85"/>
      <c r="P17" s="85"/>
      <c r="Q17" s="85"/>
      <c r="R17" s="85"/>
      <c r="S17" s="85"/>
    </row>
    <row r="18" spans="1:19" ht="31.5">
      <c r="A18" s="83">
        <f>1+A17</f>
        <v>1726</v>
      </c>
      <c r="B18" s="141">
        <v>46014</v>
      </c>
      <c r="C18" s="18" t="s">
        <v>5</v>
      </c>
      <c r="D18" s="21" t="s">
        <v>173</v>
      </c>
      <c r="E18" s="21" t="s">
        <v>2327</v>
      </c>
      <c r="F18" s="20" t="s">
        <v>23</v>
      </c>
      <c r="G18" s="18" t="str">
        <f>C18</f>
        <v>ECE</v>
      </c>
      <c r="H18" s="86">
        <v>10000</v>
      </c>
      <c r="I18" s="140">
        <v>46034</v>
      </c>
      <c r="J18" s="87"/>
      <c r="K18" s="57"/>
      <c r="L18" s="95">
        <v>45700</v>
      </c>
      <c r="M18" s="86">
        <v>90</v>
      </c>
      <c r="N18" s="85"/>
      <c r="O18" s="85"/>
      <c r="P18" s="85"/>
      <c r="Q18" s="85"/>
      <c r="R18" s="85"/>
      <c r="S18" s="85"/>
    </row>
    <row r="19" spans="1:19" ht="47.25">
      <c r="A19" s="83">
        <f>1+A18</f>
        <v>1727</v>
      </c>
      <c r="B19" s="141">
        <v>45662</v>
      </c>
      <c r="C19" s="18" t="s">
        <v>1</v>
      </c>
      <c r="D19" s="21" t="s">
        <v>722</v>
      </c>
      <c r="E19" s="21" t="s">
        <v>2326</v>
      </c>
      <c r="F19" s="20" t="s">
        <v>23</v>
      </c>
      <c r="G19" s="18" t="str">
        <f>C19</f>
        <v>S&amp;H</v>
      </c>
      <c r="H19" s="18">
        <v>10000</v>
      </c>
      <c r="I19" s="140">
        <v>46034</v>
      </c>
      <c r="J19" s="21"/>
      <c r="K19" s="20"/>
      <c r="L19" s="18" t="s">
        <v>2325</v>
      </c>
      <c r="M19" s="86">
        <v>90</v>
      </c>
      <c r="N19" s="85"/>
      <c r="O19" s="85"/>
      <c r="P19" s="85"/>
      <c r="Q19" s="85"/>
      <c r="R19" s="85"/>
      <c r="S19" s="85"/>
    </row>
    <row r="20" spans="1:19" ht="63">
      <c r="A20" s="83">
        <f>1+A19</f>
        <v>1728</v>
      </c>
      <c r="B20" s="141">
        <v>46007</v>
      </c>
      <c r="C20" s="18" t="s">
        <v>5</v>
      </c>
      <c r="D20" s="21" t="s">
        <v>294</v>
      </c>
      <c r="E20" s="21" t="s">
        <v>2324</v>
      </c>
      <c r="F20" s="20" t="s">
        <v>324</v>
      </c>
      <c r="G20" s="18" t="str">
        <f>C20</f>
        <v>ECE</v>
      </c>
      <c r="H20" s="86">
        <v>1800</v>
      </c>
      <c r="I20" s="140">
        <v>46034</v>
      </c>
      <c r="J20" s="87"/>
      <c r="K20" s="57"/>
      <c r="L20" s="95">
        <v>45727</v>
      </c>
      <c r="M20" s="86">
        <v>90</v>
      </c>
      <c r="N20" s="85"/>
      <c r="O20" s="85"/>
      <c r="P20" s="85"/>
      <c r="Q20" s="85"/>
      <c r="R20" s="85"/>
      <c r="S20" s="85"/>
    </row>
    <row r="21" spans="1:19" ht="47.25">
      <c r="A21" s="83">
        <f>1+A20</f>
        <v>1729</v>
      </c>
      <c r="B21" s="141">
        <v>46007</v>
      </c>
      <c r="C21" s="18" t="s">
        <v>5</v>
      </c>
      <c r="D21" s="21" t="s">
        <v>294</v>
      </c>
      <c r="E21" s="21" t="s">
        <v>2323</v>
      </c>
      <c r="F21" s="20" t="s">
        <v>324</v>
      </c>
      <c r="G21" s="18" t="str">
        <f>C21</f>
        <v>ECE</v>
      </c>
      <c r="H21" s="86">
        <v>1800</v>
      </c>
      <c r="I21" s="140">
        <v>46034</v>
      </c>
      <c r="J21" s="87"/>
      <c r="K21" s="57"/>
      <c r="L21" s="96">
        <v>45941</v>
      </c>
      <c r="M21" s="86">
        <v>90</v>
      </c>
      <c r="N21" s="85"/>
      <c r="O21" s="85"/>
      <c r="P21" s="85"/>
      <c r="Q21" s="85"/>
      <c r="R21" s="85"/>
      <c r="S21" s="85"/>
    </row>
    <row r="22" spans="1:19" ht="47.25">
      <c r="A22" s="83">
        <f>1+A21</f>
        <v>1730</v>
      </c>
      <c r="B22" s="141">
        <v>46007</v>
      </c>
      <c r="C22" s="18" t="s">
        <v>5</v>
      </c>
      <c r="D22" s="21" t="s">
        <v>313</v>
      </c>
      <c r="E22" s="21" t="s">
        <v>2322</v>
      </c>
      <c r="F22" s="20" t="s">
        <v>23</v>
      </c>
      <c r="G22" s="18" t="str">
        <f>C22</f>
        <v>ECE</v>
      </c>
      <c r="H22" s="86">
        <v>6000</v>
      </c>
      <c r="I22" s="140">
        <v>46034</v>
      </c>
      <c r="J22" s="87"/>
      <c r="K22" s="57"/>
      <c r="L22" s="96">
        <v>45941</v>
      </c>
      <c r="M22" s="86">
        <v>90</v>
      </c>
      <c r="N22" s="85"/>
      <c r="O22" s="85"/>
      <c r="P22" s="85"/>
      <c r="Q22" s="85"/>
      <c r="R22" s="85"/>
      <c r="S22" s="85"/>
    </row>
    <row r="23" spans="1:19" ht="15.75">
      <c r="A23" s="46"/>
      <c r="B23" s="139"/>
      <c r="C23" s="46"/>
      <c r="D23" s="46"/>
      <c r="E23" s="46" t="s">
        <v>11</v>
      </c>
      <c r="F23" s="42"/>
      <c r="G23" s="90"/>
      <c r="H23" s="89">
        <f>SUM(H4:H22)</f>
        <v>138400</v>
      </c>
      <c r="I23" s="42" t="s">
        <v>718</v>
      </c>
      <c r="J23" s="42"/>
      <c r="K23" s="45">
        <f>H23</f>
        <v>138400</v>
      </c>
      <c r="L23" s="42"/>
      <c r="M23" s="46">
        <v>90</v>
      </c>
      <c r="N23" s="88"/>
      <c r="O23" s="88"/>
      <c r="P23" s="88"/>
      <c r="Q23" s="88"/>
      <c r="R23" s="88"/>
      <c r="S23" s="88"/>
    </row>
    <row r="24" spans="1:19" ht="31.5">
      <c r="A24" s="83">
        <f>1+A22</f>
        <v>1731</v>
      </c>
      <c r="B24" s="141">
        <v>46014</v>
      </c>
      <c r="C24" s="18" t="s">
        <v>36</v>
      </c>
      <c r="D24" s="21" t="s">
        <v>1295</v>
      </c>
      <c r="E24" s="21" t="s">
        <v>2321</v>
      </c>
      <c r="F24" s="20" t="s">
        <v>16</v>
      </c>
      <c r="G24" s="18" t="str">
        <f>C24</f>
        <v>AIDS</v>
      </c>
      <c r="H24" s="86">
        <v>1800</v>
      </c>
      <c r="I24" s="140">
        <v>46058</v>
      </c>
      <c r="J24" s="87"/>
      <c r="K24" s="57"/>
      <c r="L24" s="86" t="s">
        <v>2191</v>
      </c>
      <c r="M24" s="86">
        <v>91</v>
      </c>
      <c r="N24" s="85"/>
      <c r="O24" s="85"/>
      <c r="P24" s="85"/>
      <c r="Q24" s="85"/>
      <c r="R24" s="85"/>
      <c r="S24" s="85"/>
    </row>
    <row r="25" spans="1:19" ht="31.5">
      <c r="A25" s="83">
        <f>1+A24</f>
        <v>1732</v>
      </c>
      <c r="B25" s="141">
        <v>46014</v>
      </c>
      <c r="C25" s="18" t="s">
        <v>36</v>
      </c>
      <c r="D25" s="21" t="s">
        <v>1295</v>
      </c>
      <c r="E25" s="21" t="s">
        <v>2320</v>
      </c>
      <c r="F25" s="20" t="s">
        <v>16</v>
      </c>
      <c r="G25" s="18" t="str">
        <f>C25</f>
        <v>AIDS</v>
      </c>
      <c r="H25" s="86">
        <v>1800</v>
      </c>
      <c r="I25" s="140">
        <v>46058</v>
      </c>
      <c r="J25" s="87"/>
      <c r="K25" s="57"/>
      <c r="L25" s="86" t="s">
        <v>2123</v>
      </c>
      <c r="M25" s="86">
        <v>91</v>
      </c>
      <c r="N25" s="85"/>
      <c r="O25" s="85"/>
      <c r="P25" s="85"/>
      <c r="Q25" s="85"/>
      <c r="R25" s="85"/>
      <c r="S25" s="85"/>
    </row>
    <row r="26" spans="1:19" ht="47.25">
      <c r="A26" s="83">
        <f>1+A25</f>
        <v>1733</v>
      </c>
      <c r="B26" s="141">
        <v>46014</v>
      </c>
      <c r="C26" s="18" t="s">
        <v>36</v>
      </c>
      <c r="D26" s="21" t="s">
        <v>1295</v>
      </c>
      <c r="E26" s="21" t="s">
        <v>2319</v>
      </c>
      <c r="F26" s="20" t="s">
        <v>16</v>
      </c>
      <c r="G26" s="18" t="str">
        <f>C26</f>
        <v>AIDS</v>
      </c>
      <c r="H26" s="86">
        <v>1800</v>
      </c>
      <c r="I26" s="140">
        <v>46058</v>
      </c>
      <c r="J26" s="87"/>
      <c r="K26" s="57"/>
      <c r="L26" s="86" t="s">
        <v>2123</v>
      </c>
      <c r="M26" s="86">
        <v>91</v>
      </c>
      <c r="N26" s="85"/>
      <c r="O26" s="85"/>
      <c r="P26" s="85"/>
      <c r="Q26" s="85"/>
      <c r="R26" s="85"/>
      <c r="S26" s="85"/>
    </row>
    <row r="27" spans="1:19" ht="31.5">
      <c r="A27" s="83">
        <f>1+A26</f>
        <v>1734</v>
      </c>
      <c r="B27" s="141">
        <v>46014</v>
      </c>
      <c r="C27" s="18" t="s">
        <v>36</v>
      </c>
      <c r="D27" s="21" t="s">
        <v>1295</v>
      </c>
      <c r="E27" s="21" t="s">
        <v>2318</v>
      </c>
      <c r="F27" s="20" t="s">
        <v>16</v>
      </c>
      <c r="G27" s="18" t="str">
        <f>C27</f>
        <v>AIDS</v>
      </c>
      <c r="H27" s="86">
        <v>1800</v>
      </c>
      <c r="I27" s="140">
        <v>46058</v>
      </c>
      <c r="J27" s="87"/>
      <c r="K27" s="57"/>
      <c r="L27" s="86" t="s">
        <v>2123</v>
      </c>
      <c r="M27" s="86">
        <v>91</v>
      </c>
      <c r="N27" s="85"/>
      <c r="O27" s="85"/>
      <c r="P27" s="85"/>
      <c r="Q27" s="85"/>
      <c r="R27" s="85"/>
      <c r="S27" s="85"/>
    </row>
    <row r="28" spans="1:19" ht="47.25">
      <c r="A28" s="83">
        <f>1+A27</f>
        <v>1735</v>
      </c>
      <c r="B28" s="141">
        <v>46014</v>
      </c>
      <c r="C28" s="18" t="s">
        <v>36</v>
      </c>
      <c r="D28" s="21" t="s">
        <v>1295</v>
      </c>
      <c r="E28" s="21" t="s">
        <v>2317</v>
      </c>
      <c r="F28" s="20" t="s">
        <v>16</v>
      </c>
      <c r="G28" s="18" t="str">
        <f>C28</f>
        <v>AIDS</v>
      </c>
      <c r="H28" s="86">
        <v>1800</v>
      </c>
      <c r="I28" s="140">
        <v>46058</v>
      </c>
      <c r="J28" s="87"/>
      <c r="K28" s="57"/>
      <c r="L28" s="86" t="s">
        <v>2191</v>
      </c>
      <c r="M28" s="86">
        <v>91</v>
      </c>
      <c r="N28" s="85"/>
      <c r="O28" s="85"/>
      <c r="P28" s="85"/>
      <c r="Q28" s="85"/>
      <c r="R28" s="85"/>
      <c r="S28" s="85"/>
    </row>
    <row r="29" spans="1:19" ht="47.25">
      <c r="A29" s="83">
        <f>1+A28</f>
        <v>1736</v>
      </c>
      <c r="B29" s="141">
        <v>46014</v>
      </c>
      <c r="C29" s="18" t="s">
        <v>36</v>
      </c>
      <c r="D29" s="21" t="s">
        <v>1295</v>
      </c>
      <c r="E29" s="21" t="s">
        <v>2316</v>
      </c>
      <c r="F29" s="20" t="s">
        <v>16</v>
      </c>
      <c r="G29" s="18" t="str">
        <f>C29</f>
        <v>AIDS</v>
      </c>
      <c r="H29" s="86">
        <v>1800</v>
      </c>
      <c r="I29" s="140">
        <v>46058</v>
      </c>
      <c r="J29" s="87"/>
      <c r="K29" s="57"/>
      <c r="L29" s="86" t="s">
        <v>2191</v>
      </c>
      <c r="M29" s="86">
        <v>91</v>
      </c>
      <c r="N29" s="85"/>
      <c r="O29" s="85"/>
      <c r="P29" s="85"/>
      <c r="Q29" s="85"/>
      <c r="R29" s="85"/>
      <c r="S29" s="85"/>
    </row>
    <row r="30" spans="1:19" ht="31.5">
      <c r="A30" s="83">
        <f>1+A29</f>
        <v>1737</v>
      </c>
      <c r="B30" s="141">
        <v>46014</v>
      </c>
      <c r="C30" s="18" t="s">
        <v>36</v>
      </c>
      <c r="D30" s="21" t="s">
        <v>1295</v>
      </c>
      <c r="E30" s="21" t="s">
        <v>2315</v>
      </c>
      <c r="F30" s="20" t="s">
        <v>16</v>
      </c>
      <c r="G30" s="18" t="str">
        <f>C30</f>
        <v>AIDS</v>
      </c>
      <c r="H30" s="86">
        <v>1800</v>
      </c>
      <c r="I30" s="140">
        <v>46058</v>
      </c>
      <c r="J30" s="87"/>
      <c r="K30" s="57"/>
      <c r="L30" s="86" t="s">
        <v>2191</v>
      </c>
      <c r="M30" s="86">
        <v>91</v>
      </c>
      <c r="N30" s="85"/>
      <c r="O30" s="85"/>
      <c r="P30" s="85"/>
      <c r="Q30" s="85"/>
      <c r="R30" s="85"/>
      <c r="S30" s="85"/>
    </row>
    <row r="31" spans="1:19" ht="47.25">
      <c r="A31" s="83">
        <f>1+A30</f>
        <v>1738</v>
      </c>
      <c r="B31" s="141">
        <v>46045</v>
      </c>
      <c r="C31" s="18" t="s">
        <v>1</v>
      </c>
      <c r="D31" s="21" t="s">
        <v>140</v>
      </c>
      <c r="E31" s="21" t="s">
        <v>2314</v>
      </c>
      <c r="F31" s="20" t="s">
        <v>23</v>
      </c>
      <c r="G31" s="18" t="str">
        <f>C31</f>
        <v>S&amp;H</v>
      </c>
      <c r="H31" s="86">
        <v>6000</v>
      </c>
      <c r="I31" s="140">
        <v>46058</v>
      </c>
      <c r="J31" s="87"/>
      <c r="K31" s="57"/>
      <c r="L31" s="86" t="s">
        <v>2298</v>
      </c>
      <c r="M31" s="86">
        <v>91</v>
      </c>
      <c r="N31" s="85"/>
      <c r="O31" s="85"/>
      <c r="P31" s="85"/>
      <c r="Q31" s="85"/>
      <c r="R31" s="85"/>
      <c r="S31" s="85"/>
    </row>
    <row r="32" spans="1:19" ht="47.25">
      <c r="A32" s="83">
        <f>1+A31</f>
        <v>1739</v>
      </c>
      <c r="B32" s="141">
        <v>46040</v>
      </c>
      <c r="C32" s="18" t="s">
        <v>4</v>
      </c>
      <c r="D32" s="21" t="s">
        <v>269</v>
      </c>
      <c r="E32" s="21" t="s">
        <v>2313</v>
      </c>
      <c r="F32" s="20" t="s">
        <v>23</v>
      </c>
      <c r="G32" s="18" t="str">
        <f>C32</f>
        <v>EEE</v>
      </c>
      <c r="H32" s="86">
        <v>6000</v>
      </c>
      <c r="I32" s="140">
        <v>46058</v>
      </c>
      <c r="J32" s="87"/>
      <c r="K32" s="57"/>
      <c r="L32" s="86" t="s">
        <v>2312</v>
      </c>
      <c r="M32" s="86">
        <v>91</v>
      </c>
      <c r="N32" s="85"/>
      <c r="O32" s="85"/>
      <c r="P32" s="85"/>
      <c r="Q32" s="85"/>
      <c r="R32" s="85"/>
      <c r="S32" s="85"/>
    </row>
    <row r="33" spans="1:19" ht="31.5">
      <c r="A33" s="83">
        <f>1+A32</f>
        <v>1740</v>
      </c>
      <c r="B33" s="141">
        <v>46051</v>
      </c>
      <c r="C33" s="18" t="s">
        <v>1</v>
      </c>
      <c r="D33" s="21" t="s">
        <v>167</v>
      </c>
      <c r="E33" s="21" t="s">
        <v>2311</v>
      </c>
      <c r="F33" s="20" t="s">
        <v>23</v>
      </c>
      <c r="G33" s="18" t="str">
        <f>C33</f>
        <v>S&amp;H</v>
      </c>
      <c r="H33" s="86">
        <v>10000</v>
      </c>
      <c r="I33" s="140">
        <v>46058</v>
      </c>
      <c r="J33" s="87"/>
      <c r="K33" s="57"/>
      <c r="L33" s="86" t="s">
        <v>2298</v>
      </c>
      <c r="M33" s="86">
        <v>91</v>
      </c>
      <c r="N33" s="85"/>
      <c r="O33" s="85"/>
      <c r="P33" s="85"/>
      <c r="Q33" s="85"/>
      <c r="R33" s="85"/>
      <c r="S33" s="85"/>
    </row>
    <row r="34" spans="1:19" ht="47.25">
      <c r="A34" s="83">
        <f>1+A33</f>
        <v>1741</v>
      </c>
      <c r="B34" s="141">
        <v>46044</v>
      </c>
      <c r="C34" s="18" t="s">
        <v>8</v>
      </c>
      <c r="D34" s="21" t="s">
        <v>440</v>
      </c>
      <c r="E34" s="21" t="s">
        <v>2310</v>
      </c>
      <c r="F34" s="20" t="s">
        <v>23</v>
      </c>
      <c r="G34" s="18" t="str">
        <f>C34</f>
        <v>CCE</v>
      </c>
      <c r="H34" s="86">
        <v>10000</v>
      </c>
      <c r="I34" s="140">
        <v>46058</v>
      </c>
      <c r="J34" s="87"/>
      <c r="K34" s="57"/>
      <c r="L34" s="95">
        <v>46093</v>
      </c>
      <c r="M34" s="86">
        <v>91</v>
      </c>
      <c r="N34" s="85"/>
      <c r="O34" s="85"/>
      <c r="P34" s="85"/>
      <c r="Q34" s="85"/>
      <c r="R34" s="85"/>
      <c r="S34" s="85"/>
    </row>
    <row r="35" spans="1:19" ht="31.5">
      <c r="A35" s="83">
        <f>1+A34</f>
        <v>1742</v>
      </c>
      <c r="B35" s="141">
        <v>46051</v>
      </c>
      <c r="C35" s="18" t="s">
        <v>2</v>
      </c>
      <c r="D35" s="21" t="s">
        <v>99</v>
      </c>
      <c r="E35" s="21" t="s">
        <v>2309</v>
      </c>
      <c r="F35" s="20" t="s">
        <v>23</v>
      </c>
      <c r="G35" s="18" t="str">
        <f>C35</f>
        <v>Mech</v>
      </c>
      <c r="H35" s="86">
        <v>6000</v>
      </c>
      <c r="I35" s="140">
        <v>46058</v>
      </c>
      <c r="J35" s="87"/>
      <c r="K35" s="57"/>
      <c r="L35" s="86" t="s">
        <v>2308</v>
      </c>
      <c r="M35" s="86">
        <v>91</v>
      </c>
      <c r="N35" s="85"/>
      <c r="O35" s="85"/>
      <c r="P35" s="85"/>
      <c r="Q35" s="85"/>
      <c r="R35" s="85"/>
      <c r="S35" s="85"/>
    </row>
    <row r="36" spans="1:19" ht="31.5">
      <c r="A36" s="83">
        <f>1+A35</f>
        <v>1743</v>
      </c>
      <c r="B36" s="141">
        <v>46382</v>
      </c>
      <c r="C36" s="18" t="s">
        <v>36</v>
      </c>
      <c r="D36" s="21" t="s">
        <v>1297</v>
      </c>
      <c r="E36" s="21" t="s">
        <v>2307</v>
      </c>
      <c r="F36" s="20" t="s">
        <v>324</v>
      </c>
      <c r="G36" s="18" t="str">
        <f>C36</f>
        <v>AIDS</v>
      </c>
      <c r="H36" s="86">
        <v>5000</v>
      </c>
      <c r="I36" s="140">
        <v>46058</v>
      </c>
      <c r="J36" s="87"/>
      <c r="K36" s="57"/>
      <c r="L36" s="95">
        <v>45781</v>
      </c>
      <c r="M36" s="86">
        <v>91</v>
      </c>
      <c r="N36" s="85"/>
      <c r="O36" s="85"/>
      <c r="P36" s="85"/>
      <c r="Q36" s="85"/>
      <c r="R36" s="85"/>
      <c r="S36" s="85"/>
    </row>
    <row r="37" spans="1:19" ht="31.5">
      <c r="A37" s="83">
        <f>1+A36</f>
        <v>1744</v>
      </c>
      <c r="B37" s="141">
        <v>46382</v>
      </c>
      <c r="C37" s="18" t="s">
        <v>36</v>
      </c>
      <c r="D37" s="21" t="s">
        <v>1297</v>
      </c>
      <c r="E37" s="21" t="s">
        <v>2306</v>
      </c>
      <c r="F37" s="20" t="s">
        <v>16</v>
      </c>
      <c r="G37" s="18" t="str">
        <f>C37</f>
        <v>AIDS</v>
      </c>
      <c r="H37" s="86">
        <v>1800</v>
      </c>
      <c r="I37" s="140">
        <v>46058</v>
      </c>
      <c r="J37" s="87"/>
      <c r="K37" s="57"/>
      <c r="L37" s="86">
        <v>2025</v>
      </c>
      <c r="M37" s="86">
        <v>91</v>
      </c>
      <c r="N37" s="85"/>
      <c r="O37" s="85"/>
      <c r="P37" s="85"/>
      <c r="Q37" s="85"/>
      <c r="R37" s="85"/>
      <c r="S37" s="85"/>
    </row>
    <row r="38" spans="1:19" ht="47.25">
      <c r="A38" s="83">
        <f>1+A37</f>
        <v>1745</v>
      </c>
      <c r="B38" s="141">
        <v>46041</v>
      </c>
      <c r="C38" s="18" t="s">
        <v>4</v>
      </c>
      <c r="D38" s="21" t="s">
        <v>63</v>
      </c>
      <c r="E38" s="21" t="s">
        <v>2305</v>
      </c>
      <c r="F38" s="20" t="s">
        <v>16</v>
      </c>
      <c r="G38" s="18" t="str">
        <f>C38</f>
        <v>EEE</v>
      </c>
      <c r="H38" s="86">
        <v>1800</v>
      </c>
      <c r="I38" s="140">
        <v>46058</v>
      </c>
      <c r="J38" s="87"/>
      <c r="K38" s="57"/>
      <c r="L38" s="95">
        <v>45912</v>
      </c>
      <c r="M38" s="86">
        <v>91</v>
      </c>
      <c r="N38" s="85"/>
      <c r="O38" s="85"/>
      <c r="P38" s="85"/>
      <c r="Q38" s="85"/>
      <c r="R38" s="85"/>
      <c r="S38" s="85"/>
    </row>
    <row r="39" spans="1:19" ht="47.25">
      <c r="A39" s="83">
        <f>1+A38</f>
        <v>1746</v>
      </c>
      <c r="B39" s="141">
        <v>46041</v>
      </c>
      <c r="C39" s="18" t="s">
        <v>4</v>
      </c>
      <c r="D39" s="21" t="s">
        <v>63</v>
      </c>
      <c r="E39" s="21" t="s">
        <v>2304</v>
      </c>
      <c r="F39" s="20" t="s">
        <v>16</v>
      </c>
      <c r="G39" s="18" t="str">
        <f>C39</f>
        <v>EEE</v>
      </c>
      <c r="H39" s="86">
        <v>1800</v>
      </c>
      <c r="I39" s="140">
        <v>46058</v>
      </c>
      <c r="J39" s="87"/>
      <c r="K39" s="57"/>
      <c r="L39" s="95">
        <v>45667</v>
      </c>
      <c r="M39" s="86">
        <v>91</v>
      </c>
      <c r="N39" s="85"/>
      <c r="O39" s="85"/>
      <c r="P39" s="85"/>
      <c r="Q39" s="85"/>
      <c r="R39" s="85"/>
      <c r="S39" s="85"/>
    </row>
    <row r="40" spans="1:19" ht="31.5">
      <c r="A40" s="83">
        <f>1+A39</f>
        <v>1747</v>
      </c>
      <c r="B40" s="141">
        <v>46041</v>
      </c>
      <c r="C40" s="18" t="s">
        <v>4</v>
      </c>
      <c r="D40" s="21" t="s">
        <v>911</v>
      </c>
      <c r="E40" s="21" t="s">
        <v>2303</v>
      </c>
      <c r="F40" s="20" t="s">
        <v>23</v>
      </c>
      <c r="G40" s="18" t="str">
        <f>C40</f>
        <v>EEE</v>
      </c>
      <c r="H40" s="86">
        <v>6000</v>
      </c>
      <c r="I40" s="140">
        <v>46058</v>
      </c>
      <c r="J40" s="87"/>
      <c r="K40" s="57"/>
      <c r="L40" s="95">
        <v>46023</v>
      </c>
      <c r="M40" s="86">
        <v>91</v>
      </c>
      <c r="N40" s="85"/>
      <c r="O40" s="85"/>
      <c r="P40" s="85"/>
      <c r="Q40" s="85"/>
      <c r="R40" s="85"/>
      <c r="S40" s="85"/>
    </row>
    <row r="41" spans="1:19" ht="15.75">
      <c r="A41" s="83">
        <f>1+A40</f>
        <v>1748</v>
      </c>
      <c r="B41" s="141">
        <v>46043</v>
      </c>
      <c r="C41" s="18" t="s">
        <v>1</v>
      </c>
      <c r="D41" s="21" t="s">
        <v>334</v>
      </c>
      <c r="E41" s="21" t="s">
        <v>2302</v>
      </c>
      <c r="F41" s="20" t="s">
        <v>324</v>
      </c>
      <c r="G41" s="18" t="str">
        <f>C41</f>
        <v>S&amp;H</v>
      </c>
      <c r="H41" s="86">
        <v>5000</v>
      </c>
      <c r="I41" s="140">
        <v>46058</v>
      </c>
      <c r="J41" s="179"/>
      <c r="K41" s="57"/>
      <c r="L41" s="96">
        <v>45942</v>
      </c>
      <c r="M41" s="86">
        <v>91</v>
      </c>
      <c r="N41" s="85"/>
      <c r="O41" s="85"/>
      <c r="P41" s="85"/>
      <c r="Q41" s="85"/>
      <c r="R41" s="85"/>
      <c r="S41" s="85"/>
    </row>
    <row r="42" spans="1:19" ht="31.5">
      <c r="A42" s="83">
        <f>1+A41</f>
        <v>1749</v>
      </c>
      <c r="B42" s="141">
        <v>46043</v>
      </c>
      <c r="C42" s="18" t="s">
        <v>1</v>
      </c>
      <c r="D42" s="21" t="s">
        <v>334</v>
      </c>
      <c r="E42" s="21" t="s">
        <v>2301</v>
      </c>
      <c r="F42" s="20" t="s">
        <v>324</v>
      </c>
      <c r="G42" s="18" t="str">
        <f>C42</f>
        <v>S&amp;H</v>
      </c>
      <c r="H42" s="86">
        <v>5000</v>
      </c>
      <c r="I42" s="140">
        <v>46058</v>
      </c>
      <c r="J42" s="180"/>
      <c r="K42" s="57"/>
      <c r="L42" s="96">
        <v>45942</v>
      </c>
      <c r="M42" s="86">
        <v>91</v>
      </c>
      <c r="N42" s="85"/>
      <c r="O42" s="85"/>
      <c r="P42" s="85"/>
      <c r="Q42" s="85"/>
      <c r="R42" s="85"/>
      <c r="S42" s="85"/>
    </row>
    <row r="43" spans="1:19" ht="31.5">
      <c r="A43" s="83">
        <f>1+A42</f>
        <v>1750</v>
      </c>
      <c r="B43" s="141">
        <v>46051</v>
      </c>
      <c r="C43" s="18" t="s">
        <v>1</v>
      </c>
      <c r="D43" s="21" t="s">
        <v>334</v>
      </c>
      <c r="E43" s="21" t="s">
        <v>2300</v>
      </c>
      <c r="F43" s="20" t="s">
        <v>23</v>
      </c>
      <c r="G43" s="18" t="str">
        <f>C43</f>
        <v>S&amp;H</v>
      </c>
      <c r="H43" s="86">
        <v>6000</v>
      </c>
      <c r="I43" s="140">
        <v>46058</v>
      </c>
      <c r="J43" s="179"/>
      <c r="K43" s="57"/>
      <c r="L43" s="96">
        <v>45942</v>
      </c>
      <c r="M43" s="86">
        <v>91</v>
      </c>
      <c r="N43" s="85"/>
      <c r="O43" s="85"/>
      <c r="P43" s="85"/>
      <c r="Q43" s="85"/>
      <c r="R43" s="85"/>
      <c r="S43" s="85"/>
    </row>
    <row r="44" spans="1:19" ht="47.25">
      <c r="A44" s="83">
        <f>1+A43</f>
        <v>1751</v>
      </c>
      <c r="B44" s="141">
        <v>46051</v>
      </c>
      <c r="C44" s="18" t="s">
        <v>1</v>
      </c>
      <c r="D44" s="21" t="s">
        <v>334</v>
      </c>
      <c r="E44" s="21" t="s">
        <v>2299</v>
      </c>
      <c r="F44" s="20" t="s">
        <v>23</v>
      </c>
      <c r="G44" s="18" t="str">
        <f>C44</f>
        <v>S&amp;H</v>
      </c>
      <c r="H44" s="86">
        <v>10000</v>
      </c>
      <c r="I44" s="140">
        <v>46058</v>
      </c>
      <c r="J44" s="87"/>
      <c r="K44" s="57"/>
      <c r="L44" s="86" t="s">
        <v>2298</v>
      </c>
      <c r="M44" s="86">
        <v>91</v>
      </c>
      <c r="N44" s="85"/>
      <c r="O44" s="85"/>
      <c r="P44" s="85"/>
      <c r="Q44" s="85"/>
      <c r="R44" s="85"/>
      <c r="S44" s="85"/>
    </row>
    <row r="45" spans="1:19" ht="31.5">
      <c r="A45" s="83">
        <f>1+A44</f>
        <v>1752</v>
      </c>
      <c r="B45" s="141">
        <v>46043</v>
      </c>
      <c r="C45" s="18" t="s">
        <v>5</v>
      </c>
      <c r="D45" s="21" t="s">
        <v>1462</v>
      </c>
      <c r="E45" s="21" t="s">
        <v>2297</v>
      </c>
      <c r="F45" s="20" t="s">
        <v>23</v>
      </c>
      <c r="G45" s="18" t="str">
        <f>C45</f>
        <v>ECE</v>
      </c>
      <c r="H45" s="86">
        <v>10000</v>
      </c>
      <c r="I45" s="140">
        <v>46058</v>
      </c>
      <c r="J45" s="87"/>
      <c r="K45" s="57"/>
      <c r="L45" s="86" t="s">
        <v>2280</v>
      </c>
      <c r="M45" s="86">
        <v>91</v>
      </c>
      <c r="N45" s="85"/>
      <c r="O45" s="85"/>
      <c r="P45" s="85"/>
      <c r="Q45" s="85"/>
      <c r="R45" s="85"/>
      <c r="S45" s="85"/>
    </row>
    <row r="46" spans="1:19" ht="15.75">
      <c r="A46" s="46"/>
      <c r="B46" s="139"/>
      <c r="C46" s="46"/>
      <c r="D46" s="46"/>
      <c r="E46" s="46" t="s">
        <v>11</v>
      </c>
      <c r="F46" s="42"/>
      <c r="G46" s="90"/>
      <c r="H46" s="89">
        <f>SUM(H24:H45)</f>
        <v>103000</v>
      </c>
      <c r="I46" s="42" t="s">
        <v>718</v>
      </c>
      <c r="J46" s="42"/>
      <c r="K46" s="45">
        <f>H46</f>
        <v>103000</v>
      </c>
      <c r="L46" s="42"/>
      <c r="M46" s="46">
        <v>91</v>
      </c>
      <c r="N46" s="88"/>
      <c r="O46" s="88"/>
      <c r="P46" s="88"/>
      <c r="Q46" s="88"/>
      <c r="R46" s="88"/>
      <c r="S46" s="88"/>
    </row>
    <row r="47" spans="1:19" ht="31.5">
      <c r="A47" s="83">
        <f>1+A45</f>
        <v>1753</v>
      </c>
      <c r="B47" s="141">
        <v>46059</v>
      </c>
      <c r="C47" s="18" t="s">
        <v>5</v>
      </c>
      <c r="D47" s="21" t="s">
        <v>115</v>
      </c>
      <c r="E47" s="21" t="s">
        <v>2296</v>
      </c>
      <c r="F47" s="20" t="s">
        <v>23</v>
      </c>
      <c r="G47" s="18" t="str">
        <f>C47</f>
        <v>ECE</v>
      </c>
      <c r="H47" s="86">
        <v>10000</v>
      </c>
      <c r="I47" s="146">
        <v>46091</v>
      </c>
      <c r="J47" s="87"/>
      <c r="K47" s="57"/>
      <c r="L47" s="86" t="s">
        <v>2295</v>
      </c>
      <c r="M47" s="86">
        <v>92</v>
      </c>
      <c r="N47" s="85"/>
      <c r="O47" s="85"/>
      <c r="P47" s="85"/>
      <c r="Q47" s="85"/>
      <c r="R47" s="85"/>
      <c r="S47" s="85"/>
    </row>
    <row r="48" spans="1:19" ht="47.25">
      <c r="A48" s="83">
        <f>1+A47</f>
        <v>1754</v>
      </c>
      <c r="B48" s="141">
        <v>46056</v>
      </c>
      <c r="C48" s="18" t="s">
        <v>2</v>
      </c>
      <c r="D48" s="21" t="s">
        <v>1306</v>
      </c>
      <c r="E48" s="21" t="s">
        <v>2294</v>
      </c>
      <c r="F48" s="20" t="s">
        <v>23</v>
      </c>
      <c r="G48" s="18" t="str">
        <f>C48</f>
        <v>Mech</v>
      </c>
      <c r="H48" s="86">
        <v>6000</v>
      </c>
      <c r="I48" s="146">
        <v>46091</v>
      </c>
      <c r="J48" s="87"/>
      <c r="K48" s="57"/>
      <c r="L48" s="86" t="s">
        <v>2293</v>
      </c>
      <c r="M48" s="86">
        <v>92</v>
      </c>
      <c r="N48" s="85"/>
      <c r="O48" s="85"/>
      <c r="P48" s="85"/>
      <c r="Q48" s="85"/>
      <c r="R48" s="85"/>
      <c r="S48" s="85"/>
    </row>
    <row r="49" spans="1:19" ht="47.25">
      <c r="A49" s="83">
        <f>1+A48</f>
        <v>1755</v>
      </c>
      <c r="B49" s="141">
        <v>46056</v>
      </c>
      <c r="C49" s="18" t="s">
        <v>2</v>
      </c>
      <c r="D49" s="21" t="s">
        <v>1306</v>
      </c>
      <c r="E49" s="21" t="s">
        <v>2292</v>
      </c>
      <c r="F49" s="20" t="s">
        <v>16</v>
      </c>
      <c r="G49" s="18" t="str">
        <f>C49</f>
        <v>Mech</v>
      </c>
      <c r="H49" s="86">
        <v>3000</v>
      </c>
      <c r="I49" s="146">
        <v>46091</v>
      </c>
      <c r="J49" s="87"/>
      <c r="K49" s="57"/>
      <c r="L49" s="95">
        <v>45881</v>
      </c>
      <c r="M49" s="86">
        <v>92</v>
      </c>
      <c r="N49" s="85"/>
      <c r="O49" s="85"/>
      <c r="P49" s="85"/>
      <c r="Q49" s="85"/>
      <c r="R49" s="85"/>
      <c r="S49" s="85"/>
    </row>
    <row r="50" spans="1:19" ht="31.5">
      <c r="A50" s="83">
        <f>1+A49</f>
        <v>1756</v>
      </c>
      <c r="B50" s="141">
        <v>46045</v>
      </c>
      <c r="C50" s="18" t="s">
        <v>6</v>
      </c>
      <c r="D50" s="21" t="s">
        <v>835</v>
      </c>
      <c r="E50" s="21" t="s">
        <v>2291</v>
      </c>
      <c r="F50" s="20" t="s">
        <v>16</v>
      </c>
      <c r="G50" s="18" t="str">
        <f>C50</f>
        <v>CSE</v>
      </c>
      <c r="H50" s="86">
        <v>1800</v>
      </c>
      <c r="I50" s="146">
        <v>46091</v>
      </c>
      <c r="J50" s="87"/>
      <c r="K50" s="57"/>
      <c r="L50" s="86" t="s">
        <v>2271</v>
      </c>
      <c r="M50" s="86">
        <v>92</v>
      </c>
      <c r="N50" s="85"/>
      <c r="O50" s="85"/>
      <c r="P50" s="85"/>
      <c r="Q50" s="85"/>
      <c r="R50" s="85"/>
      <c r="S50" s="85"/>
    </row>
    <row r="51" spans="1:19" ht="31.5">
      <c r="A51" s="83">
        <f>1+A50</f>
        <v>1757</v>
      </c>
      <c r="B51" s="141">
        <v>46065</v>
      </c>
      <c r="C51" s="18" t="s">
        <v>6</v>
      </c>
      <c r="D51" s="21" t="s">
        <v>835</v>
      </c>
      <c r="E51" s="21" t="s">
        <v>2290</v>
      </c>
      <c r="F51" s="20" t="s">
        <v>16</v>
      </c>
      <c r="G51" s="18" t="str">
        <f>C51</f>
        <v>CSE</v>
      </c>
      <c r="H51" s="86">
        <v>1800</v>
      </c>
      <c r="I51" s="146">
        <v>46091</v>
      </c>
      <c r="J51" s="87"/>
      <c r="K51" s="57"/>
      <c r="L51" s="86" t="s">
        <v>2129</v>
      </c>
      <c r="M51" s="86">
        <v>92</v>
      </c>
      <c r="N51" s="85"/>
      <c r="O51" s="85"/>
      <c r="P51" s="85"/>
      <c r="Q51" s="85"/>
      <c r="R51" s="85"/>
      <c r="S51" s="85"/>
    </row>
    <row r="52" spans="1:19" ht="31.5">
      <c r="A52" s="83">
        <f>1+A51</f>
        <v>1758</v>
      </c>
      <c r="B52" s="178">
        <v>46066</v>
      </c>
      <c r="C52" s="18" t="s">
        <v>0</v>
      </c>
      <c r="D52" s="21" t="s">
        <v>126</v>
      </c>
      <c r="E52" s="21" t="s">
        <v>2289</v>
      </c>
      <c r="F52" s="20" t="s">
        <v>23</v>
      </c>
      <c r="G52" s="18" t="str">
        <f>C52</f>
        <v>Maths</v>
      </c>
      <c r="H52" s="86">
        <v>10000</v>
      </c>
      <c r="I52" s="146">
        <v>46091</v>
      </c>
      <c r="J52" s="87"/>
      <c r="K52" s="57"/>
      <c r="L52" s="86" t="s">
        <v>2288</v>
      </c>
      <c r="M52" s="86">
        <v>92</v>
      </c>
      <c r="N52" s="85"/>
      <c r="O52" s="85"/>
      <c r="P52" s="85"/>
      <c r="Q52" s="85"/>
      <c r="R52" s="85"/>
      <c r="S52" s="85"/>
    </row>
    <row r="53" spans="1:19" ht="47.25">
      <c r="A53" s="83">
        <f>1+A52</f>
        <v>1759</v>
      </c>
      <c r="B53" s="178">
        <v>46046</v>
      </c>
      <c r="C53" s="18" t="s">
        <v>758</v>
      </c>
      <c r="D53" s="21" t="s">
        <v>757</v>
      </c>
      <c r="E53" s="21" t="s">
        <v>2287</v>
      </c>
      <c r="F53" s="20" t="s">
        <v>187</v>
      </c>
      <c r="G53" s="18" t="str">
        <f>C53</f>
        <v>AI-ML</v>
      </c>
      <c r="H53" s="86">
        <v>1800</v>
      </c>
      <c r="I53" s="146">
        <v>46091</v>
      </c>
      <c r="J53" s="87"/>
      <c r="K53" s="57"/>
      <c r="L53" s="86" t="s">
        <v>2286</v>
      </c>
      <c r="M53" s="86">
        <v>92</v>
      </c>
      <c r="N53" s="85"/>
      <c r="O53" s="85"/>
      <c r="P53" s="85"/>
      <c r="Q53" s="85"/>
      <c r="R53" s="85"/>
      <c r="S53" s="85"/>
    </row>
    <row r="54" spans="1:19" ht="31.5">
      <c r="A54" s="83">
        <f>1+A53</f>
        <v>1760</v>
      </c>
      <c r="B54" s="178">
        <v>46067</v>
      </c>
      <c r="C54" s="18" t="s">
        <v>5</v>
      </c>
      <c r="D54" s="21" t="s">
        <v>1462</v>
      </c>
      <c r="E54" s="21" t="s">
        <v>2285</v>
      </c>
      <c r="F54" s="20" t="s">
        <v>23</v>
      </c>
      <c r="G54" s="18" t="str">
        <f>C54</f>
        <v>ECE</v>
      </c>
      <c r="H54" s="86">
        <v>6000</v>
      </c>
      <c r="I54" s="146">
        <v>46091</v>
      </c>
      <c r="J54" s="87"/>
      <c r="K54" s="57"/>
      <c r="L54" s="86" t="s">
        <v>2265</v>
      </c>
      <c r="M54" s="86">
        <v>92</v>
      </c>
      <c r="N54" s="85"/>
      <c r="O54" s="85"/>
      <c r="P54" s="85"/>
      <c r="Q54" s="85"/>
      <c r="R54" s="85"/>
      <c r="S54" s="85"/>
    </row>
    <row r="55" spans="1:19" ht="47.25">
      <c r="A55" s="83">
        <f>1+A54</f>
        <v>1761</v>
      </c>
      <c r="B55" s="178">
        <v>46074</v>
      </c>
      <c r="C55" s="18" t="s">
        <v>5</v>
      </c>
      <c r="D55" s="21" t="s">
        <v>781</v>
      </c>
      <c r="E55" s="21" t="s">
        <v>2284</v>
      </c>
      <c r="F55" s="20" t="s">
        <v>23</v>
      </c>
      <c r="G55" s="18" t="str">
        <f>C55</f>
        <v>ECE</v>
      </c>
      <c r="H55" s="86">
        <v>6000</v>
      </c>
      <c r="I55" s="146">
        <v>46091</v>
      </c>
      <c r="J55" s="87"/>
      <c r="K55" s="57"/>
      <c r="L55" s="86" t="s">
        <v>2283</v>
      </c>
      <c r="M55" s="86">
        <v>92</v>
      </c>
      <c r="N55" s="85"/>
      <c r="O55" s="85"/>
      <c r="P55" s="85"/>
      <c r="Q55" s="85"/>
      <c r="R55" s="85"/>
      <c r="S55" s="85"/>
    </row>
    <row r="56" spans="1:19" ht="47.25">
      <c r="A56" s="83">
        <f>1+A55</f>
        <v>1762</v>
      </c>
      <c r="B56" s="178">
        <v>46072</v>
      </c>
      <c r="C56" s="18" t="s">
        <v>4</v>
      </c>
      <c r="D56" s="21" t="s">
        <v>772</v>
      </c>
      <c r="E56" s="21" t="s">
        <v>2282</v>
      </c>
      <c r="F56" s="20" t="s">
        <v>324</v>
      </c>
      <c r="G56" s="18" t="str">
        <f>C56</f>
        <v>EEE</v>
      </c>
      <c r="H56" s="86">
        <v>5000</v>
      </c>
      <c r="I56" s="146">
        <v>46091</v>
      </c>
      <c r="J56" s="87"/>
      <c r="K56" s="57"/>
      <c r="L56" s="95">
        <v>46055</v>
      </c>
      <c r="M56" s="86">
        <v>92</v>
      </c>
      <c r="N56" s="85"/>
      <c r="O56" s="85"/>
      <c r="P56" s="85"/>
      <c r="Q56" s="85"/>
      <c r="R56" s="85"/>
      <c r="S56" s="85"/>
    </row>
    <row r="57" spans="1:19" ht="31.5">
      <c r="A57" s="83">
        <f>1+A56</f>
        <v>1763</v>
      </c>
      <c r="B57" s="141">
        <v>46052</v>
      </c>
      <c r="C57" s="18" t="s">
        <v>1</v>
      </c>
      <c r="D57" s="21" t="s">
        <v>167</v>
      </c>
      <c r="E57" s="21" t="s">
        <v>2281</v>
      </c>
      <c r="F57" s="20" t="s">
        <v>23</v>
      </c>
      <c r="G57" s="18" t="str">
        <f>C57</f>
        <v>S&amp;H</v>
      </c>
      <c r="H57" s="86">
        <v>10000</v>
      </c>
      <c r="I57" s="146">
        <v>46091</v>
      </c>
      <c r="J57" s="87"/>
      <c r="K57" s="57"/>
      <c r="L57" s="86" t="s">
        <v>2280</v>
      </c>
      <c r="M57" s="86">
        <v>92</v>
      </c>
      <c r="N57" s="85"/>
      <c r="O57" s="85"/>
      <c r="P57" s="85"/>
      <c r="Q57" s="85"/>
      <c r="R57" s="85"/>
      <c r="S57" s="85"/>
    </row>
    <row r="58" spans="1:19" ht="31.5">
      <c r="A58" s="83">
        <f>1+A57</f>
        <v>1764</v>
      </c>
      <c r="B58" s="141">
        <v>46067</v>
      </c>
      <c r="C58" s="18" t="s">
        <v>1</v>
      </c>
      <c r="D58" s="21" t="s">
        <v>167</v>
      </c>
      <c r="E58" s="21" t="s">
        <v>2279</v>
      </c>
      <c r="F58" s="20" t="s">
        <v>23</v>
      </c>
      <c r="G58" s="18" t="str">
        <f>C58</f>
        <v>S&amp;H</v>
      </c>
      <c r="H58" s="86">
        <v>6000</v>
      </c>
      <c r="I58" s="146">
        <v>46091</v>
      </c>
      <c r="J58" s="87"/>
      <c r="K58" s="57"/>
      <c r="L58" s="95">
        <v>46055</v>
      </c>
      <c r="M58" s="86">
        <v>92</v>
      </c>
      <c r="N58" s="85"/>
      <c r="O58" s="85"/>
      <c r="P58" s="85"/>
      <c r="Q58" s="85"/>
      <c r="R58" s="85"/>
      <c r="S58" s="85"/>
    </row>
    <row r="59" spans="1:19" ht="31.5">
      <c r="A59" s="83">
        <f>1+A58</f>
        <v>1765</v>
      </c>
      <c r="B59" s="141">
        <v>46057</v>
      </c>
      <c r="C59" s="18" t="s">
        <v>36</v>
      </c>
      <c r="D59" s="21" t="s">
        <v>2278</v>
      </c>
      <c r="E59" s="21" t="s">
        <v>2277</v>
      </c>
      <c r="F59" s="20" t="s">
        <v>23</v>
      </c>
      <c r="G59" s="18" t="str">
        <f>C59</f>
        <v>AIDS</v>
      </c>
      <c r="H59" s="86">
        <v>6000</v>
      </c>
      <c r="I59" s="146">
        <v>46091</v>
      </c>
      <c r="J59" s="87"/>
      <c r="K59" s="57"/>
      <c r="L59" s="86" t="s">
        <v>2276</v>
      </c>
      <c r="M59" s="86">
        <v>92</v>
      </c>
      <c r="N59" s="85"/>
      <c r="O59" s="85"/>
      <c r="P59" s="85"/>
      <c r="Q59" s="85"/>
      <c r="R59" s="85"/>
      <c r="S59" s="85"/>
    </row>
    <row r="60" spans="1:19" ht="47.25">
      <c r="A60" s="83">
        <f>1+A59</f>
        <v>1766</v>
      </c>
      <c r="B60" s="141">
        <v>46052</v>
      </c>
      <c r="C60" s="18" t="s">
        <v>1</v>
      </c>
      <c r="D60" s="21" t="s">
        <v>1429</v>
      </c>
      <c r="E60" s="21" t="s">
        <v>2275</v>
      </c>
      <c r="F60" s="20" t="s">
        <v>23</v>
      </c>
      <c r="G60" s="18" t="str">
        <f>C60</f>
        <v>S&amp;H</v>
      </c>
      <c r="H60" s="86">
        <v>6000</v>
      </c>
      <c r="I60" s="146">
        <v>46091</v>
      </c>
      <c r="J60" s="87"/>
      <c r="K60" s="57"/>
      <c r="L60" s="86" t="s">
        <v>2274</v>
      </c>
      <c r="M60" s="86">
        <v>92</v>
      </c>
      <c r="N60" s="85"/>
      <c r="O60" s="85"/>
      <c r="P60" s="85"/>
      <c r="Q60" s="85"/>
      <c r="R60" s="85"/>
      <c r="S60" s="85"/>
    </row>
    <row r="61" spans="1:19" ht="31.5">
      <c r="A61" s="83">
        <f>1+A60</f>
        <v>1767</v>
      </c>
      <c r="B61" s="141">
        <v>45940</v>
      </c>
      <c r="C61" s="18" t="s">
        <v>5</v>
      </c>
      <c r="D61" s="21" t="s">
        <v>112</v>
      </c>
      <c r="E61" s="21" t="s">
        <v>2273</v>
      </c>
      <c r="F61" s="20" t="s">
        <v>324</v>
      </c>
      <c r="G61" s="18" t="str">
        <f>C61</f>
        <v>ECE</v>
      </c>
      <c r="H61" s="86">
        <v>5000</v>
      </c>
      <c r="I61" s="146">
        <v>46091</v>
      </c>
      <c r="J61" s="87"/>
      <c r="K61" s="57"/>
      <c r="L61" s="86" t="s">
        <v>1760</v>
      </c>
      <c r="M61" s="86">
        <v>92</v>
      </c>
      <c r="N61" s="85"/>
      <c r="O61" s="85"/>
      <c r="P61" s="85"/>
      <c r="Q61" s="85"/>
      <c r="R61" s="85"/>
      <c r="S61" s="85"/>
    </row>
    <row r="62" spans="1:19" ht="31.5">
      <c r="A62" s="83">
        <f>1+A61</f>
        <v>1768</v>
      </c>
      <c r="B62" s="141">
        <v>46045</v>
      </c>
      <c r="C62" s="18" t="s">
        <v>6</v>
      </c>
      <c r="D62" s="21" t="s">
        <v>835</v>
      </c>
      <c r="E62" s="21" t="s">
        <v>2272</v>
      </c>
      <c r="F62" s="20" t="s">
        <v>16</v>
      </c>
      <c r="G62" s="18" t="str">
        <f>C62</f>
        <v>CSE</v>
      </c>
      <c r="H62" s="86">
        <v>3000</v>
      </c>
      <c r="I62" s="146">
        <v>46091</v>
      </c>
      <c r="J62" s="87"/>
      <c r="K62" s="57"/>
      <c r="L62" s="86" t="s">
        <v>2271</v>
      </c>
      <c r="M62" s="86">
        <v>92</v>
      </c>
      <c r="N62" s="85"/>
      <c r="O62" s="85"/>
      <c r="P62" s="85"/>
      <c r="Q62" s="85"/>
      <c r="R62" s="85"/>
      <c r="S62" s="85"/>
    </row>
    <row r="63" spans="1:19" ht="31.5">
      <c r="A63" s="83">
        <f>1+A62</f>
        <v>1769</v>
      </c>
      <c r="B63" s="178">
        <v>46078</v>
      </c>
      <c r="C63" s="18" t="s">
        <v>5</v>
      </c>
      <c r="D63" s="21" t="s">
        <v>262</v>
      </c>
      <c r="E63" s="21" t="s">
        <v>2270</v>
      </c>
      <c r="F63" s="20" t="s">
        <v>16</v>
      </c>
      <c r="G63" s="18" t="str">
        <f>C63</f>
        <v>ECE</v>
      </c>
      <c r="H63" s="86">
        <v>1800</v>
      </c>
      <c r="I63" s="146">
        <v>46091</v>
      </c>
      <c r="J63" s="87"/>
      <c r="K63" s="57"/>
      <c r="L63" s="86" t="s">
        <v>2269</v>
      </c>
      <c r="M63" s="86">
        <v>92</v>
      </c>
      <c r="N63" s="85"/>
      <c r="O63" s="85"/>
      <c r="P63" s="85"/>
      <c r="Q63" s="85"/>
      <c r="R63" s="85"/>
      <c r="S63" s="85"/>
    </row>
    <row r="64" spans="1:19" ht="47.25">
      <c r="A64" s="83">
        <f>1+A63</f>
        <v>1770</v>
      </c>
      <c r="B64" s="141">
        <v>46081</v>
      </c>
      <c r="C64" s="18" t="s">
        <v>0</v>
      </c>
      <c r="D64" s="21" t="s">
        <v>334</v>
      </c>
      <c r="E64" s="21" t="s">
        <v>2268</v>
      </c>
      <c r="F64" s="20" t="s">
        <v>23</v>
      </c>
      <c r="G64" s="18" t="str">
        <f>C64</f>
        <v>Maths</v>
      </c>
      <c r="H64" s="86">
        <v>10000</v>
      </c>
      <c r="I64" s="146">
        <v>46091</v>
      </c>
      <c r="J64" s="87"/>
      <c r="K64" s="57"/>
      <c r="L64" s="95">
        <v>46296</v>
      </c>
      <c r="M64" s="86">
        <v>92</v>
      </c>
      <c r="N64" s="85"/>
      <c r="O64" s="85"/>
      <c r="P64" s="85"/>
      <c r="Q64" s="85"/>
      <c r="R64" s="85"/>
      <c r="S64" s="85"/>
    </row>
    <row r="65" spans="1:19" ht="31.5">
      <c r="A65" s="83">
        <f>1+A64</f>
        <v>1771</v>
      </c>
      <c r="B65" s="141">
        <v>46081</v>
      </c>
      <c r="C65" s="18" t="s">
        <v>0</v>
      </c>
      <c r="D65" s="21" t="s">
        <v>334</v>
      </c>
      <c r="E65" s="21" t="s">
        <v>2267</v>
      </c>
      <c r="F65" s="20" t="s">
        <v>23</v>
      </c>
      <c r="G65" s="18" t="str">
        <f>C65</f>
        <v>Maths</v>
      </c>
      <c r="H65" s="86">
        <v>10000</v>
      </c>
      <c r="I65" s="146">
        <v>46091</v>
      </c>
      <c r="J65" s="87"/>
      <c r="K65" s="57"/>
      <c r="L65" s="96">
        <v>45942</v>
      </c>
      <c r="M65" s="86">
        <v>92</v>
      </c>
      <c r="N65" s="85"/>
      <c r="O65" s="85"/>
      <c r="P65" s="85"/>
      <c r="Q65" s="85"/>
      <c r="R65" s="85"/>
      <c r="S65" s="85"/>
    </row>
    <row r="66" spans="1:19" ht="31.5">
      <c r="A66" s="83">
        <f>1+A65</f>
        <v>1772</v>
      </c>
      <c r="B66" s="141">
        <v>46081</v>
      </c>
      <c r="C66" s="18" t="s">
        <v>0</v>
      </c>
      <c r="D66" s="21" t="s">
        <v>334</v>
      </c>
      <c r="E66" s="21" t="s">
        <v>2266</v>
      </c>
      <c r="F66" s="20" t="s">
        <v>23</v>
      </c>
      <c r="G66" s="18" t="str">
        <f>C66</f>
        <v>Maths</v>
      </c>
      <c r="H66" s="86">
        <v>10000</v>
      </c>
      <c r="I66" s="146">
        <v>46091</v>
      </c>
      <c r="J66" s="87"/>
      <c r="K66" s="57"/>
      <c r="L66" s="86" t="s">
        <v>2265</v>
      </c>
      <c r="M66" s="86">
        <v>92</v>
      </c>
      <c r="N66" s="85"/>
      <c r="O66" s="85"/>
      <c r="P66" s="85"/>
      <c r="Q66" s="85"/>
      <c r="R66" s="85"/>
      <c r="S66" s="85"/>
    </row>
    <row r="67" spans="1:19" ht="47.25">
      <c r="A67" s="83">
        <f>1+A66</f>
        <v>1773</v>
      </c>
      <c r="B67" s="141">
        <v>46081</v>
      </c>
      <c r="C67" s="18" t="s">
        <v>0</v>
      </c>
      <c r="D67" s="21" t="s">
        <v>334</v>
      </c>
      <c r="E67" s="21" t="s">
        <v>2264</v>
      </c>
      <c r="F67" s="20" t="s">
        <v>324</v>
      </c>
      <c r="G67" s="18" t="str">
        <f>C67</f>
        <v>Maths</v>
      </c>
      <c r="H67" s="86">
        <v>5000</v>
      </c>
      <c r="I67" s="146">
        <v>46091</v>
      </c>
      <c r="J67" s="87"/>
      <c r="K67" s="57"/>
      <c r="L67" s="95">
        <v>46113</v>
      </c>
      <c r="M67" s="86">
        <v>92</v>
      </c>
      <c r="N67" s="85"/>
      <c r="O67" s="85"/>
      <c r="P67" s="85"/>
      <c r="Q67" s="85"/>
      <c r="R67" s="85"/>
      <c r="S67" s="85"/>
    </row>
    <row r="68" spans="1:19" ht="15.75">
      <c r="A68" s="46"/>
      <c r="B68" s="139"/>
      <c r="C68" s="46"/>
      <c r="D68" s="46"/>
      <c r="E68" s="46" t="s">
        <v>11</v>
      </c>
      <c r="F68" s="42"/>
      <c r="G68" s="90"/>
      <c r="H68" s="89">
        <f>SUM(H47:H67)</f>
        <v>124200</v>
      </c>
      <c r="I68" s="42" t="s">
        <v>718</v>
      </c>
      <c r="J68" s="42"/>
      <c r="K68" s="45">
        <f>H68</f>
        <v>124200</v>
      </c>
      <c r="L68" s="42"/>
      <c r="M68" s="46">
        <v>92</v>
      </c>
      <c r="N68" s="88"/>
      <c r="O68" s="88"/>
      <c r="P68" s="88"/>
      <c r="Q68" s="88"/>
      <c r="R68" s="88"/>
      <c r="S68" s="88"/>
    </row>
    <row r="69" spans="1:19" ht="47.25">
      <c r="A69" s="83">
        <f>1+A67</f>
        <v>1774</v>
      </c>
      <c r="B69" s="141">
        <v>46083</v>
      </c>
      <c r="C69" s="18" t="s">
        <v>5</v>
      </c>
      <c r="D69" s="21" t="s">
        <v>170</v>
      </c>
      <c r="E69" s="21" t="s">
        <v>2263</v>
      </c>
      <c r="F69" s="20" t="s">
        <v>23</v>
      </c>
      <c r="G69" s="18" t="str">
        <f>C69</f>
        <v>ECE</v>
      </c>
      <c r="H69" s="86">
        <v>10000</v>
      </c>
      <c r="I69" s="146">
        <v>46128</v>
      </c>
      <c r="J69" s="87"/>
      <c r="K69" s="57"/>
      <c r="L69" s="86" t="s">
        <v>2237</v>
      </c>
      <c r="M69" s="86">
        <v>93</v>
      </c>
      <c r="N69" s="85"/>
      <c r="O69" s="85"/>
      <c r="P69" s="85"/>
      <c r="Q69" s="85"/>
      <c r="R69" s="85"/>
      <c r="S69" s="85"/>
    </row>
    <row r="70" spans="1:19" ht="47.25">
      <c r="A70" s="83">
        <f>1+A69</f>
        <v>1775</v>
      </c>
      <c r="B70" s="141">
        <v>46083</v>
      </c>
      <c r="C70" s="18" t="s">
        <v>5</v>
      </c>
      <c r="D70" s="21" t="s">
        <v>826</v>
      </c>
      <c r="E70" s="21" t="s">
        <v>2262</v>
      </c>
      <c r="F70" s="20" t="s">
        <v>324</v>
      </c>
      <c r="G70" s="18" t="str">
        <f>C70</f>
        <v>ECE</v>
      </c>
      <c r="H70" s="86">
        <v>3000</v>
      </c>
      <c r="I70" s="146">
        <v>46128</v>
      </c>
      <c r="J70" s="87"/>
      <c r="K70" s="57"/>
      <c r="L70" s="86" t="s">
        <v>2261</v>
      </c>
      <c r="M70" s="86">
        <v>93</v>
      </c>
      <c r="N70" s="85"/>
      <c r="O70" s="85"/>
      <c r="P70" s="85"/>
      <c r="Q70" s="85"/>
      <c r="R70" s="85"/>
      <c r="S70" s="85"/>
    </row>
    <row r="71" spans="1:19" ht="47.25">
      <c r="A71" s="83">
        <f>1+A70</f>
        <v>1776</v>
      </c>
      <c r="B71" s="141">
        <v>46095</v>
      </c>
      <c r="C71" s="18" t="s">
        <v>5</v>
      </c>
      <c r="D71" s="21" t="s">
        <v>831</v>
      </c>
      <c r="E71" s="21" t="s">
        <v>2260</v>
      </c>
      <c r="F71" s="20" t="s">
        <v>23</v>
      </c>
      <c r="G71" s="18" t="str">
        <f>C71</f>
        <v>ECE</v>
      </c>
      <c r="H71" s="86">
        <v>10000</v>
      </c>
      <c r="I71" s="146">
        <v>46128</v>
      </c>
      <c r="J71" s="87"/>
      <c r="K71" s="57"/>
      <c r="L71" s="95">
        <v>46083</v>
      </c>
      <c r="M71" s="86">
        <v>93</v>
      </c>
      <c r="N71" s="85"/>
      <c r="O71" s="85"/>
      <c r="P71" s="85"/>
      <c r="Q71" s="85"/>
      <c r="R71" s="85"/>
      <c r="S71" s="85"/>
    </row>
    <row r="72" spans="1:19" ht="31.5">
      <c r="A72" s="83">
        <f>1+A71</f>
        <v>1777</v>
      </c>
      <c r="B72" s="141">
        <v>45741</v>
      </c>
      <c r="C72" s="18" t="s">
        <v>5</v>
      </c>
      <c r="D72" s="21" t="s">
        <v>52</v>
      </c>
      <c r="E72" s="21" t="s">
        <v>2259</v>
      </c>
      <c r="F72" s="20" t="s">
        <v>16</v>
      </c>
      <c r="G72" s="18" t="str">
        <f>C72</f>
        <v>ECE</v>
      </c>
      <c r="H72" s="86">
        <v>900</v>
      </c>
      <c r="I72" s="146">
        <v>46128</v>
      </c>
      <c r="J72" s="87"/>
      <c r="K72" s="57"/>
      <c r="L72" s="95">
        <v>45962</v>
      </c>
      <c r="M72" s="86">
        <v>93</v>
      </c>
      <c r="N72" s="85"/>
      <c r="O72" s="85"/>
      <c r="P72" s="85"/>
      <c r="Q72" s="85"/>
      <c r="R72" s="85"/>
      <c r="S72" s="85"/>
    </row>
    <row r="73" spans="1:19" ht="31.5">
      <c r="A73" s="83">
        <f>1+A72</f>
        <v>1778</v>
      </c>
      <c r="B73" s="141">
        <v>45741</v>
      </c>
      <c r="C73" s="18" t="s">
        <v>5</v>
      </c>
      <c r="D73" s="21" t="s">
        <v>52</v>
      </c>
      <c r="E73" s="21" t="s">
        <v>2258</v>
      </c>
      <c r="F73" s="20" t="s">
        <v>16</v>
      </c>
      <c r="G73" s="18" t="str">
        <f>C73</f>
        <v>ECE</v>
      </c>
      <c r="H73" s="86">
        <v>1800</v>
      </c>
      <c r="I73" s="146">
        <v>46128</v>
      </c>
      <c r="J73" s="87"/>
      <c r="K73" s="57"/>
      <c r="L73" s="95">
        <v>46084</v>
      </c>
      <c r="M73" s="86">
        <v>93</v>
      </c>
      <c r="N73" s="85"/>
      <c r="O73" s="85"/>
      <c r="P73" s="85"/>
      <c r="Q73" s="85"/>
      <c r="R73" s="85"/>
      <c r="S73" s="85"/>
    </row>
    <row r="74" spans="1:19" ht="15.75">
      <c r="A74" s="83">
        <f>1+A73</f>
        <v>1779</v>
      </c>
      <c r="B74" s="141">
        <v>45741</v>
      </c>
      <c r="C74" s="18" t="s">
        <v>5</v>
      </c>
      <c r="D74" s="21" t="s">
        <v>52</v>
      </c>
      <c r="E74" s="21" t="s">
        <v>2257</v>
      </c>
      <c r="F74" s="20" t="s">
        <v>16</v>
      </c>
      <c r="G74" s="18" t="str">
        <f>C74</f>
        <v>ECE</v>
      </c>
      <c r="H74" s="86">
        <v>3000</v>
      </c>
      <c r="I74" s="146">
        <v>46128</v>
      </c>
      <c r="J74" s="87"/>
      <c r="K74" s="57"/>
      <c r="L74" s="95">
        <v>45999</v>
      </c>
      <c r="M74" s="86">
        <v>93</v>
      </c>
      <c r="N74" s="85"/>
      <c r="O74" s="85"/>
      <c r="P74" s="85"/>
      <c r="Q74" s="85"/>
      <c r="R74" s="85"/>
      <c r="S74" s="85"/>
    </row>
    <row r="75" spans="1:19" ht="31.5">
      <c r="A75" s="83">
        <f>1+A74</f>
        <v>1780</v>
      </c>
      <c r="B75" s="141">
        <v>46105</v>
      </c>
      <c r="C75" s="18" t="s">
        <v>8</v>
      </c>
      <c r="D75" s="21" t="s">
        <v>34</v>
      </c>
      <c r="E75" s="21" t="s">
        <v>2256</v>
      </c>
      <c r="F75" s="20" t="s">
        <v>16</v>
      </c>
      <c r="G75" s="18" t="str">
        <f>C75</f>
        <v>CCE</v>
      </c>
      <c r="H75" s="86">
        <v>1800</v>
      </c>
      <c r="I75" s="146">
        <v>46128</v>
      </c>
      <c r="J75" s="87"/>
      <c r="K75" s="57"/>
      <c r="L75" s="86" t="s">
        <v>2182</v>
      </c>
      <c r="M75" s="86">
        <v>93</v>
      </c>
      <c r="N75" s="85"/>
      <c r="O75" s="85"/>
      <c r="P75" s="85"/>
      <c r="Q75" s="85"/>
      <c r="R75" s="85"/>
      <c r="S75" s="85"/>
    </row>
    <row r="76" spans="1:19" ht="31.5">
      <c r="A76" s="83">
        <f>1+A75</f>
        <v>1781</v>
      </c>
      <c r="B76" s="141">
        <v>46358</v>
      </c>
      <c r="C76" s="18" t="s">
        <v>5</v>
      </c>
      <c r="D76" s="21" t="s">
        <v>899</v>
      </c>
      <c r="E76" s="21" t="s">
        <v>2255</v>
      </c>
      <c r="F76" s="20" t="s">
        <v>23</v>
      </c>
      <c r="G76" s="18" t="str">
        <f>C76</f>
        <v>ECE</v>
      </c>
      <c r="H76" s="86">
        <v>6000</v>
      </c>
      <c r="I76" s="146">
        <v>46128</v>
      </c>
      <c r="J76" s="87"/>
      <c r="K76" s="57"/>
      <c r="L76" s="95">
        <v>45757</v>
      </c>
      <c r="M76" s="86">
        <v>93</v>
      </c>
      <c r="N76" s="85"/>
      <c r="O76" s="85"/>
      <c r="P76" s="85"/>
      <c r="Q76" s="85"/>
      <c r="R76" s="85"/>
      <c r="S76" s="85"/>
    </row>
    <row r="77" spans="1:19" ht="31.5">
      <c r="A77" s="83">
        <f>1+A76</f>
        <v>1782</v>
      </c>
      <c r="B77" s="141">
        <v>46358</v>
      </c>
      <c r="C77" s="18" t="s">
        <v>5</v>
      </c>
      <c r="D77" s="21" t="s">
        <v>899</v>
      </c>
      <c r="E77" s="21" t="s">
        <v>2254</v>
      </c>
      <c r="F77" s="20" t="s">
        <v>23</v>
      </c>
      <c r="G77" s="18" t="str">
        <f>C77</f>
        <v>ECE</v>
      </c>
      <c r="H77" s="86">
        <v>3000</v>
      </c>
      <c r="I77" s="146">
        <v>46128</v>
      </c>
      <c r="J77" s="87"/>
      <c r="K77" s="57"/>
      <c r="L77" s="86" t="s">
        <v>1470</v>
      </c>
      <c r="M77" s="86">
        <v>93</v>
      </c>
      <c r="N77" s="85"/>
      <c r="O77" s="85"/>
      <c r="P77" s="85"/>
      <c r="Q77" s="85"/>
      <c r="R77" s="85"/>
      <c r="S77" s="85"/>
    </row>
    <row r="78" spans="1:19" ht="47.25">
      <c r="A78" s="83">
        <f>1+A77</f>
        <v>1783</v>
      </c>
      <c r="B78" s="141">
        <v>46358</v>
      </c>
      <c r="C78" s="18" t="s">
        <v>5</v>
      </c>
      <c r="D78" s="21" t="s">
        <v>899</v>
      </c>
      <c r="E78" s="21" t="s">
        <v>2253</v>
      </c>
      <c r="F78" s="20" t="s">
        <v>23</v>
      </c>
      <c r="G78" s="18" t="str">
        <f>C78</f>
        <v>ECE</v>
      </c>
      <c r="H78" s="86">
        <v>5000</v>
      </c>
      <c r="I78" s="146">
        <v>46128</v>
      </c>
      <c r="J78" s="87"/>
      <c r="K78" s="57"/>
      <c r="L78" s="86" t="s">
        <v>2252</v>
      </c>
      <c r="M78" s="86">
        <v>93</v>
      </c>
      <c r="N78" s="85"/>
      <c r="O78" s="85"/>
      <c r="P78" s="85"/>
      <c r="Q78" s="85"/>
      <c r="R78" s="85"/>
      <c r="S78" s="85"/>
    </row>
    <row r="79" spans="1:19" ht="47.25">
      <c r="A79" s="83">
        <f>1+A78</f>
        <v>1784</v>
      </c>
      <c r="B79" s="141">
        <v>46097</v>
      </c>
      <c r="C79" s="18" t="s">
        <v>8</v>
      </c>
      <c r="D79" s="21" t="s">
        <v>34</v>
      </c>
      <c r="E79" s="21" t="s">
        <v>2251</v>
      </c>
      <c r="F79" s="20" t="s">
        <v>23</v>
      </c>
      <c r="G79" s="18" t="str">
        <f>C79</f>
        <v>CCE</v>
      </c>
      <c r="H79" s="86">
        <v>6000</v>
      </c>
      <c r="I79" s="146">
        <v>46128</v>
      </c>
      <c r="J79" s="87"/>
      <c r="K79" s="57"/>
      <c r="L79" s="86" t="s">
        <v>2250</v>
      </c>
      <c r="M79" s="86">
        <v>93</v>
      </c>
      <c r="N79" s="85"/>
      <c r="O79" s="85"/>
      <c r="P79" s="85"/>
      <c r="Q79" s="85"/>
      <c r="R79" s="85"/>
      <c r="S79" s="85"/>
    </row>
    <row r="80" spans="1:19" ht="47.25">
      <c r="A80" s="83">
        <f>1+A79</f>
        <v>1785</v>
      </c>
      <c r="B80" s="141">
        <v>46120</v>
      </c>
      <c r="C80" s="18" t="s">
        <v>2</v>
      </c>
      <c r="D80" s="21" t="s">
        <v>209</v>
      </c>
      <c r="E80" s="21" t="s">
        <v>2249</v>
      </c>
      <c r="F80" s="20" t="s">
        <v>23</v>
      </c>
      <c r="G80" s="18" t="str">
        <f>C80</f>
        <v>Mech</v>
      </c>
      <c r="H80" s="86">
        <v>10000</v>
      </c>
      <c r="I80" s="146">
        <v>46128</v>
      </c>
      <c r="J80" s="87"/>
      <c r="K80" s="57"/>
      <c r="L80" s="86" t="s">
        <v>2248</v>
      </c>
      <c r="M80" s="86">
        <v>93</v>
      </c>
      <c r="N80" s="85"/>
      <c r="O80" s="85"/>
      <c r="P80" s="85"/>
      <c r="Q80" s="85"/>
      <c r="R80" s="85"/>
      <c r="S80" s="85"/>
    </row>
    <row r="81" spans="1:19" ht="47.25">
      <c r="A81" s="83">
        <f>1+A80</f>
        <v>1786</v>
      </c>
      <c r="B81" s="141">
        <v>46085</v>
      </c>
      <c r="C81" s="18" t="s">
        <v>1</v>
      </c>
      <c r="D81" s="21" t="s">
        <v>140</v>
      </c>
      <c r="E81" s="21" t="s">
        <v>2247</v>
      </c>
      <c r="F81" s="20" t="s">
        <v>324</v>
      </c>
      <c r="G81" s="18" t="str">
        <f>C81</f>
        <v>S&amp;H</v>
      </c>
      <c r="H81" s="86">
        <v>3000</v>
      </c>
      <c r="I81" s="146">
        <v>46128</v>
      </c>
      <c r="J81" s="87"/>
      <c r="K81" s="57"/>
      <c r="L81" s="95">
        <v>46335</v>
      </c>
      <c r="M81" s="86">
        <v>93</v>
      </c>
      <c r="N81" s="85"/>
      <c r="O81" s="85"/>
      <c r="P81" s="85"/>
      <c r="Q81" s="85"/>
      <c r="R81" s="85"/>
      <c r="S81" s="85"/>
    </row>
    <row r="82" spans="1:19" ht="47.25">
      <c r="A82" s="83">
        <f>1+A81</f>
        <v>1787</v>
      </c>
      <c r="B82" s="141">
        <v>46084</v>
      </c>
      <c r="C82" s="18" t="s">
        <v>1</v>
      </c>
      <c r="D82" s="21" t="s">
        <v>167</v>
      </c>
      <c r="E82" s="21" t="s">
        <v>2246</v>
      </c>
      <c r="F82" s="20" t="s">
        <v>23</v>
      </c>
      <c r="G82" s="18" t="str">
        <f>C82</f>
        <v>S&amp;H</v>
      </c>
      <c r="H82" s="86">
        <v>10000</v>
      </c>
      <c r="I82" s="146">
        <v>46128</v>
      </c>
      <c r="J82" s="87"/>
      <c r="K82" s="57"/>
      <c r="L82" s="86" t="s">
        <v>2245</v>
      </c>
      <c r="M82" s="86">
        <v>93</v>
      </c>
      <c r="N82" s="85"/>
      <c r="O82" s="85"/>
      <c r="P82" s="85"/>
      <c r="Q82" s="85"/>
      <c r="R82" s="85"/>
      <c r="S82" s="85"/>
    </row>
    <row r="83" spans="1:19" ht="31.5">
      <c r="A83" s="83">
        <f>1+A82</f>
        <v>1788</v>
      </c>
      <c r="B83" s="141">
        <v>46084</v>
      </c>
      <c r="C83" s="18" t="s">
        <v>36</v>
      </c>
      <c r="D83" s="21" t="s">
        <v>1802</v>
      </c>
      <c r="E83" s="21" t="s">
        <v>2244</v>
      </c>
      <c r="F83" s="20" t="s">
        <v>16</v>
      </c>
      <c r="G83" s="18" t="str">
        <f>C83</f>
        <v>AIDS</v>
      </c>
      <c r="H83" s="86">
        <v>1800</v>
      </c>
      <c r="I83" s="146">
        <v>46128</v>
      </c>
      <c r="J83" s="87"/>
      <c r="K83" s="57"/>
      <c r="L83" s="95">
        <v>45845</v>
      </c>
      <c r="M83" s="86">
        <v>93</v>
      </c>
      <c r="N83" s="85"/>
      <c r="O83" s="85"/>
      <c r="P83" s="85"/>
      <c r="Q83" s="85"/>
      <c r="R83" s="85"/>
      <c r="S83" s="85"/>
    </row>
    <row r="84" spans="1:19" ht="47.25">
      <c r="A84" s="83">
        <f>1+A83</f>
        <v>1789</v>
      </c>
      <c r="B84" s="141">
        <v>45983</v>
      </c>
      <c r="C84" s="18" t="s">
        <v>758</v>
      </c>
      <c r="D84" s="21" t="s">
        <v>2243</v>
      </c>
      <c r="E84" s="21" t="s">
        <v>2242</v>
      </c>
      <c r="F84" s="20" t="s">
        <v>16</v>
      </c>
      <c r="G84" s="18" t="str">
        <f>C84</f>
        <v>AI-ML</v>
      </c>
      <c r="H84" s="86">
        <v>1500</v>
      </c>
      <c r="I84" s="146">
        <v>46128</v>
      </c>
      <c r="J84" s="87"/>
      <c r="K84" s="57"/>
      <c r="L84" s="86" t="s">
        <v>1542</v>
      </c>
      <c r="M84" s="86">
        <v>93</v>
      </c>
      <c r="N84" s="85"/>
      <c r="O84" s="85"/>
      <c r="P84" s="85"/>
      <c r="Q84" s="85"/>
      <c r="R84" s="85"/>
      <c r="S84" s="85"/>
    </row>
    <row r="85" spans="1:19" ht="31.5">
      <c r="A85" s="83">
        <f>1+A84</f>
        <v>1790</v>
      </c>
      <c r="B85" s="141">
        <v>45983</v>
      </c>
      <c r="C85" s="18" t="s">
        <v>758</v>
      </c>
      <c r="D85" s="21" t="s">
        <v>2241</v>
      </c>
      <c r="E85" s="21" t="s">
        <v>2240</v>
      </c>
      <c r="F85" s="20" t="s">
        <v>16</v>
      </c>
      <c r="G85" s="18" t="str">
        <f>C85</f>
        <v>AI-ML</v>
      </c>
      <c r="H85" s="86">
        <v>1800</v>
      </c>
      <c r="I85" s="146">
        <v>46128</v>
      </c>
      <c r="J85" s="87"/>
      <c r="K85" s="57"/>
      <c r="L85" s="86" t="s">
        <v>1736</v>
      </c>
      <c r="M85" s="86">
        <v>93</v>
      </c>
      <c r="N85" s="85"/>
      <c r="O85" s="85"/>
      <c r="P85" s="85"/>
      <c r="Q85" s="85"/>
      <c r="R85" s="85"/>
      <c r="S85" s="85"/>
    </row>
    <row r="86" spans="1:19" ht="31.5">
      <c r="A86" s="83">
        <f>1+A85</f>
        <v>1791</v>
      </c>
      <c r="B86" s="141">
        <v>46119</v>
      </c>
      <c r="C86" s="18" t="s">
        <v>1</v>
      </c>
      <c r="D86" s="21" t="s">
        <v>801</v>
      </c>
      <c r="E86" s="21" t="s">
        <v>2239</v>
      </c>
      <c r="F86" s="20" t="s">
        <v>324</v>
      </c>
      <c r="G86" s="18" t="str">
        <f>C86</f>
        <v>S&amp;H</v>
      </c>
      <c r="H86" s="86">
        <v>3000</v>
      </c>
      <c r="I86" s="146">
        <v>46128</v>
      </c>
      <c r="J86" s="87"/>
      <c r="K86" s="57"/>
      <c r="L86" s="95">
        <v>46023</v>
      </c>
      <c r="M86" s="86">
        <v>93</v>
      </c>
      <c r="N86" s="85"/>
      <c r="O86" s="85"/>
      <c r="P86" s="85"/>
      <c r="Q86" s="85"/>
      <c r="R86" s="85"/>
      <c r="S86" s="85"/>
    </row>
    <row r="87" spans="1:19" ht="31.5">
      <c r="A87" s="83">
        <f>1+A86</f>
        <v>1792</v>
      </c>
      <c r="B87" s="141">
        <v>46119</v>
      </c>
      <c r="C87" s="18" t="s">
        <v>3</v>
      </c>
      <c r="D87" s="21" t="s">
        <v>809</v>
      </c>
      <c r="E87" s="21" t="s">
        <v>2238</v>
      </c>
      <c r="F87" s="20" t="s">
        <v>16</v>
      </c>
      <c r="G87" s="18" t="str">
        <f>C87</f>
        <v>IT</v>
      </c>
      <c r="H87" s="86">
        <v>3000</v>
      </c>
      <c r="I87" s="146">
        <v>46128</v>
      </c>
      <c r="J87" s="87"/>
      <c r="K87" s="57"/>
      <c r="L87" s="86" t="s">
        <v>2237</v>
      </c>
      <c r="M87" s="86">
        <v>93</v>
      </c>
      <c r="N87" s="85"/>
      <c r="O87" s="85"/>
      <c r="P87" s="85"/>
      <c r="Q87" s="85"/>
      <c r="R87" s="85"/>
      <c r="S87" s="85"/>
    </row>
    <row r="88" spans="1:19" ht="15.75">
      <c r="A88" s="83">
        <f>1+A87</f>
        <v>1793</v>
      </c>
      <c r="B88" s="141">
        <v>46099</v>
      </c>
      <c r="C88" s="18" t="s">
        <v>1</v>
      </c>
      <c r="D88" s="21" t="s">
        <v>167</v>
      </c>
      <c r="E88" s="21" t="s">
        <v>1427</v>
      </c>
      <c r="F88" s="20" t="s">
        <v>193</v>
      </c>
      <c r="G88" s="18" t="str">
        <f>C88</f>
        <v>S&amp;H</v>
      </c>
      <c r="H88" s="86">
        <v>10000</v>
      </c>
      <c r="I88" s="146">
        <v>46128</v>
      </c>
      <c r="J88" s="87"/>
      <c r="K88" s="57"/>
      <c r="L88" s="86" t="s">
        <v>2236</v>
      </c>
      <c r="M88" s="86">
        <v>93</v>
      </c>
      <c r="N88" s="85"/>
      <c r="O88" s="85"/>
      <c r="P88" s="85"/>
      <c r="Q88" s="85"/>
      <c r="R88" s="85"/>
      <c r="S88" s="85"/>
    </row>
    <row r="89" spans="1:19" ht="31.5">
      <c r="A89" s="83">
        <f>1+A88</f>
        <v>1794</v>
      </c>
      <c r="B89" s="141">
        <v>46121</v>
      </c>
      <c r="C89" s="18" t="s">
        <v>1</v>
      </c>
      <c r="D89" s="21" t="s">
        <v>722</v>
      </c>
      <c r="E89" s="21" t="s">
        <v>2235</v>
      </c>
      <c r="F89" s="20" t="s">
        <v>23</v>
      </c>
      <c r="G89" s="18" t="str">
        <f>C89</f>
        <v>S&amp;H</v>
      </c>
      <c r="H89" s="86">
        <v>10000</v>
      </c>
      <c r="I89" s="146">
        <v>46128</v>
      </c>
      <c r="J89" s="87"/>
      <c r="K89" s="57"/>
      <c r="L89" s="95">
        <v>46176</v>
      </c>
      <c r="M89" s="86">
        <v>93</v>
      </c>
      <c r="N89" s="85"/>
      <c r="O89" s="85"/>
      <c r="P89" s="85"/>
      <c r="Q89" s="85"/>
      <c r="R89" s="85"/>
      <c r="S89" s="85"/>
    </row>
    <row r="90" spans="1:19" ht="47.25">
      <c r="A90" s="83">
        <f>1+A89</f>
        <v>1795</v>
      </c>
      <c r="B90" s="141">
        <v>46121</v>
      </c>
      <c r="C90" s="18" t="s">
        <v>5</v>
      </c>
      <c r="D90" s="21" t="s">
        <v>831</v>
      </c>
      <c r="E90" s="21" t="s">
        <v>2234</v>
      </c>
      <c r="F90" s="20" t="s">
        <v>23</v>
      </c>
      <c r="G90" s="18" t="str">
        <f>C90</f>
        <v>ECE</v>
      </c>
      <c r="H90" s="86">
        <v>3000</v>
      </c>
      <c r="I90" s="146">
        <v>46128</v>
      </c>
      <c r="J90" s="87"/>
      <c r="K90" s="57"/>
      <c r="L90" s="95"/>
      <c r="M90" s="86">
        <v>93</v>
      </c>
      <c r="N90" s="85"/>
      <c r="O90" s="85"/>
      <c r="P90" s="85"/>
      <c r="Q90" s="85"/>
      <c r="R90" s="85"/>
      <c r="S90" s="85"/>
    </row>
    <row r="91" spans="1:19" ht="15.75">
      <c r="A91" s="46"/>
      <c r="B91" s="139"/>
      <c r="C91" s="46"/>
      <c r="D91" s="46"/>
      <c r="E91" s="46" t="s">
        <v>11</v>
      </c>
      <c r="F91" s="42"/>
      <c r="G91" s="90"/>
      <c r="H91" s="89">
        <f>SUM(H69:H90)</f>
        <v>107600</v>
      </c>
      <c r="I91" s="42" t="s">
        <v>718</v>
      </c>
      <c r="J91" s="42"/>
      <c r="K91" s="45">
        <f>H91</f>
        <v>107600</v>
      </c>
      <c r="L91" s="42"/>
      <c r="M91" s="46">
        <v>93</v>
      </c>
      <c r="N91" s="88"/>
      <c r="O91" s="88"/>
      <c r="P91" s="88"/>
      <c r="Q91" s="88"/>
      <c r="R91" s="88"/>
      <c r="S91" s="88"/>
    </row>
    <row r="92" spans="1:19" ht="15.75">
      <c r="A92" s="83">
        <f>1+A90</f>
        <v>1796</v>
      </c>
      <c r="B92" s="141">
        <v>46128</v>
      </c>
      <c r="C92" s="18" t="s">
        <v>5</v>
      </c>
      <c r="D92" s="21" t="s">
        <v>173</v>
      </c>
      <c r="E92" s="21" t="s">
        <v>2233</v>
      </c>
      <c r="F92" s="20" t="s">
        <v>193</v>
      </c>
      <c r="G92" s="18" t="str">
        <f>C92</f>
        <v>ECE</v>
      </c>
      <c r="H92" s="86">
        <v>126000</v>
      </c>
      <c r="I92" s="146">
        <v>46139</v>
      </c>
      <c r="J92" s="87"/>
      <c r="K92" s="57"/>
      <c r="L92" s="86" t="s">
        <v>2232</v>
      </c>
      <c r="M92" s="86">
        <v>94</v>
      </c>
      <c r="N92" s="85"/>
      <c r="O92" s="85"/>
      <c r="P92" s="85"/>
      <c r="Q92" s="85"/>
      <c r="R92" s="85"/>
      <c r="S92" s="85"/>
    </row>
    <row r="93" spans="1:19" ht="31.5">
      <c r="A93" s="83">
        <f>1+A92</f>
        <v>1797</v>
      </c>
      <c r="B93" s="141">
        <v>46127</v>
      </c>
      <c r="C93" s="18" t="s">
        <v>1</v>
      </c>
      <c r="D93" s="21" t="s">
        <v>167</v>
      </c>
      <c r="E93" s="21" t="s">
        <v>2231</v>
      </c>
      <c r="F93" s="20" t="s">
        <v>23</v>
      </c>
      <c r="G93" s="18" t="str">
        <f>C93</f>
        <v>S&amp;H</v>
      </c>
      <c r="H93" s="86">
        <v>6000</v>
      </c>
      <c r="I93" s="146">
        <v>46139</v>
      </c>
      <c r="J93" s="87"/>
      <c r="K93" s="57"/>
      <c r="L93" s="95">
        <v>46085</v>
      </c>
      <c r="M93" s="86">
        <v>94</v>
      </c>
      <c r="N93" s="85"/>
      <c r="O93" s="85"/>
      <c r="P93" s="85"/>
      <c r="Q93" s="85"/>
      <c r="R93" s="85"/>
      <c r="S93" s="85"/>
    </row>
    <row r="94" spans="1:19" ht="47.25">
      <c r="A94" s="83">
        <f>1+A93</f>
        <v>1798</v>
      </c>
      <c r="B94" s="141">
        <v>46129</v>
      </c>
      <c r="C94" s="18" t="s">
        <v>3</v>
      </c>
      <c r="D94" s="21" t="s">
        <v>2230</v>
      </c>
      <c r="E94" s="21" t="s">
        <v>2229</v>
      </c>
      <c r="F94" s="20" t="s">
        <v>23</v>
      </c>
      <c r="G94" s="18" t="str">
        <f>C94</f>
        <v>IT</v>
      </c>
      <c r="H94" s="86">
        <v>6000</v>
      </c>
      <c r="I94" s="146">
        <v>46139</v>
      </c>
      <c r="J94" s="87"/>
      <c r="K94" s="57"/>
      <c r="L94" s="95">
        <v>45423</v>
      </c>
      <c r="M94" s="86">
        <v>94</v>
      </c>
      <c r="N94" s="85"/>
      <c r="O94" s="85"/>
      <c r="P94" s="85"/>
      <c r="Q94" s="85"/>
      <c r="R94" s="85"/>
      <c r="S94" s="85"/>
    </row>
    <row r="95" spans="1:19" ht="31.5">
      <c r="A95" s="83">
        <f>1+A94</f>
        <v>1799</v>
      </c>
      <c r="B95" s="141">
        <v>46128</v>
      </c>
      <c r="C95" s="18" t="s">
        <v>6</v>
      </c>
      <c r="D95" s="21" t="s">
        <v>181</v>
      </c>
      <c r="E95" s="21" t="s">
        <v>2228</v>
      </c>
      <c r="F95" s="20" t="s">
        <v>187</v>
      </c>
      <c r="G95" s="18" t="str">
        <f>C95</f>
        <v>CSE</v>
      </c>
      <c r="H95" s="86">
        <v>1500</v>
      </c>
      <c r="I95" s="146">
        <v>46139</v>
      </c>
      <c r="J95" s="87"/>
      <c r="K95" s="57"/>
      <c r="L95" s="95">
        <v>46307</v>
      </c>
      <c r="M95" s="86">
        <v>94</v>
      </c>
      <c r="N95" s="85"/>
      <c r="O95" s="85"/>
      <c r="P95" s="85"/>
      <c r="Q95" s="85"/>
      <c r="R95" s="85"/>
      <c r="S95" s="85"/>
    </row>
    <row r="96" spans="1:19" ht="15.75">
      <c r="A96" s="83">
        <f>1+A95</f>
        <v>1800</v>
      </c>
      <c r="B96" s="141">
        <v>46128</v>
      </c>
      <c r="C96" s="18" t="s">
        <v>6</v>
      </c>
      <c r="D96" s="21" t="s">
        <v>181</v>
      </c>
      <c r="E96" s="21" t="s">
        <v>2227</v>
      </c>
      <c r="F96" s="20" t="s">
        <v>187</v>
      </c>
      <c r="G96" s="18" t="str">
        <f>C96</f>
        <v>CSE</v>
      </c>
      <c r="H96" s="86">
        <v>1500</v>
      </c>
      <c r="I96" s="146">
        <v>46139</v>
      </c>
      <c r="J96" s="87"/>
      <c r="K96" s="57"/>
      <c r="L96" s="95">
        <v>46307</v>
      </c>
      <c r="M96" s="86">
        <v>94</v>
      </c>
      <c r="N96" s="85"/>
      <c r="O96" s="85"/>
      <c r="P96" s="85"/>
      <c r="Q96" s="85"/>
      <c r="R96" s="85"/>
      <c r="S96" s="85"/>
    </row>
    <row r="97" spans="1:19" ht="31.5">
      <c r="A97" s="83">
        <f>1+A96</f>
        <v>1801</v>
      </c>
      <c r="B97" s="141">
        <v>46133</v>
      </c>
      <c r="C97" s="18" t="s">
        <v>5</v>
      </c>
      <c r="D97" s="21" t="s">
        <v>1462</v>
      </c>
      <c r="E97" s="21" t="s">
        <v>2226</v>
      </c>
      <c r="F97" s="20" t="s">
        <v>23</v>
      </c>
      <c r="G97" s="18" t="str">
        <f>C97</f>
        <v>ECE</v>
      </c>
      <c r="H97" s="86">
        <v>6000</v>
      </c>
      <c r="I97" s="146">
        <v>46139</v>
      </c>
      <c r="J97" s="87"/>
      <c r="K97" s="57"/>
      <c r="L97" s="86" t="s">
        <v>2224</v>
      </c>
      <c r="M97" s="86">
        <v>94</v>
      </c>
      <c r="N97" s="85"/>
      <c r="O97" s="85"/>
      <c r="P97" s="85"/>
      <c r="Q97" s="85"/>
      <c r="R97" s="85"/>
      <c r="S97" s="85"/>
    </row>
    <row r="98" spans="1:19" ht="47.25">
      <c r="A98" s="83">
        <f>1+A97</f>
        <v>1802</v>
      </c>
      <c r="B98" s="141">
        <v>46133</v>
      </c>
      <c r="C98" s="18" t="s">
        <v>5</v>
      </c>
      <c r="D98" s="21" t="s">
        <v>1462</v>
      </c>
      <c r="E98" s="21" t="s">
        <v>2225</v>
      </c>
      <c r="F98" s="20" t="s">
        <v>23</v>
      </c>
      <c r="G98" s="18" t="str">
        <f>C98</f>
        <v>ECE</v>
      </c>
      <c r="H98" s="86">
        <v>10000</v>
      </c>
      <c r="I98" s="146">
        <v>46139</v>
      </c>
      <c r="J98" s="87"/>
      <c r="K98" s="57"/>
      <c r="L98" s="86" t="s">
        <v>2224</v>
      </c>
      <c r="M98" s="86">
        <v>94</v>
      </c>
      <c r="N98" s="85"/>
      <c r="O98" s="85"/>
      <c r="P98" s="85"/>
      <c r="Q98" s="85"/>
      <c r="R98" s="85"/>
      <c r="S98" s="85"/>
    </row>
    <row r="99" spans="1:19" ht="31.5">
      <c r="A99" s="83">
        <f>1+A98</f>
        <v>1803</v>
      </c>
      <c r="B99" s="141">
        <v>46127</v>
      </c>
      <c r="C99" s="18" t="s">
        <v>5</v>
      </c>
      <c r="D99" s="21" t="s">
        <v>269</v>
      </c>
      <c r="E99" s="21" t="s">
        <v>2223</v>
      </c>
      <c r="F99" s="20" t="s">
        <v>23</v>
      </c>
      <c r="G99" s="18" t="str">
        <f>C99</f>
        <v>ECE</v>
      </c>
      <c r="H99" s="86">
        <v>10000</v>
      </c>
      <c r="I99" s="146">
        <v>46139</v>
      </c>
      <c r="J99" s="87"/>
      <c r="K99" s="57"/>
      <c r="L99" s="95">
        <v>46176</v>
      </c>
      <c r="M99" s="86">
        <v>94</v>
      </c>
      <c r="N99" s="85"/>
      <c r="O99" s="85"/>
      <c r="P99" s="85"/>
      <c r="Q99" s="85"/>
      <c r="R99" s="85"/>
      <c r="S99" s="85"/>
    </row>
    <row r="100" spans="1:19" ht="15.75">
      <c r="A100" s="46"/>
      <c r="B100" s="139"/>
      <c r="C100" s="46"/>
      <c r="D100" s="46"/>
      <c r="E100" s="46" t="s">
        <v>11</v>
      </c>
      <c r="F100" s="42"/>
      <c r="G100" s="90"/>
      <c r="H100" s="89">
        <f>SUM(H92:H99)</f>
        <v>167000</v>
      </c>
      <c r="I100" s="42" t="s">
        <v>718</v>
      </c>
      <c r="J100" s="42"/>
      <c r="K100" s="45">
        <f>H100</f>
        <v>167000</v>
      </c>
      <c r="L100" s="42"/>
      <c r="M100" s="46">
        <v>94</v>
      </c>
      <c r="N100" s="88"/>
      <c r="O100" s="88"/>
      <c r="P100" s="88"/>
      <c r="Q100" s="88"/>
      <c r="R100" s="88"/>
      <c r="S100" s="88"/>
    </row>
    <row r="101" spans="1:19" ht="15.75">
      <c r="A101" s="83">
        <f>1+A99</f>
        <v>1804</v>
      </c>
      <c r="B101" s="141">
        <v>46141</v>
      </c>
      <c r="C101" s="18" t="s">
        <v>1</v>
      </c>
      <c r="D101" s="21" t="s">
        <v>167</v>
      </c>
      <c r="E101" s="21" t="s">
        <v>393</v>
      </c>
      <c r="F101" s="20" t="s">
        <v>193</v>
      </c>
      <c r="G101" s="18" t="str">
        <f>C101</f>
        <v>S&amp;H</v>
      </c>
      <c r="H101" s="86">
        <v>2000</v>
      </c>
      <c r="I101" s="146">
        <v>46156</v>
      </c>
      <c r="J101" s="87"/>
      <c r="K101" s="57"/>
      <c r="L101" s="86" t="s">
        <v>2222</v>
      </c>
      <c r="M101" s="86">
        <v>95</v>
      </c>
      <c r="N101" s="85"/>
      <c r="O101" s="85"/>
      <c r="P101" s="85"/>
      <c r="Q101" s="85"/>
      <c r="R101" s="85"/>
      <c r="S101" s="85"/>
    </row>
    <row r="102" spans="1:19" ht="31.5">
      <c r="A102" s="83">
        <f>1+A101</f>
        <v>1805</v>
      </c>
      <c r="B102" s="141">
        <v>46128</v>
      </c>
      <c r="C102" s="18" t="s">
        <v>758</v>
      </c>
      <c r="D102" s="21" t="s">
        <v>760</v>
      </c>
      <c r="E102" s="21" t="s">
        <v>2221</v>
      </c>
      <c r="F102" s="20" t="s">
        <v>16</v>
      </c>
      <c r="G102" s="18" t="str">
        <f>C102</f>
        <v>AI-ML</v>
      </c>
      <c r="H102" s="86">
        <v>1800</v>
      </c>
      <c r="I102" s="146">
        <v>46156</v>
      </c>
      <c r="J102" s="87"/>
      <c r="K102" s="57"/>
      <c r="L102" s="95">
        <v>45658</v>
      </c>
      <c r="M102" s="86">
        <v>95</v>
      </c>
      <c r="N102" s="85"/>
      <c r="O102" s="85"/>
      <c r="P102" s="85"/>
      <c r="Q102" s="85"/>
      <c r="R102" s="85"/>
      <c r="S102" s="85"/>
    </row>
    <row r="103" spans="1:19" ht="47.25">
      <c r="A103" s="83">
        <f>1+A102</f>
        <v>1806</v>
      </c>
      <c r="B103" s="141">
        <v>46142</v>
      </c>
      <c r="C103" s="18" t="s">
        <v>1</v>
      </c>
      <c r="D103" s="21" t="s">
        <v>722</v>
      </c>
      <c r="E103" s="21" t="s">
        <v>2220</v>
      </c>
      <c r="F103" s="20" t="s">
        <v>23</v>
      </c>
      <c r="G103" s="18" t="str">
        <f>C103</f>
        <v>S&amp;H</v>
      </c>
      <c r="H103" s="86">
        <v>10000</v>
      </c>
      <c r="I103" s="146">
        <v>46156</v>
      </c>
      <c r="J103" s="87"/>
      <c r="K103" s="57"/>
      <c r="L103" s="86" t="s">
        <v>2218</v>
      </c>
      <c r="M103" s="86">
        <v>95</v>
      </c>
      <c r="N103" s="85"/>
      <c r="O103" s="85"/>
      <c r="P103" s="85"/>
      <c r="Q103" s="85"/>
      <c r="R103" s="85"/>
      <c r="S103" s="85"/>
    </row>
    <row r="104" spans="1:19" ht="31.5">
      <c r="A104" s="83">
        <f>1+A103</f>
        <v>1807</v>
      </c>
      <c r="B104" s="141">
        <v>46142</v>
      </c>
      <c r="C104" s="18" t="s">
        <v>1</v>
      </c>
      <c r="D104" s="21" t="s">
        <v>722</v>
      </c>
      <c r="E104" s="21" t="s">
        <v>2219</v>
      </c>
      <c r="F104" s="20" t="s">
        <v>23</v>
      </c>
      <c r="G104" s="18" t="str">
        <f>C104</f>
        <v>S&amp;H</v>
      </c>
      <c r="H104" s="86">
        <v>10000</v>
      </c>
      <c r="I104" s="146">
        <v>46156</v>
      </c>
      <c r="J104" s="87"/>
      <c r="K104" s="57"/>
      <c r="L104" s="86" t="s">
        <v>2218</v>
      </c>
      <c r="M104" s="86">
        <v>95</v>
      </c>
      <c r="N104" s="85"/>
      <c r="O104" s="85"/>
      <c r="P104" s="85"/>
      <c r="Q104" s="85"/>
      <c r="R104" s="85"/>
      <c r="S104" s="85"/>
    </row>
    <row r="105" spans="1:19" ht="15.75">
      <c r="A105" s="83">
        <f>1+A104</f>
        <v>1808</v>
      </c>
      <c r="B105" s="141">
        <v>46142</v>
      </c>
      <c r="C105" s="18" t="s">
        <v>1</v>
      </c>
      <c r="D105" s="21" t="s">
        <v>722</v>
      </c>
      <c r="E105" s="21" t="s">
        <v>1485</v>
      </c>
      <c r="F105" s="20" t="s">
        <v>193</v>
      </c>
      <c r="G105" s="18" t="str">
        <f>C105</f>
        <v>S&amp;H</v>
      </c>
      <c r="H105" s="86">
        <v>12000</v>
      </c>
      <c r="I105" s="146">
        <v>46156</v>
      </c>
      <c r="J105" s="87"/>
      <c r="K105" s="57"/>
      <c r="L105" s="86" t="s">
        <v>2217</v>
      </c>
      <c r="M105" s="86">
        <v>95</v>
      </c>
      <c r="N105" s="85"/>
      <c r="O105" s="85"/>
      <c r="P105" s="85"/>
      <c r="Q105" s="85"/>
      <c r="R105" s="85"/>
      <c r="S105" s="85"/>
    </row>
    <row r="106" spans="1:19" ht="31.5">
      <c r="A106" s="83">
        <f>1+A105</f>
        <v>1809</v>
      </c>
      <c r="B106" s="141">
        <v>46142</v>
      </c>
      <c r="C106" s="18" t="s">
        <v>1</v>
      </c>
      <c r="D106" s="21" t="s">
        <v>696</v>
      </c>
      <c r="E106" s="21" t="s">
        <v>2216</v>
      </c>
      <c r="F106" s="20" t="s">
        <v>23</v>
      </c>
      <c r="G106" s="18" t="str">
        <f>C106</f>
        <v>S&amp;H</v>
      </c>
      <c r="H106" s="86">
        <v>5000</v>
      </c>
      <c r="I106" s="146">
        <v>46156</v>
      </c>
      <c r="J106" s="87"/>
      <c r="K106" s="57"/>
      <c r="L106" s="95">
        <v>46025</v>
      </c>
      <c r="M106" s="86">
        <v>95</v>
      </c>
      <c r="N106" s="85"/>
      <c r="O106" s="85"/>
      <c r="P106" s="85"/>
      <c r="Q106" s="85"/>
      <c r="R106" s="85"/>
      <c r="S106" s="85"/>
    </row>
    <row r="107" spans="1:19" ht="31.5">
      <c r="A107" s="83">
        <f>1+A106</f>
        <v>1810</v>
      </c>
      <c r="B107" s="141">
        <v>46142</v>
      </c>
      <c r="C107" s="18" t="s">
        <v>1</v>
      </c>
      <c r="D107" s="21" t="s">
        <v>260</v>
      </c>
      <c r="E107" s="21" t="s">
        <v>2215</v>
      </c>
      <c r="F107" s="20" t="s">
        <v>324</v>
      </c>
      <c r="G107" s="18" t="str">
        <f>C107</f>
        <v>S&amp;H</v>
      </c>
      <c r="H107" s="86">
        <v>5000</v>
      </c>
      <c r="I107" s="146">
        <v>46156</v>
      </c>
      <c r="J107" s="87"/>
      <c r="K107" s="57"/>
      <c r="L107" s="95">
        <v>46024</v>
      </c>
      <c r="M107" s="86">
        <v>95</v>
      </c>
      <c r="N107" s="85"/>
      <c r="O107" s="85"/>
      <c r="P107" s="85"/>
      <c r="Q107" s="85"/>
      <c r="R107" s="85"/>
      <c r="S107" s="85"/>
    </row>
    <row r="108" spans="1:19" ht="47.25">
      <c r="A108" s="83">
        <f>1+A107</f>
        <v>1811</v>
      </c>
      <c r="B108" s="141">
        <v>46147</v>
      </c>
      <c r="C108" s="18" t="s">
        <v>4</v>
      </c>
      <c r="D108" s="21" t="s">
        <v>772</v>
      </c>
      <c r="E108" s="21" t="s">
        <v>2214</v>
      </c>
      <c r="F108" s="20" t="s">
        <v>324</v>
      </c>
      <c r="G108" s="18" t="str">
        <f>C108</f>
        <v>EEE</v>
      </c>
      <c r="H108" s="86">
        <v>3000</v>
      </c>
      <c r="I108" s="146">
        <v>46156</v>
      </c>
      <c r="J108" s="87"/>
      <c r="K108" s="57"/>
      <c r="L108" s="95">
        <v>46147</v>
      </c>
      <c r="M108" s="86">
        <v>95</v>
      </c>
      <c r="N108" s="85"/>
      <c r="O108" s="85"/>
      <c r="P108" s="85"/>
      <c r="Q108" s="85"/>
      <c r="R108" s="85"/>
      <c r="S108" s="85"/>
    </row>
    <row r="109" spans="1:19" ht="31.5">
      <c r="A109" s="83">
        <f>1+A108</f>
        <v>1812</v>
      </c>
      <c r="B109" s="141">
        <v>46147</v>
      </c>
      <c r="C109" s="18" t="s">
        <v>36</v>
      </c>
      <c r="D109" s="21" t="s">
        <v>1666</v>
      </c>
      <c r="E109" s="21" t="s">
        <v>2213</v>
      </c>
      <c r="F109" s="20" t="s">
        <v>16</v>
      </c>
      <c r="G109" s="18" t="str">
        <f>C109</f>
        <v>AIDS</v>
      </c>
      <c r="H109" s="86">
        <v>1800</v>
      </c>
      <c r="I109" s="146">
        <v>46156</v>
      </c>
      <c r="J109" s="87"/>
      <c r="K109" s="57"/>
      <c r="L109" s="86" t="s">
        <v>2212</v>
      </c>
      <c r="M109" s="86">
        <v>95</v>
      </c>
      <c r="N109" s="85"/>
      <c r="O109" s="85"/>
      <c r="P109" s="85"/>
      <c r="Q109" s="85"/>
      <c r="R109" s="85"/>
      <c r="S109" s="85"/>
    </row>
    <row r="110" spans="1:19" ht="47.25">
      <c r="A110" s="83">
        <f>1+A109</f>
        <v>1813</v>
      </c>
      <c r="B110" s="141">
        <v>46147</v>
      </c>
      <c r="C110" s="18" t="s">
        <v>36</v>
      </c>
      <c r="D110" s="21" t="s">
        <v>1666</v>
      </c>
      <c r="E110" s="21" t="s">
        <v>2211</v>
      </c>
      <c r="F110" s="20" t="s">
        <v>16</v>
      </c>
      <c r="G110" s="18" t="str">
        <f>C110</f>
        <v>AIDS</v>
      </c>
      <c r="H110" s="86">
        <v>1800</v>
      </c>
      <c r="I110" s="146">
        <v>46156</v>
      </c>
      <c r="J110" s="87"/>
      <c r="K110" s="57"/>
      <c r="L110" s="95">
        <v>45666</v>
      </c>
      <c r="M110" s="86">
        <v>95</v>
      </c>
      <c r="N110" s="85"/>
      <c r="O110" s="85"/>
      <c r="P110" s="85"/>
      <c r="Q110" s="85"/>
      <c r="R110" s="85"/>
      <c r="S110" s="85"/>
    </row>
    <row r="111" spans="1:19" ht="31.5">
      <c r="A111" s="83">
        <f>1+A110</f>
        <v>1814</v>
      </c>
      <c r="B111" s="141">
        <v>46147</v>
      </c>
      <c r="C111" s="18" t="s">
        <v>36</v>
      </c>
      <c r="D111" s="21" t="s">
        <v>1666</v>
      </c>
      <c r="E111" s="21" t="s">
        <v>2210</v>
      </c>
      <c r="F111" s="20" t="s">
        <v>16</v>
      </c>
      <c r="G111" s="18" t="str">
        <f>C111</f>
        <v>AIDS</v>
      </c>
      <c r="H111" s="86">
        <v>1800</v>
      </c>
      <c r="I111" s="146">
        <v>46156</v>
      </c>
      <c r="J111" s="87"/>
      <c r="K111" s="57"/>
      <c r="L111" s="95">
        <v>45784</v>
      </c>
      <c r="M111" s="86">
        <v>95</v>
      </c>
      <c r="N111" s="85"/>
      <c r="O111" s="85"/>
      <c r="P111" s="85"/>
      <c r="Q111" s="85"/>
      <c r="R111" s="85"/>
      <c r="S111" s="85"/>
    </row>
    <row r="112" spans="1:19" ht="47.25">
      <c r="A112" s="83">
        <f>1+A111</f>
        <v>1815</v>
      </c>
      <c r="B112" s="141">
        <v>46147</v>
      </c>
      <c r="C112" s="18" t="s">
        <v>36</v>
      </c>
      <c r="D112" s="21" t="s">
        <v>1666</v>
      </c>
      <c r="E112" s="21" t="s">
        <v>2209</v>
      </c>
      <c r="F112" s="20" t="s">
        <v>324</v>
      </c>
      <c r="G112" s="18" t="str">
        <f>C112</f>
        <v>AIDS</v>
      </c>
      <c r="H112" s="86">
        <v>3000</v>
      </c>
      <c r="I112" s="146">
        <v>46156</v>
      </c>
      <c r="J112" s="87"/>
      <c r="K112" s="57"/>
      <c r="L112" s="86" t="s">
        <v>2153</v>
      </c>
      <c r="M112" s="86">
        <v>95</v>
      </c>
      <c r="N112" s="85"/>
      <c r="O112" s="85"/>
      <c r="P112" s="85"/>
      <c r="Q112" s="85"/>
      <c r="R112" s="85"/>
      <c r="S112" s="85"/>
    </row>
    <row r="113" spans="1:19" ht="31.5">
      <c r="A113" s="83">
        <f>1+A112</f>
        <v>1816</v>
      </c>
      <c r="B113" s="141">
        <v>46147</v>
      </c>
      <c r="C113" s="18" t="s">
        <v>36</v>
      </c>
      <c r="D113" s="21" t="s">
        <v>1666</v>
      </c>
      <c r="E113" s="21" t="s">
        <v>2208</v>
      </c>
      <c r="F113" s="20" t="s">
        <v>187</v>
      </c>
      <c r="G113" s="18" t="str">
        <f>C113</f>
        <v>AIDS</v>
      </c>
      <c r="H113" s="86">
        <v>600</v>
      </c>
      <c r="I113" s="146">
        <v>46156</v>
      </c>
      <c r="J113" s="87"/>
      <c r="K113" s="57"/>
      <c r="L113" s="86" t="s">
        <v>2207</v>
      </c>
      <c r="M113" s="86">
        <v>95</v>
      </c>
      <c r="N113" s="85"/>
      <c r="O113" s="85"/>
      <c r="P113" s="85"/>
      <c r="Q113" s="85"/>
      <c r="R113" s="85"/>
      <c r="S113" s="85"/>
    </row>
    <row r="114" spans="1:19" ht="31.5">
      <c r="A114" s="83">
        <f>1+A113</f>
        <v>1817</v>
      </c>
      <c r="B114" s="141">
        <v>46147</v>
      </c>
      <c r="C114" s="18" t="s">
        <v>36</v>
      </c>
      <c r="D114" s="21" t="s">
        <v>1666</v>
      </c>
      <c r="E114" s="21" t="s">
        <v>2206</v>
      </c>
      <c r="F114" s="20" t="s">
        <v>187</v>
      </c>
      <c r="G114" s="18" t="str">
        <f>C114</f>
        <v>AIDS</v>
      </c>
      <c r="H114" s="86">
        <v>600</v>
      </c>
      <c r="I114" s="146">
        <v>46156</v>
      </c>
      <c r="J114" s="87"/>
      <c r="K114" s="57"/>
      <c r="L114" s="95">
        <v>45940</v>
      </c>
      <c r="M114" s="86">
        <v>95</v>
      </c>
      <c r="N114" s="85"/>
      <c r="O114" s="85"/>
      <c r="P114" s="85"/>
      <c r="Q114" s="85"/>
      <c r="R114" s="85"/>
      <c r="S114" s="85"/>
    </row>
    <row r="115" spans="1:19" ht="31.5">
      <c r="A115" s="83">
        <f>1+A114</f>
        <v>1818</v>
      </c>
      <c r="B115" s="141">
        <v>46140</v>
      </c>
      <c r="C115" s="18" t="s">
        <v>1</v>
      </c>
      <c r="D115" s="21" t="s">
        <v>2205</v>
      </c>
      <c r="E115" s="21" t="s">
        <v>2204</v>
      </c>
      <c r="F115" s="20" t="s">
        <v>324</v>
      </c>
      <c r="G115" s="18" t="str">
        <f>C115</f>
        <v>S&amp;H</v>
      </c>
      <c r="H115" s="86">
        <v>3000</v>
      </c>
      <c r="I115" s="146">
        <v>46156</v>
      </c>
      <c r="J115" s="87"/>
      <c r="K115" s="57"/>
      <c r="L115" s="95">
        <v>46084</v>
      </c>
      <c r="M115" s="86">
        <v>95</v>
      </c>
      <c r="N115" s="85"/>
      <c r="O115" s="85"/>
      <c r="P115" s="85"/>
      <c r="Q115" s="85"/>
      <c r="R115" s="85"/>
      <c r="S115" s="85"/>
    </row>
    <row r="116" spans="1:19" ht="31.5">
      <c r="A116" s="83">
        <f>1+A115</f>
        <v>1819</v>
      </c>
      <c r="B116" s="141">
        <v>46141</v>
      </c>
      <c r="C116" s="18" t="s">
        <v>5</v>
      </c>
      <c r="D116" s="21" t="s">
        <v>50</v>
      </c>
      <c r="E116" s="21" t="s">
        <v>2203</v>
      </c>
      <c r="F116" s="20" t="s">
        <v>23</v>
      </c>
      <c r="G116" s="18" t="str">
        <f>C116</f>
        <v>ECE</v>
      </c>
      <c r="H116" s="86">
        <v>10000</v>
      </c>
      <c r="I116" s="146">
        <v>46156</v>
      </c>
      <c r="J116" s="87"/>
      <c r="K116" s="57"/>
      <c r="L116" s="95" t="s">
        <v>2202</v>
      </c>
      <c r="M116" s="86">
        <v>95</v>
      </c>
      <c r="N116" s="85"/>
      <c r="O116" s="85"/>
      <c r="P116" s="85"/>
      <c r="Q116" s="85"/>
      <c r="R116" s="85"/>
      <c r="S116" s="85"/>
    </row>
    <row r="117" spans="1:19" ht="31.5">
      <c r="A117" s="83">
        <f>1+A116</f>
        <v>1820</v>
      </c>
      <c r="B117" s="141">
        <v>46141</v>
      </c>
      <c r="C117" s="18" t="s">
        <v>5</v>
      </c>
      <c r="D117" s="21" t="s">
        <v>50</v>
      </c>
      <c r="E117" s="21" t="s">
        <v>2201</v>
      </c>
      <c r="F117" s="20" t="s">
        <v>187</v>
      </c>
      <c r="G117" s="18" t="str">
        <f>C117</f>
        <v>ECE</v>
      </c>
      <c r="H117" s="86">
        <v>1800</v>
      </c>
      <c r="I117" s="146">
        <v>46156</v>
      </c>
      <c r="J117" s="87"/>
      <c r="K117" s="57"/>
      <c r="L117" s="95" t="s">
        <v>2200</v>
      </c>
      <c r="M117" s="86">
        <v>95</v>
      </c>
      <c r="N117" s="85"/>
      <c r="O117" s="85"/>
      <c r="P117" s="85"/>
      <c r="Q117" s="85"/>
      <c r="R117" s="85"/>
      <c r="S117" s="85"/>
    </row>
    <row r="118" spans="1:19" ht="31.5">
      <c r="A118" s="83">
        <f>1+A117</f>
        <v>1821</v>
      </c>
      <c r="B118" s="141">
        <v>46152</v>
      </c>
      <c r="C118" s="18" t="s">
        <v>5</v>
      </c>
      <c r="D118" s="21" t="s">
        <v>267</v>
      </c>
      <c r="E118" s="21" t="s">
        <v>2199</v>
      </c>
      <c r="F118" s="20" t="s">
        <v>324</v>
      </c>
      <c r="G118" s="18" t="str">
        <f>C118</f>
        <v>ECE</v>
      </c>
      <c r="H118" s="86">
        <v>3000</v>
      </c>
      <c r="I118" s="146">
        <v>46156</v>
      </c>
      <c r="J118" s="87"/>
      <c r="K118" s="57"/>
      <c r="L118" s="95">
        <v>46054</v>
      </c>
      <c r="M118" s="86">
        <v>95</v>
      </c>
      <c r="N118" s="85"/>
      <c r="O118" s="85"/>
      <c r="P118" s="85"/>
      <c r="Q118" s="85"/>
      <c r="R118" s="85"/>
      <c r="S118" s="85"/>
    </row>
    <row r="119" spans="1:19" ht="31.5">
      <c r="A119" s="83">
        <f>1+A118</f>
        <v>1822</v>
      </c>
      <c r="B119" s="141">
        <v>46152</v>
      </c>
      <c r="C119" s="18" t="s">
        <v>5</v>
      </c>
      <c r="D119" s="21" t="s">
        <v>267</v>
      </c>
      <c r="E119" s="21" t="s">
        <v>2198</v>
      </c>
      <c r="F119" s="20" t="s">
        <v>16</v>
      </c>
      <c r="G119" s="18" t="str">
        <f>C119</f>
        <v>ECE</v>
      </c>
      <c r="H119" s="86">
        <v>1800</v>
      </c>
      <c r="I119" s="146">
        <v>46156</v>
      </c>
      <c r="J119" s="87"/>
      <c r="K119" s="57"/>
      <c r="L119" s="95">
        <v>46056</v>
      </c>
      <c r="M119" s="86">
        <v>95</v>
      </c>
      <c r="N119" s="85"/>
      <c r="O119" s="85"/>
      <c r="P119" s="85"/>
      <c r="Q119" s="85"/>
      <c r="R119" s="85"/>
      <c r="S119" s="85"/>
    </row>
    <row r="120" spans="1:19" ht="31.5">
      <c r="A120" s="83">
        <f>1+A119</f>
        <v>1823</v>
      </c>
      <c r="B120" s="141">
        <v>46152</v>
      </c>
      <c r="C120" s="18" t="s">
        <v>5</v>
      </c>
      <c r="D120" s="21" t="s">
        <v>267</v>
      </c>
      <c r="E120" s="21" t="s">
        <v>2197</v>
      </c>
      <c r="F120" s="20" t="s">
        <v>187</v>
      </c>
      <c r="G120" s="18" t="str">
        <f>C120</f>
        <v>ECE</v>
      </c>
      <c r="H120" s="86">
        <v>1800</v>
      </c>
      <c r="I120" s="146">
        <v>46156</v>
      </c>
      <c r="J120" s="87"/>
      <c r="K120" s="57"/>
      <c r="L120" s="95">
        <v>46084</v>
      </c>
      <c r="M120" s="86">
        <v>95</v>
      </c>
      <c r="N120" s="85"/>
      <c r="O120" s="85"/>
      <c r="P120" s="85"/>
      <c r="Q120" s="85"/>
      <c r="R120" s="85"/>
      <c r="S120" s="85"/>
    </row>
    <row r="121" spans="1:19" ht="47.25">
      <c r="A121" s="83">
        <f>1+A120</f>
        <v>1824</v>
      </c>
      <c r="B121" s="141">
        <v>46151</v>
      </c>
      <c r="C121" s="18" t="s">
        <v>5</v>
      </c>
      <c r="D121" s="21" t="s">
        <v>826</v>
      </c>
      <c r="E121" s="21" t="s">
        <v>2196</v>
      </c>
      <c r="F121" s="20" t="s">
        <v>16</v>
      </c>
      <c r="G121" s="18" t="str">
        <f>C121</f>
        <v>ECE</v>
      </c>
      <c r="H121" s="86">
        <v>3000</v>
      </c>
      <c r="I121" s="146">
        <v>46156</v>
      </c>
      <c r="J121" s="87"/>
      <c r="K121" s="57"/>
      <c r="L121" s="95">
        <v>46115</v>
      </c>
      <c r="M121" s="86">
        <v>95</v>
      </c>
      <c r="N121" s="85"/>
      <c r="O121" s="85"/>
      <c r="P121" s="85"/>
      <c r="Q121" s="85"/>
      <c r="R121" s="85"/>
      <c r="S121" s="85"/>
    </row>
    <row r="122" spans="1:19" ht="15.75">
      <c r="A122" s="46"/>
      <c r="B122" s="139"/>
      <c r="C122" s="46"/>
      <c r="D122" s="46"/>
      <c r="E122" s="46" t="s">
        <v>11</v>
      </c>
      <c r="F122" s="42"/>
      <c r="G122" s="90"/>
      <c r="H122" s="89">
        <f>SUM(H101:H121)</f>
        <v>82800</v>
      </c>
      <c r="I122" s="42" t="s">
        <v>718</v>
      </c>
      <c r="J122" s="42"/>
      <c r="K122" s="45">
        <f>H122</f>
        <v>82800</v>
      </c>
      <c r="L122" s="42"/>
      <c r="M122" s="46">
        <v>95</v>
      </c>
      <c r="N122" s="88"/>
      <c r="O122" s="88"/>
      <c r="P122" s="88"/>
      <c r="Q122" s="88"/>
      <c r="R122" s="88"/>
      <c r="S122" s="88"/>
    </row>
    <row r="123" spans="1:19" ht="47.25">
      <c r="A123" s="83">
        <f>1+A121</f>
        <v>1825</v>
      </c>
      <c r="B123" s="141">
        <v>46168</v>
      </c>
      <c r="C123" s="18" t="s">
        <v>4</v>
      </c>
      <c r="D123" s="21" t="s">
        <v>63</v>
      </c>
      <c r="E123" s="21" t="s">
        <v>2195</v>
      </c>
      <c r="F123" s="20" t="s">
        <v>23</v>
      </c>
      <c r="G123" s="18" t="str">
        <f>C123</f>
        <v>EEE</v>
      </c>
      <c r="H123" s="86">
        <v>10000</v>
      </c>
      <c r="I123" s="146">
        <v>46184</v>
      </c>
      <c r="J123" s="87"/>
      <c r="K123" s="57"/>
      <c r="L123" s="86" t="s">
        <v>2151</v>
      </c>
      <c r="M123" s="86">
        <v>96</v>
      </c>
      <c r="N123" s="85"/>
      <c r="O123" s="85"/>
      <c r="P123" s="85"/>
      <c r="Q123" s="85"/>
      <c r="R123" s="85"/>
      <c r="S123" s="85"/>
    </row>
    <row r="124" spans="1:19" ht="31.5">
      <c r="A124" s="83">
        <f>1+A123</f>
        <v>1826</v>
      </c>
      <c r="B124" s="141">
        <v>46168</v>
      </c>
      <c r="C124" s="18" t="s">
        <v>4</v>
      </c>
      <c r="D124" s="21" t="s">
        <v>63</v>
      </c>
      <c r="E124" s="21" t="s">
        <v>2194</v>
      </c>
      <c r="F124" s="20" t="s">
        <v>324</v>
      </c>
      <c r="G124" s="18" t="str">
        <f>C124</f>
        <v>EEE</v>
      </c>
      <c r="H124" s="86">
        <v>3000</v>
      </c>
      <c r="I124" s="146">
        <v>46184</v>
      </c>
      <c r="J124" s="87"/>
      <c r="K124" s="57"/>
      <c r="L124" s="95">
        <v>46023</v>
      </c>
      <c r="M124" s="86">
        <v>96</v>
      </c>
      <c r="N124" s="85"/>
      <c r="O124" s="85"/>
      <c r="P124" s="85"/>
      <c r="Q124" s="85"/>
      <c r="R124" s="85"/>
      <c r="S124" s="85"/>
    </row>
    <row r="125" spans="1:19" ht="31.5">
      <c r="A125" s="83">
        <f>1+A124</f>
        <v>1827</v>
      </c>
      <c r="B125" s="141">
        <v>46168</v>
      </c>
      <c r="C125" s="18" t="s">
        <v>4</v>
      </c>
      <c r="D125" s="21" t="s">
        <v>63</v>
      </c>
      <c r="E125" s="21" t="s">
        <v>2193</v>
      </c>
      <c r="F125" s="20" t="s">
        <v>324</v>
      </c>
      <c r="G125" s="18" t="str">
        <f>C125</f>
        <v>EEE</v>
      </c>
      <c r="H125" s="86">
        <v>5000</v>
      </c>
      <c r="I125" s="146">
        <v>46184</v>
      </c>
      <c r="J125" s="87"/>
      <c r="K125" s="57"/>
      <c r="L125" s="95">
        <v>45696</v>
      </c>
      <c r="M125" s="86">
        <v>96</v>
      </c>
      <c r="N125" s="85"/>
      <c r="O125" s="85"/>
      <c r="P125" s="85"/>
      <c r="Q125" s="85"/>
      <c r="R125" s="85"/>
      <c r="S125" s="85"/>
    </row>
    <row r="126" spans="1:19" ht="31.5">
      <c r="A126" s="83">
        <f>1+A125</f>
        <v>1828</v>
      </c>
      <c r="B126" s="141">
        <v>46168</v>
      </c>
      <c r="C126" s="18" t="s">
        <v>4</v>
      </c>
      <c r="D126" s="21" t="s">
        <v>63</v>
      </c>
      <c r="E126" s="21" t="s">
        <v>2192</v>
      </c>
      <c r="F126" s="20" t="s">
        <v>16</v>
      </c>
      <c r="G126" s="18" t="str">
        <f>C126</f>
        <v>EEE</v>
      </c>
      <c r="H126" s="86">
        <v>1800</v>
      </c>
      <c r="I126" s="146">
        <v>46184</v>
      </c>
      <c r="J126" s="87"/>
      <c r="K126" s="57"/>
      <c r="L126" s="86" t="s">
        <v>2191</v>
      </c>
      <c r="M126" s="86">
        <v>96</v>
      </c>
      <c r="N126" s="85"/>
      <c r="O126" s="85"/>
      <c r="P126" s="85"/>
      <c r="Q126" s="85"/>
      <c r="R126" s="85"/>
      <c r="S126" s="85"/>
    </row>
    <row r="127" spans="1:19" ht="31.5">
      <c r="A127" s="83">
        <f>1+A126</f>
        <v>1829</v>
      </c>
      <c r="B127" s="141">
        <v>46168</v>
      </c>
      <c r="C127" s="18" t="s">
        <v>4</v>
      </c>
      <c r="D127" s="21" t="s">
        <v>63</v>
      </c>
      <c r="E127" s="21" t="s">
        <v>2190</v>
      </c>
      <c r="F127" s="20" t="s">
        <v>16</v>
      </c>
      <c r="G127" s="18" t="str">
        <f>C127</f>
        <v>EEE</v>
      </c>
      <c r="H127" s="86">
        <v>3000</v>
      </c>
      <c r="I127" s="146">
        <v>46184</v>
      </c>
      <c r="J127" s="87"/>
      <c r="K127" s="57"/>
      <c r="L127" s="86" t="s">
        <v>1439</v>
      </c>
      <c r="M127" s="86">
        <v>96</v>
      </c>
      <c r="N127" s="85"/>
      <c r="O127" s="85"/>
      <c r="P127" s="85"/>
      <c r="Q127" s="85"/>
      <c r="R127" s="85"/>
      <c r="S127" s="85"/>
    </row>
    <row r="128" spans="1:19" ht="31.5">
      <c r="A128" s="83">
        <f>1+A127</f>
        <v>1830</v>
      </c>
      <c r="B128" s="141">
        <v>46168</v>
      </c>
      <c r="C128" s="18" t="s">
        <v>4</v>
      </c>
      <c r="D128" s="21" t="s">
        <v>63</v>
      </c>
      <c r="E128" s="21" t="s">
        <v>2189</v>
      </c>
      <c r="F128" s="20" t="s">
        <v>187</v>
      </c>
      <c r="G128" s="18" t="str">
        <f>C128</f>
        <v>EEE</v>
      </c>
      <c r="H128" s="86">
        <v>1800</v>
      </c>
      <c r="I128" s="146">
        <v>46184</v>
      </c>
      <c r="J128" s="87"/>
      <c r="K128" s="57"/>
      <c r="L128" s="95">
        <v>46266</v>
      </c>
      <c r="M128" s="86">
        <v>96</v>
      </c>
      <c r="N128" s="85"/>
      <c r="O128" s="85"/>
      <c r="P128" s="85"/>
      <c r="Q128" s="85"/>
      <c r="R128" s="85"/>
      <c r="S128" s="85"/>
    </row>
    <row r="129" spans="1:19" ht="31.5">
      <c r="A129" s="83">
        <f>1+A128</f>
        <v>1831</v>
      </c>
      <c r="B129" s="141">
        <v>46168</v>
      </c>
      <c r="C129" s="18" t="s">
        <v>4</v>
      </c>
      <c r="D129" s="21" t="s">
        <v>63</v>
      </c>
      <c r="E129" s="21" t="s">
        <v>2188</v>
      </c>
      <c r="F129" s="20" t="s">
        <v>187</v>
      </c>
      <c r="G129" s="18" t="str">
        <f>C129</f>
        <v>EEE</v>
      </c>
      <c r="H129" s="86">
        <v>3000</v>
      </c>
      <c r="I129" s="146">
        <v>46184</v>
      </c>
      <c r="J129" s="87"/>
      <c r="K129" s="57"/>
      <c r="L129" s="86" t="s">
        <v>2137</v>
      </c>
      <c r="M129" s="86">
        <v>96</v>
      </c>
      <c r="N129" s="85"/>
      <c r="O129" s="85"/>
      <c r="P129" s="85"/>
      <c r="Q129" s="85"/>
      <c r="R129" s="85"/>
      <c r="S129" s="85"/>
    </row>
    <row r="130" spans="1:19" ht="47.25">
      <c r="A130" s="83">
        <f>1+A129</f>
        <v>1832</v>
      </c>
      <c r="B130" s="141">
        <v>46167</v>
      </c>
      <c r="C130" s="18" t="s">
        <v>2</v>
      </c>
      <c r="D130" s="21" t="s">
        <v>209</v>
      </c>
      <c r="E130" s="21" t="s">
        <v>2187</v>
      </c>
      <c r="F130" s="20" t="s">
        <v>187</v>
      </c>
      <c r="G130" s="18" t="str">
        <f>C130</f>
        <v>Mech</v>
      </c>
      <c r="H130" s="86">
        <v>3000</v>
      </c>
      <c r="I130" s="146">
        <v>46184</v>
      </c>
      <c r="J130" s="87"/>
      <c r="K130" s="57"/>
      <c r="L130" s="95">
        <v>46026</v>
      </c>
      <c r="M130" s="86">
        <v>96</v>
      </c>
      <c r="N130" s="85"/>
      <c r="O130" s="85"/>
      <c r="P130" s="85"/>
      <c r="Q130" s="85"/>
      <c r="R130" s="85"/>
      <c r="S130" s="85"/>
    </row>
    <row r="131" spans="1:19" ht="31.5">
      <c r="A131" s="83">
        <f>1+A130</f>
        <v>1833</v>
      </c>
      <c r="B131" s="141">
        <v>46167</v>
      </c>
      <c r="C131" s="18" t="s">
        <v>2</v>
      </c>
      <c r="D131" s="21" t="s">
        <v>209</v>
      </c>
      <c r="E131" s="21" t="s">
        <v>2186</v>
      </c>
      <c r="F131" s="20" t="s">
        <v>187</v>
      </c>
      <c r="G131" s="18" t="str">
        <f>C131</f>
        <v>Mech</v>
      </c>
      <c r="H131" s="86">
        <v>3000</v>
      </c>
      <c r="I131" s="146">
        <v>46184</v>
      </c>
      <c r="J131" s="87"/>
      <c r="K131" s="57"/>
      <c r="L131" s="95">
        <v>46026</v>
      </c>
      <c r="M131" s="86">
        <v>96</v>
      </c>
      <c r="N131" s="85"/>
      <c r="O131" s="85"/>
      <c r="P131" s="85"/>
      <c r="Q131" s="85"/>
      <c r="R131" s="85"/>
      <c r="S131" s="85"/>
    </row>
    <row r="132" spans="1:19" ht="31.5">
      <c r="A132" s="83">
        <f>1+A131</f>
        <v>1834</v>
      </c>
      <c r="B132" s="141">
        <v>46167</v>
      </c>
      <c r="C132" s="18" t="s">
        <v>2</v>
      </c>
      <c r="D132" s="21" t="s">
        <v>209</v>
      </c>
      <c r="E132" s="21" t="s">
        <v>2185</v>
      </c>
      <c r="F132" s="20" t="s">
        <v>187</v>
      </c>
      <c r="G132" s="18" t="str">
        <f>C132</f>
        <v>Mech</v>
      </c>
      <c r="H132" s="86">
        <v>3000</v>
      </c>
      <c r="I132" s="146">
        <v>46184</v>
      </c>
      <c r="J132" s="87"/>
      <c r="K132" s="57"/>
      <c r="L132" s="95">
        <v>46026</v>
      </c>
      <c r="M132" s="86">
        <v>96</v>
      </c>
      <c r="N132" s="85"/>
      <c r="O132" s="85"/>
      <c r="P132" s="85"/>
      <c r="Q132" s="85"/>
      <c r="R132" s="85"/>
      <c r="S132" s="85"/>
    </row>
    <row r="133" spans="1:19" ht="47.25">
      <c r="A133" s="83">
        <f>1+A132</f>
        <v>1835</v>
      </c>
      <c r="B133" s="141">
        <v>46156</v>
      </c>
      <c r="C133" s="18" t="s">
        <v>4</v>
      </c>
      <c r="D133" s="21" t="s">
        <v>532</v>
      </c>
      <c r="E133" s="21" t="s">
        <v>2184</v>
      </c>
      <c r="F133" s="20" t="s">
        <v>16</v>
      </c>
      <c r="G133" s="18" t="str">
        <f>C133</f>
        <v>EEE</v>
      </c>
      <c r="H133" s="86">
        <v>1800</v>
      </c>
      <c r="I133" s="146">
        <v>46184</v>
      </c>
      <c r="J133" s="87"/>
      <c r="K133" s="57"/>
      <c r="L133" s="91">
        <v>45992</v>
      </c>
      <c r="M133" s="86">
        <v>96</v>
      </c>
      <c r="N133" s="85"/>
      <c r="O133" s="85"/>
      <c r="P133" s="85"/>
      <c r="Q133" s="85"/>
      <c r="R133" s="85"/>
      <c r="S133" s="85"/>
    </row>
    <row r="134" spans="1:19" ht="31.5">
      <c r="A134" s="83">
        <f>1+A133</f>
        <v>1836</v>
      </c>
      <c r="B134" s="141">
        <v>46167</v>
      </c>
      <c r="C134" s="18" t="s">
        <v>8</v>
      </c>
      <c r="D134" s="21" t="s">
        <v>1635</v>
      </c>
      <c r="E134" s="21" t="s">
        <v>2183</v>
      </c>
      <c r="F134" s="20" t="s">
        <v>16</v>
      </c>
      <c r="G134" s="18" t="str">
        <f>C134</f>
        <v>CCE</v>
      </c>
      <c r="H134" s="86">
        <v>1800</v>
      </c>
      <c r="I134" s="146">
        <v>46184</v>
      </c>
      <c r="J134" s="87"/>
      <c r="K134" s="57"/>
      <c r="L134" s="86" t="s">
        <v>2182</v>
      </c>
      <c r="M134" s="86">
        <v>96</v>
      </c>
      <c r="N134" s="85"/>
      <c r="O134" s="85"/>
      <c r="P134" s="85"/>
      <c r="Q134" s="85"/>
      <c r="R134" s="85"/>
      <c r="S134" s="85"/>
    </row>
    <row r="135" spans="1:19" ht="21.75" customHeight="1">
      <c r="A135" s="83">
        <f>1+A134</f>
        <v>1837</v>
      </c>
      <c r="B135" s="141">
        <v>46109</v>
      </c>
      <c r="C135" s="18" t="s">
        <v>6</v>
      </c>
      <c r="D135" s="21" t="s">
        <v>566</v>
      </c>
      <c r="E135" s="21" t="s">
        <v>2181</v>
      </c>
      <c r="F135" s="20" t="s">
        <v>16</v>
      </c>
      <c r="G135" s="18" t="str">
        <f>C135</f>
        <v>CSE</v>
      </c>
      <c r="H135" s="86">
        <v>1800</v>
      </c>
      <c r="I135" s="146">
        <v>46184</v>
      </c>
      <c r="J135" s="87"/>
      <c r="K135" s="57"/>
      <c r="L135" s="86" t="s">
        <v>2180</v>
      </c>
      <c r="M135" s="86">
        <v>96</v>
      </c>
      <c r="N135" s="85"/>
      <c r="O135" s="85"/>
      <c r="P135" s="85"/>
      <c r="Q135" s="85"/>
      <c r="R135" s="85"/>
      <c r="S135" s="85"/>
    </row>
    <row r="136" spans="1:19" ht="24.75" customHeight="1">
      <c r="A136" s="83">
        <f>1+A135</f>
        <v>1838</v>
      </c>
      <c r="B136" s="141">
        <v>46109</v>
      </c>
      <c r="C136" s="18" t="s">
        <v>6</v>
      </c>
      <c r="D136" s="21" t="s">
        <v>566</v>
      </c>
      <c r="E136" s="21" t="s">
        <v>2179</v>
      </c>
      <c r="F136" s="20" t="s">
        <v>16</v>
      </c>
      <c r="G136" s="18" t="str">
        <f>C136</f>
        <v>CSE</v>
      </c>
      <c r="H136" s="86">
        <v>1800</v>
      </c>
      <c r="I136" s="146">
        <v>46184</v>
      </c>
      <c r="J136" s="87"/>
      <c r="K136" s="57"/>
      <c r="L136" s="95">
        <v>45667</v>
      </c>
      <c r="M136" s="86">
        <v>96</v>
      </c>
      <c r="N136" s="85"/>
      <c r="O136" s="85"/>
      <c r="P136" s="85"/>
      <c r="Q136" s="85"/>
      <c r="R136" s="85"/>
      <c r="S136" s="85"/>
    </row>
    <row r="137" spans="1:19" ht="22.5" customHeight="1">
      <c r="A137" s="83">
        <f>1+A136</f>
        <v>1839</v>
      </c>
      <c r="B137" s="141">
        <v>46109</v>
      </c>
      <c r="C137" s="18" t="s">
        <v>6</v>
      </c>
      <c r="D137" s="21" t="s">
        <v>566</v>
      </c>
      <c r="E137" s="21" t="s">
        <v>2178</v>
      </c>
      <c r="F137" s="20" t="s">
        <v>16</v>
      </c>
      <c r="G137" s="18" t="str">
        <f>C137</f>
        <v>CSE</v>
      </c>
      <c r="H137" s="86">
        <v>1800</v>
      </c>
      <c r="I137" s="146">
        <v>46184</v>
      </c>
      <c r="J137" s="87"/>
      <c r="K137" s="57"/>
      <c r="L137" s="95">
        <v>46266</v>
      </c>
      <c r="M137" s="86">
        <v>96</v>
      </c>
      <c r="N137" s="85"/>
      <c r="O137" s="85"/>
      <c r="P137" s="85"/>
      <c r="Q137" s="85"/>
      <c r="R137" s="85"/>
      <c r="S137" s="85"/>
    </row>
    <row r="138" spans="1:19" ht="31.5">
      <c r="A138" s="83">
        <f>1+A137</f>
        <v>1840</v>
      </c>
      <c r="B138" s="141">
        <v>46109</v>
      </c>
      <c r="C138" s="18" t="s">
        <v>6</v>
      </c>
      <c r="D138" s="21" t="s">
        <v>566</v>
      </c>
      <c r="E138" s="21" t="s">
        <v>2177</v>
      </c>
      <c r="F138" s="20" t="s">
        <v>23</v>
      </c>
      <c r="G138" s="18" t="str">
        <f>C138</f>
        <v>CSE</v>
      </c>
      <c r="H138" s="86">
        <v>10000</v>
      </c>
      <c r="I138" s="146">
        <v>46184</v>
      </c>
      <c r="J138" s="87"/>
      <c r="K138" s="57"/>
      <c r="L138" s="95">
        <v>46175</v>
      </c>
      <c r="M138" s="86">
        <v>96</v>
      </c>
      <c r="N138" s="85"/>
      <c r="O138" s="85"/>
      <c r="P138" s="85"/>
      <c r="Q138" s="85"/>
      <c r="R138" s="85"/>
      <c r="S138" s="85"/>
    </row>
    <row r="139" spans="1:19" ht="31.5">
      <c r="A139" s="83">
        <f>1+A138</f>
        <v>1841</v>
      </c>
      <c r="B139" s="141">
        <v>46142</v>
      </c>
      <c r="C139" s="18" t="s">
        <v>2</v>
      </c>
      <c r="D139" s="21" t="s">
        <v>252</v>
      </c>
      <c r="E139" s="21" t="s">
        <v>2176</v>
      </c>
      <c r="F139" s="20" t="s">
        <v>324</v>
      </c>
      <c r="G139" s="18" t="str">
        <f>C139</f>
        <v>Mech</v>
      </c>
      <c r="H139" s="86">
        <v>5000</v>
      </c>
      <c r="I139" s="146">
        <v>46184</v>
      </c>
      <c r="J139" s="87"/>
      <c r="K139" s="57"/>
      <c r="L139" s="95" t="s">
        <v>2175</v>
      </c>
      <c r="M139" s="86">
        <v>96</v>
      </c>
      <c r="N139" s="85"/>
      <c r="O139" s="85"/>
      <c r="P139" s="85"/>
      <c r="Q139" s="85"/>
      <c r="R139" s="85"/>
      <c r="S139" s="85"/>
    </row>
    <row r="140" spans="1:19" ht="31.5">
      <c r="A140" s="83">
        <f>1+A139</f>
        <v>1842</v>
      </c>
      <c r="B140" s="141">
        <v>46175</v>
      </c>
      <c r="C140" s="18" t="s">
        <v>2</v>
      </c>
      <c r="D140" s="21" t="s">
        <v>99</v>
      </c>
      <c r="E140" s="21" t="s">
        <v>2174</v>
      </c>
      <c r="F140" s="20" t="s">
        <v>23</v>
      </c>
      <c r="G140" s="18" t="str">
        <f>C140</f>
        <v>Mech</v>
      </c>
      <c r="H140" s="86">
        <v>10000</v>
      </c>
      <c r="I140" s="146">
        <v>46184</v>
      </c>
      <c r="J140" s="87"/>
      <c r="K140" s="57"/>
      <c r="L140" s="95">
        <v>46269</v>
      </c>
      <c r="M140" s="86">
        <v>96</v>
      </c>
      <c r="N140" s="85"/>
      <c r="O140" s="85"/>
      <c r="P140" s="85"/>
      <c r="Q140" s="85"/>
      <c r="R140" s="85"/>
      <c r="S140" s="85"/>
    </row>
    <row r="141" spans="1:19" ht="31.5">
      <c r="A141" s="83">
        <f>1+A140</f>
        <v>1843</v>
      </c>
      <c r="B141" s="141">
        <v>46172</v>
      </c>
      <c r="C141" s="18" t="s">
        <v>8</v>
      </c>
      <c r="D141" s="21" t="s">
        <v>2173</v>
      </c>
      <c r="E141" s="21" t="s">
        <v>2172</v>
      </c>
      <c r="F141" s="20" t="s">
        <v>16</v>
      </c>
      <c r="G141" s="18" t="str">
        <f>C141</f>
        <v>CCE</v>
      </c>
      <c r="H141" s="86">
        <v>1800</v>
      </c>
      <c r="I141" s="146">
        <v>46184</v>
      </c>
      <c r="J141" s="87"/>
      <c r="K141" s="57"/>
      <c r="L141" s="86" t="s">
        <v>2171</v>
      </c>
      <c r="M141" s="86">
        <v>96</v>
      </c>
      <c r="N141" s="85"/>
      <c r="O141" s="85"/>
      <c r="P141" s="85"/>
      <c r="Q141" s="85"/>
      <c r="R141" s="85"/>
      <c r="S141" s="85"/>
    </row>
    <row r="142" spans="1:19" ht="47.25">
      <c r="A142" s="83">
        <f>1+A141</f>
        <v>1844</v>
      </c>
      <c r="B142" s="141">
        <v>46172</v>
      </c>
      <c r="C142" s="18" t="s">
        <v>8</v>
      </c>
      <c r="D142" s="21" t="s">
        <v>1845</v>
      </c>
      <c r="E142" s="21" t="s">
        <v>2170</v>
      </c>
      <c r="F142" s="20" t="s">
        <v>16</v>
      </c>
      <c r="G142" s="18" t="str">
        <f>C142</f>
        <v>CCE</v>
      </c>
      <c r="H142" s="86">
        <v>900</v>
      </c>
      <c r="I142" s="146">
        <v>46184</v>
      </c>
      <c r="J142" s="87"/>
      <c r="K142" s="57"/>
      <c r="L142" s="86" t="s">
        <v>2118</v>
      </c>
      <c r="M142" s="86">
        <v>96</v>
      </c>
      <c r="N142" s="85"/>
      <c r="O142" s="85"/>
      <c r="P142" s="85"/>
      <c r="Q142" s="85"/>
      <c r="R142" s="85"/>
      <c r="S142" s="85"/>
    </row>
    <row r="143" spans="1:19" ht="31.5">
      <c r="A143" s="83">
        <f>1+A142</f>
        <v>1845</v>
      </c>
      <c r="B143" s="141">
        <v>46172</v>
      </c>
      <c r="C143" s="18" t="s">
        <v>8</v>
      </c>
      <c r="D143" s="21" t="s">
        <v>1845</v>
      </c>
      <c r="E143" s="21" t="s">
        <v>2169</v>
      </c>
      <c r="F143" s="20" t="s">
        <v>16</v>
      </c>
      <c r="G143" s="18" t="str">
        <f>C143</f>
        <v>CCE</v>
      </c>
      <c r="H143" s="86">
        <v>3000</v>
      </c>
      <c r="I143" s="146">
        <v>46184</v>
      </c>
      <c r="J143" s="87"/>
      <c r="K143" s="57"/>
      <c r="L143" s="95">
        <v>46214</v>
      </c>
      <c r="M143" s="86">
        <v>96</v>
      </c>
      <c r="N143" s="85"/>
      <c r="O143" s="85"/>
      <c r="P143" s="85"/>
      <c r="Q143" s="85"/>
      <c r="R143" s="85"/>
      <c r="S143" s="85"/>
    </row>
    <row r="144" spans="1:19" ht="31.5">
      <c r="A144" s="83">
        <f>1+A143</f>
        <v>1846</v>
      </c>
      <c r="B144" s="141">
        <v>46175</v>
      </c>
      <c r="C144" s="18" t="s">
        <v>5</v>
      </c>
      <c r="D144" s="21" t="s">
        <v>262</v>
      </c>
      <c r="E144" s="21" t="s">
        <v>2168</v>
      </c>
      <c r="F144" s="20" t="s">
        <v>16</v>
      </c>
      <c r="G144" s="18" t="str">
        <f>C144</f>
        <v>ECE</v>
      </c>
      <c r="H144" s="86">
        <v>1800</v>
      </c>
      <c r="I144" s="146">
        <v>46184</v>
      </c>
      <c r="J144" s="87"/>
      <c r="K144" s="57"/>
      <c r="L144" s="86" t="s">
        <v>2167</v>
      </c>
      <c r="M144" s="86">
        <v>96</v>
      </c>
      <c r="N144" s="85"/>
      <c r="O144" s="85"/>
      <c r="P144" s="85"/>
      <c r="Q144" s="85"/>
      <c r="R144" s="85"/>
      <c r="S144" s="85"/>
    </row>
    <row r="145" spans="1:19" ht="15.75">
      <c r="A145" s="46"/>
      <c r="B145" s="139"/>
      <c r="C145" s="46"/>
      <c r="D145" s="46"/>
      <c r="E145" s="46" t="s">
        <v>11</v>
      </c>
      <c r="F145" s="42"/>
      <c r="G145" s="90"/>
      <c r="H145" s="89">
        <f>SUM(H123:H144)</f>
        <v>78100</v>
      </c>
      <c r="I145" s="42" t="s">
        <v>718</v>
      </c>
      <c r="J145" s="42"/>
      <c r="K145" s="45">
        <f>H145</f>
        <v>78100</v>
      </c>
      <c r="L145" s="42"/>
      <c r="M145" s="46">
        <v>96</v>
      </c>
      <c r="N145" s="88"/>
      <c r="O145" s="88"/>
      <c r="P145" s="88"/>
      <c r="Q145" s="88"/>
      <c r="R145" s="88"/>
      <c r="S145" s="88"/>
    </row>
    <row r="146" spans="1:19" ht="31.5">
      <c r="A146" s="83">
        <f>1+A144</f>
        <v>1847</v>
      </c>
      <c r="B146" s="141">
        <v>46182</v>
      </c>
      <c r="C146" s="18" t="s">
        <v>5</v>
      </c>
      <c r="D146" s="21" t="s">
        <v>115</v>
      </c>
      <c r="E146" s="21" t="s">
        <v>2166</v>
      </c>
      <c r="F146" s="20" t="s">
        <v>16</v>
      </c>
      <c r="G146" s="18" t="str">
        <f>C146</f>
        <v>ECE</v>
      </c>
      <c r="H146" s="86">
        <v>1800</v>
      </c>
      <c r="I146" s="140">
        <v>46205</v>
      </c>
      <c r="J146" s="87"/>
      <c r="K146" s="57"/>
      <c r="L146" s="86" t="s">
        <v>2149</v>
      </c>
      <c r="M146" s="86">
        <v>97</v>
      </c>
      <c r="N146" s="85"/>
      <c r="O146" s="85"/>
      <c r="P146" s="85"/>
      <c r="Q146" s="85"/>
      <c r="R146" s="85"/>
      <c r="S146" s="85"/>
    </row>
    <row r="147" spans="1:19" ht="47.25">
      <c r="A147" s="83">
        <f>1+A146</f>
        <v>1848</v>
      </c>
      <c r="B147" s="141">
        <v>46175</v>
      </c>
      <c r="C147" s="18" t="s">
        <v>6</v>
      </c>
      <c r="D147" s="21" t="s">
        <v>1299</v>
      </c>
      <c r="E147" s="21" t="s">
        <v>2165</v>
      </c>
      <c r="F147" s="20" t="s">
        <v>23</v>
      </c>
      <c r="G147" s="18" t="str">
        <f>C147</f>
        <v>CSE</v>
      </c>
      <c r="H147" s="86">
        <v>6000</v>
      </c>
      <c r="I147" s="140">
        <v>46205</v>
      </c>
      <c r="J147" s="87"/>
      <c r="K147" s="57"/>
      <c r="L147" s="95">
        <v>46298</v>
      </c>
      <c r="M147" s="86">
        <v>97</v>
      </c>
      <c r="N147" s="85"/>
      <c r="O147" s="85"/>
      <c r="P147" s="85"/>
      <c r="Q147" s="85"/>
      <c r="R147" s="85"/>
      <c r="S147" s="85"/>
    </row>
    <row r="148" spans="1:19" ht="47.25">
      <c r="A148" s="83">
        <f>1+A147</f>
        <v>1849</v>
      </c>
      <c r="B148" s="141">
        <v>46175</v>
      </c>
      <c r="C148" s="18" t="s">
        <v>6</v>
      </c>
      <c r="D148" s="21" t="s">
        <v>1299</v>
      </c>
      <c r="E148" s="21" t="s">
        <v>2164</v>
      </c>
      <c r="F148" s="20" t="s">
        <v>23</v>
      </c>
      <c r="G148" s="18" t="str">
        <f>C148</f>
        <v>CSE</v>
      </c>
      <c r="H148" s="86">
        <v>6000</v>
      </c>
      <c r="I148" s="140">
        <v>46205</v>
      </c>
      <c r="J148" s="87"/>
      <c r="K148" s="57"/>
      <c r="L148" s="95">
        <v>45751</v>
      </c>
      <c r="M148" s="86">
        <v>97</v>
      </c>
      <c r="N148" s="85"/>
      <c r="O148" s="85"/>
      <c r="P148" s="85"/>
      <c r="Q148" s="85"/>
      <c r="R148" s="85"/>
      <c r="S148" s="85"/>
    </row>
    <row r="149" spans="1:19" ht="31.5">
      <c r="A149" s="83">
        <f>1+A148</f>
        <v>1850</v>
      </c>
      <c r="B149" s="141">
        <v>46175</v>
      </c>
      <c r="C149" s="18" t="s">
        <v>6</v>
      </c>
      <c r="D149" s="21" t="s">
        <v>1299</v>
      </c>
      <c r="E149" s="21" t="s">
        <v>2163</v>
      </c>
      <c r="F149" s="20" t="s">
        <v>16</v>
      </c>
      <c r="G149" s="18" t="str">
        <f>C149</f>
        <v>CSE</v>
      </c>
      <c r="H149" s="86">
        <v>3000</v>
      </c>
      <c r="I149" s="140">
        <v>46205</v>
      </c>
      <c r="J149" s="87"/>
      <c r="K149" s="57"/>
      <c r="L149" s="86" t="s">
        <v>2162</v>
      </c>
      <c r="M149" s="86">
        <v>97</v>
      </c>
      <c r="N149" s="85"/>
      <c r="O149" s="85"/>
      <c r="P149" s="85"/>
      <c r="Q149" s="85"/>
      <c r="R149" s="85"/>
      <c r="S149" s="85"/>
    </row>
    <row r="150" spans="1:19" ht="31.5">
      <c r="A150" s="83">
        <f>1+A149</f>
        <v>1851</v>
      </c>
      <c r="B150" s="141">
        <v>46175</v>
      </c>
      <c r="C150" s="18" t="s">
        <v>6</v>
      </c>
      <c r="D150" s="21" t="s">
        <v>1299</v>
      </c>
      <c r="E150" s="21" t="s">
        <v>2161</v>
      </c>
      <c r="F150" s="20" t="s">
        <v>187</v>
      </c>
      <c r="G150" s="18" t="str">
        <f>C150</f>
        <v>CSE</v>
      </c>
      <c r="H150" s="86">
        <v>3000</v>
      </c>
      <c r="I150" s="140">
        <v>46205</v>
      </c>
      <c r="J150" s="87"/>
      <c r="K150" s="57"/>
      <c r="L150" s="95">
        <v>45809</v>
      </c>
      <c r="M150" s="86">
        <v>97</v>
      </c>
      <c r="N150" s="85"/>
      <c r="O150" s="85"/>
      <c r="P150" s="85"/>
      <c r="Q150" s="85"/>
      <c r="R150" s="85"/>
      <c r="S150" s="85"/>
    </row>
    <row r="151" spans="1:19" ht="31.5">
      <c r="A151" s="83">
        <f>1+A150</f>
        <v>1852</v>
      </c>
      <c r="B151" s="141">
        <v>46178</v>
      </c>
      <c r="C151" s="18" t="s">
        <v>5</v>
      </c>
      <c r="D151" s="21" t="s">
        <v>311</v>
      </c>
      <c r="E151" s="21" t="s">
        <v>2160</v>
      </c>
      <c r="F151" s="20" t="s">
        <v>16</v>
      </c>
      <c r="G151" s="18" t="str">
        <f>C151</f>
        <v>ECE</v>
      </c>
      <c r="H151" s="86">
        <v>1800</v>
      </c>
      <c r="I151" s="140">
        <v>46205</v>
      </c>
      <c r="J151" s="87"/>
      <c r="K151" s="57"/>
      <c r="L151" s="86" t="s">
        <v>2139</v>
      </c>
      <c r="M151" s="86">
        <v>97</v>
      </c>
      <c r="N151" s="85"/>
      <c r="O151" s="85"/>
      <c r="P151" s="85"/>
      <c r="Q151" s="85"/>
      <c r="R151" s="85"/>
      <c r="S151" s="85"/>
    </row>
    <row r="152" spans="1:19" ht="47.25">
      <c r="A152" s="83">
        <f>1+A151</f>
        <v>1853</v>
      </c>
      <c r="B152" s="141">
        <v>46155</v>
      </c>
      <c r="C152" s="18" t="s">
        <v>1</v>
      </c>
      <c r="D152" s="21" t="s">
        <v>167</v>
      </c>
      <c r="E152" s="21" t="s">
        <v>2159</v>
      </c>
      <c r="F152" s="20" t="s">
        <v>23</v>
      </c>
      <c r="G152" s="18" t="str">
        <f>C152</f>
        <v>S&amp;H</v>
      </c>
      <c r="H152" s="86">
        <v>10000</v>
      </c>
      <c r="I152" s="140">
        <v>46205</v>
      </c>
      <c r="J152" s="87"/>
      <c r="K152" s="57"/>
      <c r="L152" s="95">
        <v>46208</v>
      </c>
      <c r="M152" s="86">
        <v>97</v>
      </c>
      <c r="N152" s="85"/>
      <c r="O152" s="85"/>
      <c r="P152" s="85"/>
      <c r="Q152" s="85"/>
      <c r="R152" s="85"/>
      <c r="S152" s="85"/>
    </row>
    <row r="153" spans="1:19" ht="15.75">
      <c r="A153" s="83">
        <f>1+A152</f>
        <v>1854</v>
      </c>
      <c r="B153" s="141">
        <v>46155</v>
      </c>
      <c r="C153" s="18" t="s">
        <v>1</v>
      </c>
      <c r="D153" s="21" t="s">
        <v>167</v>
      </c>
      <c r="E153" s="21" t="s">
        <v>1451</v>
      </c>
      <c r="F153" s="20" t="s">
        <v>193</v>
      </c>
      <c r="G153" s="18" t="str">
        <f>C153</f>
        <v>S&amp;H</v>
      </c>
      <c r="H153" s="86">
        <v>6000</v>
      </c>
      <c r="I153" s="140">
        <v>46205</v>
      </c>
      <c r="J153" s="87"/>
      <c r="K153" s="57"/>
      <c r="L153" s="86" t="s">
        <v>2113</v>
      </c>
      <c r="M153" s="86">
        <v>97</v>
      </c>
      <c r="N153" s="85"/>
      <c r="O153" s="85"/>
      <c r="P153" s="85"/>
      <c r="Q153" s="85"/>
      <c r="R153" s="85"/>
      <c r="S153" s="85"/>
    </row>
    <row r="154" spans="1:19" ht="47.25">
      <c r="A154" s="83">
        <f>1+A153</f>
        <v>1855</v>
      </c>
      <c r="B154" s="141">
        <v>46174</v>
      </c>
      <c r="C154" s="18" t="s">
        <v>758</v>
      </c>
      <c r="D154" s="21" t="s">
        <v>2157</v>
      </c>
      <c r="E154" s="21" t="s">
        <v>2158</v>
      </c>
      <c r="F154" s="20" t="s">
        <v>16</v>
      </c>
      <c r="G154" s="18" t="str">
        <f>C154</f>
        <v>AI-ML</v>
      </c>
      <c r="H154" s="86">
        <v>3000</v>
      </c>
      <c r="I154" s="140">
        <v>46205</v>
      </c>
      <c r="J154" s="87"/>
      <c r="K154" s="57"/>
      <c r="L154" s="95">
        <v>46207</v>
      </c>
      <c r="M154" s="86">
        <v>97</v>
      </c>
      <c r="N154" s="85"/>
      <c r="O154" s="85"/>
      <c r="P154" s="85"/>
      <c r="Q154" s="85"/>
      <c r="R154" s="85"/>
      <c r="S154" s="85"/>
    </row>
    <row r="155" spans="1:19" ht="31.5">
      <c r="A155" s="83">
        <f>1+A154</f>
        <v>1856</v>
      </c>
      <c r="B155" s="141">
        <v>46174</v>
      </c>
      <c r="C155" s="18" t="s">
        <v>758</v>
      </c>
      <c r="D155" s="21" t="s">
        <v>2157</v>
      </c>
      <c r="E155" s="21" t="s">
        <v>2156</v>
      </c>
      <c r="F155" s="20" t="s">
        <v>16</v>
      </c>
      <c r="G155" s="18" t="str">
        <f>C155</f>
        <v>AI-ML</v>
      </c>
      <c r="H155" s="86">
        <v>1800</v>
      </c>
      <c r="I155" s="140">
        <v>46205</v>
      </c>
      <c r="J155" s="87"/>
      <c r="K155" s="57"/>
      <c r="L155" s="86" t="s">
        <v>2155</v>
      </c>
      <c r="M155" s="86">
        <v>97</v>
      </c>
      <c r="N155" s="85"/>
      <c r="O155" s="85"/>
      <c r="P155" s="85"/>
      <c r="Q155" s="85"/>
      <c r="R155" s="85"/>
      <c r="S155" s="85"/>
    </row>
    <row r="156" spans="1:19" ht="30" customHeight="1">
      <c r="A156" s="83">
        <f>1+A155</f>
        <v>1857</v>
      </c>
      <c r="B156" s="141">
        <v>46176</v>
      </c>
      <c r="C156" s="18" t="s">
        <v>8</v>
      </c>
      <c r="D156" s="21" t="s">
        <v>307</v>
      </c>
      <c r="E156" s="21" t="s">
        <v>2154</v>
      </c>
      <c r="F156" s="20" t="s">
        <v>324</v>
      </c>
      <c r="G156" s="18" t="str">
        <f>C156</f>
        <v>CCE</v>
      </c>
      <c r="H156" s="86">
        <v>3000</v>
      </c>
      <c r="I156" s="140">
        <v>46205</v>
      </c>
      <c r="J156" s="87"/>
      <c r="K156" s="57"/>
      <c r="L156" s="86" t="s">
        <v>2153</v>
      </c>
      <c r="M156" s="86">
        <v>97</v>
      </c>
      <c r="N156" s="85"/>
      <c r="O156" s="85"/>
      <c r="P156" s="85"/>
      <c r="Q156" s="85"/>
      <c r="R156" s="85"/>
      <c r="S156" s="85"/>
    </row>
    <row r="157" spans="1:19" ht="31.5">
      <c r="A157" s="83">
        <f>1+A156</f>
        <v>1858</v>
      </c>
      <c r="B157" s="141">
        <v>46176</v>
      </c>
      <c r="C157" s="18" t="s">
        <v>8</v>
      </c>
      <c r="D157" s="21" t="s">
        <v>307</v>
      </c>
      <c r="E157" s="21" t="s">
        <v>2152</v>
      </c>
      <c r="F157" s="20" t="s">
        <v>16</v>
      </c>
      <c r="G157" s="18" t="str">
        <f>C157</f>
        <v>CCE</v>
      </c>
      <c r="H157" s="86">
        <v>1800</v>
      </c>
      <c r="I157" s="140">
        <v>46205</v>
      </c>
      <c r="J157" s="87"/>
      <c r="K157" s="57"/>
      <c r="L157" s="86" t="s">
        <v>2151</v>
      </c>
      <c r="M157" s="86">
        <v>97</v>
      </c>
      <c r="N157" s="85"/>
      <c r="O157" s="85"/>
      <c r="P157" s="85"/>
      <c r="Q157" s="85"/>
      <c r="R157" s="85"/>
      <c r="S157" s="85"/>
    </row>
    <row r="158" spans="1:19" ht="47.25">
      <c r="A158" s="83">
        <f>1+A157</f>
        <v>1859</v>
      </c>
      <c r="B158" s="141">
        <v>46176</v>
      </c>
      <c r="C158" s="18" t="s">
        <v>8</v>
      </c>
      <c r="D158" s="21" t="s">
        <v>307</v>
      </c>
      <c r="E158" s="21" t="s">
        <v>2150</v>
      </c>
      <c r="F158" s="20" t="s">
        <v>16</v>
      </c>
      <c r="G158" s="18" t="str">
        <f>C158</f>
        <v>CCE</v>
      </c>
      <c r="H158" s="86">
        <v>3000</v>
      </c>
      <c r="I158" s="140">
        <v>46205</v>
      </c>
      <c r="J158" s="87"/>
      <c r="K158" s="57"/>
      <c r="L158" s="86" t="s">
        <v>2149</v>
      </c>
      <c r="M158" s="86">
        <v>97</v>
      </c>
      <c r="N158" s="85"/>
      <c r="O158" s="85"/>
      <c r="P158" s="85"/>
      <c r="Q158" s="85"/>
      <c r="R158" s="85"/>
      <c r="S158" s="85"/>
    </row>
    <row r="159" spans="1:19" ht="47.25">
      <c r="A159" s="83">
        <f>1+A158</f>
        <v>1860</v>
      </c>
      <c r="B159" s="141">
        <v>46189</v>
      </c>
      <c r="C159" s="18" t="s">
        <v>36</v>
      </c>
      <c r="D159" s="21" t="s">
        <v>1376</v>
      </c>
      <c r="E159" s="21" t="s">
        <v>2148</v>
      </c>
      <c r="F159" s="20" t="s">
        <v>16</v>
      </c>
      <c r="G159" s="18" t="str">
        <f>C159</f>
        <v>AIDS</v>
      </c>
      <c r="H159" s="86">
        <v>900</v>
      </c>
      <c r="I159" s="140">
        <v>46205</v>
      </c>
      <c r="J159" s="87"/>
      <c r="K159" s="57"/>
      <c r="L159" s="86" t="s">
        <v>1546</v>
      </c>
      <c r="M159" s="86">
        <v>97</v>
      </c>
      <c r="N159" s="85"/>
      <c r="O159" s="85"/>
      <c r="P159" s="85"/>
      <c r="Q159" s="85"/>
      <c r="R159" s="85"/>
      <c r="S159" s="85"/>
    </row>
    <row r="160" spans="1:19" ht="31.5">
      <c r="A160" s="83">
        <f>1+A159</f>
        <v>1861</v>
      </c>
      <c r="B160" s="141">
        <v>46189</v>
      </c>
      <c r="C160" s="18" t="s">
        <v>36</v>
      </c>
      <c r="D160" s="21" t="s">
        <v>1376</v>
      </c>
      <c r="E160" s="21" t="s">
        <v>2147</v>
      </c>
      <c r="F160" s="20" t="s">
        <v>16</v>
      </c>
      <c r="G160" s="18" t="str">
        <f>C160</f>
        <v>AIDS</v>
      </c>
      <c r="H160" s="86">
        <v>1800</v>
      </c>
      <c r="I160" s="140">
        <v>46205</v>
      </c>
      <c r="J160" s="87"/>
      <c r="K160" s="57"/>
      <c r="L160" s="86" t="s">
        <v>2146</v>
      </c>
      <c r="M160" s="86">
        <v>97</v>
      </c>
      <c r="N160" s="85"/>
      <c r="O160" s="85"/>
      <c r="P160" s="85"/>
      <c r="Q160" s="85"/>
      <c r="R160" s="85"/>
      <c r="S160" s="85"/>
    </row>
    <row r="161" spans="1:19" ht="31.5">
      <c r="A161" s="83">
        <f>1+A160</f>
        <v>1862</v>
      </c>
      <c r="B161" s="141">
        <v>46189</v>
      </c>
      <c r="C161" s="18" t="s">
        <v>36</v>
      </c>
      <c r="D161" s="21" t="s">
        <v>1376</v>
      </c>
      <c r="E161" s="21" t="s">
        <v>2145</v>
      </c>
      <c r="F161" s="20" t="s">
        <v>16</v>
      </c>
      <c r="G161" s="18" t="str">
        <f>C161</f>
        <v>AIDS</v>
      </c>
      <c r="H161" s="86">
        <v>1800</v>
      </c>
      <c r="I161" s="140">
        <v>46205</v>
      </c>
      <c r="J161" s="87"/>
      <c r="K161" s="57"/>
      <c r="L161" s="95">
        <v>45697</v>
      </c>
      <c r="M161" s="86">
        <v>97</v>
      </c>
      <c r="N161" s="85"/>
      <c r="O161" s="85"/>
      <c r="P161" s="85"/>
      <c r="Q161" s="85"/>
      <c r="R161" s="85"/>
      <c r="S161" s="85"/>
    </row>
    <row r="162" spans="1:19" ht="31.5">
      <c r="A162" s="83">
        <f>1+A161</f>
        <v>1863</v>
      </c>
      <c r="B162" s="141">
        <v>46190</v>
      </c>
      <c r="C162" s="18" t="s">
        <v>36</v>
      </c>
      <c r="D162" s="21" t="s">
        <v>1802</v>
      </c>
      <c r="E162" s="21" t="s">
        <v>2144</v>
      </c>
      <c r="F162" s="20" t="s">
        <v>324</v>
      </c>
      <c r="G162" s="18" t="str">
        <f>C162</f>
        <v>AIDS</v>
      </c>
      <c r="H162" s="86">
        <v>3000</v>
      </c>
      <c r="I162" s="140">
        <v>46205</v>
      </c>
      <c r="J162" s="87"/>
      <c r="K162" s="57"/>
      <c r="L162" s="86" t="s">
        <v>2143</v>
      </c>
      <c r="M162" s="86">
        <v>97</v>
      </c>
      <c r="N162" s="85"/>
      <c r="O162" s="85"/>
      <c r="P162" s="85"/>
      <c r="Q162" s="85"/>
      <c r="R162" s="85"/>
      <c r="S162" s="85"/>
    </row>
    <row r="163" spans="1:19" ht="31.5">
      <c r="A163" s="83">
        <f>1+A162</f>
        <v>1864</v>
      </c>
      <c r="B163" s="141">
        <v>46190</v>
      </c>
      <c r="C163" s="18" t="s">
        <v>36</v>
      </c>
      <c r="D163" s="21" t="s">
        <v>1802</v>
      </c>
      <c r="E163" s="21" t="s">
        <v>2142</v>
      </c>
      <c r="F163" s="20" t="s">
        <v>187</v>
      </c>
      <c r="G163" s="18" t="str">
        <f>C163</f>
        <v>AIDS</v>
      </c>
      <c r="H163" s="86">
        <v>1800</v>
      </c>
      <c r="I163" s="140">
        <v>46205</v>
      </c>
      <c r="J163" s="87"/>
      <c r="K163" s="57"/>
      <c r="L163" s="95">
        <v>46266</v>
      </c>
      <c r="M163" s="86">
        <v>97</v>
      </c>
      <c r="N163" s="85"/>
      <c r="O163" s="85"/>
      <c r="P163" s="85"/>
      <c r="Q163" s="85"/>
      <c r="R163" s="85"/>
      <c r="S163" s="85"/>
    </row>
    <row r="164" spans="1:19" ht="31.5">
      <c r="A164" s="83">
        <f>1+A163</f>
        <v>1865</v>
      </c>
      <c r="B164" s="141">
        <v>46189</v>
      </c>
      <c r="C164" s="18" t="s">
        <v>2</v>
      </c>
      <c r="D164" s="21" t="s">
        <v>209</v>
      </c>
      <c r="E164" s="21" t="s">
        <v>2141</v>
      </c>
      <c r="F164" s="20" t="s">
        <v>187</v>
      </c>
      <c r="G164" s="18" t="str">
        <f>C164</f>
        <v>Mech</v>
      </c>
      <c r="H164" s="86">
        <v>3000</v>
      </c>
      <c r="I164" s="140">
        <v>46205</v>
      </c>
      <c r="J164" s="87"/>
      <c r="K164" s="57"/>
      <c r="L164" s="149">
        <v>46169</v>
      </c>
      <c r="M164" s="86">
        <v>97</v>
      </c>
      <c r="N164" s="85"/>
      <c r="O164" s="85"/>
      <c r="P164" s="85"/>
      <c r="Q164" s="85"/>
      <c r="R164" s="85"/>
      <c r="S164" s="85"/>
    </row>
    <row r="165" spans="1:19" ht="31.5">
      <c r="A165" s="83">
        <f>1+A164</f>
        <v>1866</v>
      </c>
      <c r="B165" s="141">
        <v>46184</v>
      </c>
      <c r="C165" s="18" t="s">
        <v>0</v>
      </c>
      <c r="D165" s="21" t="s">
        <v>334</v>
      </c>
      <c r="E165" s="21" t="s">
        <v>2140</v>
      </c>
      <c r="F165" s="20" t="s">
        <v>324</v>
      </c>
      <c r="G165" s="18" t="str">
        <f>C165</f>
        <v>Maths</v>
      </c>
      <c r="H165" s="86">
        <v>5000</v>
      </c>
      <c r="I165" s="140">
        <v>46205</v>
      </c>
      <c r="J165" s="87"/>
      <c r="K165" s="57"/>
      <c r="L165" s="86" t="s">
        <v>2139</v>
      </c>
      <c r="M165" s="86">
        <v>97</v>
      </c>
      <c r="N165" s="85"/>
      <c r="O165" s="85"/>
      <c r="P165" s="85"/>
      <c r="Q165" s="85"/>
      <c r="R165" s="85"/>
      <c r="S165" s="85"/>
    </row>
    <row r="166" spans="1:19" ht="47.25">
      <c r="A166" s="83">
        <f>1+A165</f>
        <v>1867</v>
      </c>
      <c r="B166" s="141">
        <v>46177</v>
      </c>
      <c r="C166" s="18" t="s">
        <v>5</v>
      </c>
      <c r="D166" s="21" t="s">
        <v>21</v>
      </c>
      <c r="E166" s="21" t="s">
        <v>2138</v>
      </c>
      <c r="F166" s="20" t="s">
        <v>23</v>
      </c>
      <c r="G166" s="18" t="str">
        <f>C166</f>
        <v>ECE</v>
      </c>
      <c r="H166" s="86">
        <v>10000</v>
      </c>
      <c r="I166" s="140">
        <v>46205</v>
      </c>
      <c r="J166" s="87"/>
      <c r="K166" s="57"/>
      <c r="L166" s="86" t="s">
        <v>2137</v>
      </c>
      <c r="M166" s="86">
        <v>97</v>
      </c>
      <c r="N166" s="85"/>
      <c r="O166" s="85"/>
      <c r="P166" s="85"/>
      <c r="Q166" s="85"/>
      <c r="R166" s="85"/>
      <c r="S166" s="85"/>
    </row>
    <row r="167" spans="1:19" ht="47.25">
      <c r="A167" s="83">
        <f>1+A166</f>
        <v>1868</v>
      </c>
      <c r="B167" s="141">
        <v>46185</v>
      </c>
      <c r="C167" s="18" t="s">
        <v>6</v>
      </c>
      <c r="D167" s="21" t="s">
        <v>369</v>
      </c>
      <c r="E167" s="21" t="s">
        <v>2136</v>
      </c>
      <c r="F167" s="20" t="s">
        <v>16</v>
      </c>
      <c r="G167" s="18" t="str">
        <f>C167</f>
        <v>CSE</v>
      </c>
      <c r="H167" s="86">
        <v>1800</v>
      </c>
      <c r="I167" s="140">
        <v>46205</v>
      </c>
      <c r="J167" s="87"/>
      <c r="K167" s="57"/>
      <c r="L167" s="86" t="s">
        <v>2135</v>
      </c>
      <c r="M167" s="86">
        <v>97</v>
      </c>
      <c r="N167" s="85"/>
      <c r="O167" s="85"/>
      <c r="P167" s="85"/>
      <c r="Q167" s="85"/>
      <c r="R167" s="85"/>
      <c r="S167" s="85"/>
    </row>
    <row r="168" spans="1:19" ht="31.5">
      <c r="A168" s="83">
        <f>1+A167</f>
        <v>1869</v>
      </c>
      <c r="B168" s="141">
        <v>46191</v>
      </c>
      <c r="C168" s="18" t="s">
        <v>36</v>
      </c>
      <c r="D168" s="21" t="s">
        <v>1208</v>
      </c>
      <c r="E168" s="21" t="s">
        <v>2134</v>
      </c>
      <c r="F168" s="20" t="s">
        <v>23</v>
      </c>
      <c r="G168" s="18" t="str">
        <f>C168</f>
        <v>AIDS</v>
      </c>
      <c r="H168" s="86">
        <v>6000</v>
      </c>
      <c r="I168" s="140">
        <v>46205</v>
      </c>
      <c r="J168" s="87"/>
      <c r="K168" s="57"/>
      <c r="L168" s="146">
        <v>46106</v>
      </c>
      <c r="M168" s="86">
        <v>97</v>
      </c>
      <c r="N168" s="85"/>
      <c r="O168" s="85"/>
      <c r="P168" s="85"/>
      <c r="Q168" s="85"/>
      <c r="R168" s="85"/>
      <c r="S168" s="85"/>
    </row>
    <row r="169" spans="1:19" ht="15.75">
      <c r="A169" s="46"/>
      <c r="B169" s="139"/>
      <c r="C169" s="46"/>
      <c r="D169" s="46"/>
      <c r="E169" s="46" t="s">
        <v>11</v>
      </c>
      <c r="F169" s="42"/>
      <c r="G169" s="90"/>
      <c r="H169" s="89">
        <f>SUM(H146:H168)</f>
        <v>85300</v>
      </c>
      <c r="I169" s="42" t="s">
        <v>718</v>
      </c>
      <c r="J169" s="42"/>
      <c r="K169" s="45">
        <f>H169</f>
        <v>85300</v>
      </c>
      <c r="L169" s="42"/>
      <c r="M169" s="46">
        <v>97</v>
      </c>
      <c r="N169" s="88"/>
      <c r="O169" s="88"/>
      <c r="P169" s="88"/>
      <c r="Q169" s="88"/>
      <c r="R169" s="88"/>
      <c r="S169" s="88"/>
    </row>
    <row r="170" spans="1:19" ht="47.25">
      <c r="A170" s="83">
        <f>1+A168</f>
        <v>1870</v>
      </c>
      <c r="B170" s="141">
        <v>46206</v>
      </c>
      <c r="C170" s="18" t="s">
        <v>36</v>
      </c>
      <c r="D170" s="21" t="s">
        <v>1802</v>
      </c>
      <c r="E170" s="21" t="s">
        <v>2133</v>
      </c>
      <c r="F170" s="20" t="s">
        <v>324</v>
      </c>
      <c r="G170" s="18" t="str">
        <f>C170</f>
        <v>AIDS</v>
      </c>
      <c r="H170" s="86">
        <v>3000</v>
      </c>
      <c r="I170" s="86"/>
      <c r="J170" s="87"/>
      <c r="K170" s="57"/>
      <c r="L170" s="95">
        <v>46029</v>
      </c>
      <c r="M170" s="86">
        <v>98</v>
      </c>
      <c r="N170" s="85"/>
      <c r="O170" s="85"/>
      <c r="P170" s="85"/>
      <c r="Q170" s="85"/>
      <c r="R170" s="85"/>
      <c r="S170" s="85"/>
    </row>
    <row r="171" spans="1:19" ht="47.25">
      <c r="A171" s="83">
        <f>1+A170</f>
        <v>1871</v>
      </c>
      <c r="B171" s="141">
        <v>46209</v>
      </c>
      <c r="C171" s="18" t="s">
        <v>36</v>
      </c>
      <c r="D171" s="21" t="s">
        <v>1476</v>
      </c>
      <c r="E171" s="21" t="s">
        <v>2132</v>
      </c>
      <c r="F171" s="20" t="s">
        <v>324</v>
      </c>
      <c r="G171" s="18" t="str">
        <f>C171</f>
        <v>AIDS</v>
      </c>
      <c r="H171" s="86">
        <v>3000</v>
      </c>
      <c r="I171" s="86"/>
      <c r="J171" s="87"/>
      <c r="K171" s="57"/>
      <c r="L171" s="86" t="s">
        <v>2131</v>
      </c>
      <c r="M171" s="86">
        <v>98</v>
      </c>
      <c r="N171" s="85"/>
      <c r="O171" s="85"/>
      <c r="P171" s="85"/>
      <c r="Q171" s="85"/>
      <c r="R171" s="85"/>
      <c r="S171" s="85"/>
    </row>
    <row r="172" spans="1:19" ht="31.5">
      <c r="A172" s="83">
        <f>1+A171</f>
        <v>1872</v>
      </c>
      <c r="B172" s="141">
        <v>46209</v>
      </c>
      <c r="C172" s="18" t="s">
        <v>36</v>
      </c>
      <c r="D172" s="21" t="s">
        <v>1476</v>
      </c>
      <c r="E172" s="21" t="s">
        <v>2130</v>
      </c>
      <c r="F172" s="20" t="s">
        <v>16</v>
      </c>
      <c r="G172" s="18" t="str">
        <f>C172</f>
        <v>AIDS</v>
      </c>
      <c r="H172" s="86">
        <v>1800</v>
      </c>
      <c r="I172" s="86"/>
      <c r="J172" s="87"/>
      <c r="K172" s="57"/>
      <c r="L172" s="86" t="s">
        <v>2129</v>
      </c>
      <c r="M172" s="86">
        <v>98</v>
      </c>
      <c r="N172" s="85"/>
      <c r="O172" s="85"/>
      <c r="P172" s="85"/>
      <c r="Q172" s="85"/>
      <c r="R172" s="85"/>
      <c r="S172" s="85"/>
    </row>
    <row r="173" spans="1:19" ht="31.5">
      <c r="A173" s="83">
        <f>1+A172</f>
        <v>1873</v>
      </c>
      <c r="B173" s="141">
        <v>46209</v>
      </c>
      <c r="C173" s="18" t="s">
        <v>36</v>
      </c>
      <c r="D173" s="21" t="s">
        <v>1476</v>
      </c>
      <c r="E173" s="21" t="s">
        <v>2128</v>
      </c>
      <c r="F173" s="20" t="s">
        <v>16</v>
      </c>
      <c r="G173" s="18" t="str">
        <f>C173</f>
        <v>AIDS</v>
      </c>
      <c r="H173" s="86">
        <v>1800</v>
      </c>
      <c r="I173" s="86"/>
      <c r="J173" s="87"/>
      <c r="K173" s="57"/>
      <c r="L173" s="86" t="s">
        <v>2127</v>
      </c>
      <c r="M173" s="86">
        <v>98</v>
      </c>
      <c r="N173" s="85"/>
      <c r="O173" s="85"/>
      <c r="P173" s="85"/>
      <c r="Q173" s="85"/>
      <c r="R173" s="85"/>
      <c r="S173" s="85"/>
    </row>
    <row r="174" spans="1:19" ht="47.25">
      <c r="A174" s="83">
        <f>1+A173</f>
        <v>1874</v>
      </c>
      <c r="B174" s="141">
        <v>46205</v>
      </c>
      <c r="C174" s="18" t="s">
        <v>36</v>
      </c>
      <c r="D174" s="21" t="s">
        <v>1666</v>
      </c>
      <c r="E174" s="21" t="s">
        <v>2126</v>
      </c>
      <c r="F174" s="20" t="s">
        <v>23</v>
      </c>
      <c r="G174" s="18" t="str">
        <f>C174</f>
        <v>AIDS</v>
      </c>
      <c r="H174" s="86">
        <v>6000</v>
      </c>
      <c r="I174" s="86"/>
      <c r="J174" s="87"/>
      <c r="K174" s="57"/>
      <c r="L174" s="86" t="s">
        <v>2125</v>
      </c>
      <c r="M174" s="86">
        <v>98</v>
      </c>
      <c r="N174" s="85"/>
      <c r="O174" s="85"/>
      <c r="P174" s="85"/>
      <c r="Q174" s="85"/>
      <c r="R174" s="85"/>
      <c r="S174" s="85"/>
    </row>
    <row r="175" spans="1:19" ht="47.25">
      <c r="A175" s="83">
        <f>1+A174</f>
        <v>1875</v>
      </c>
      <c r="B175" s="141">
        <v>46205</v>
      </c>
      <c r="C175" s="18" t="s">
        <v>36</v>
      </c>
      <c r="D175" s="21" t="s">
        <v>1666</v>
      </c>
      <c r="E175" s="21" t="s">
        <v>2124</v>
      </c>
      <c r="F175" s="20" t="s">
        <v>187</v>
      </c>
      <c r="G175" s="18" t="str">
        <f>C175</f>
        <v>AIDS</v>
      </c>
      <c r="H175" s="86">
        <v>600</v>
      </c>
      <c r="I175" s="86"/>
      <c r="J175" s="87"/>
      <c r="K175" s="57"/>
      <c r="L175" s="86" t="s">
        <v>2123</v>
      </c>
      <c r="M175" s="86">
        <v>98</v>
      </c>
      <c r="N175" s="85"/>
      <c r="O175" s="85"/>
      <c r="P175" s="85"/>
      <c r="Q175" s="85"/>
      <c r="R175" s="85"/>
      <c r="S175" s="85"/>
    </row>
    <row r="176" spans="1:19" ht="47.25">
      <c r="A176" s="83">
        <f>1+A175</f>
        <v>1876</v>
      </c>
      <c r="B176" s="141">
        <v>46205</v>
      </c>
      <c r="C176" s="18" t="s">
        <v>36</v>
      </c>
      <c r="D176" s="21" t="s">
        <v>1666</v>
      </c>
      <c r="E176" s="21" t="s">
        <v>2122</v>
      </c>
      <c r="F176" s="20" t="s">
        <v>23</v>
      </c>
      <c r="G176" s="18" t="str">
        <f>C176</f>
        <v>AIDS</v>
      </c>
      <c r="H176" s="86">
        <v>1800</v>
      </c>
      <c r="I176" s="86"/>
      <c r="J176" s="87"/>
      <c r="K176" s="57"/>
      <c r="L176" s="86" t="s">
        <v>2121</v>
      </c>
      <c r="M176" s="86">
        <v>98</v>
      </c>
      <c r="N176" s="85"/>
      <c r="O176" s="85"/>
      <c r="P176" s="85"/>
      <c r="Q176" s="85"/>
      <c r="R176" s="85"/>
      <c r="S176" s="85"/>
    </row>
    <row r="177" spans="1:19" ht="31.5">
      <c r="A177" s="83">
        <f>1+A176</f>
        <v>1877</v>
      </c>
      <c r="B177" s="141">
        <v>46205</v>
      </c>
      <c r="C177" s="18" t="s">
        <v>36</v>
      </c>
      <c r="D177" s="21" t="s">
        <v>1666</v>
      </c>
      <c r="E177" s="21" t="s">
        <v>2120</v>
      </c>
      <c r="F177" s="20" t="s">
        <v>187</v>
      </c>
      <c r="G177" s="18" t="str">
        <f>C177</f>
        <v>AIDS</v>
      </c>
      <c r="H177" s="86">
        <v>1800</v>
      </c>
      <c r="I177" s="86"/>
      <c r="J177" s="87"/>
      <c r="K177" s="57"/>
      <c r="L177" s="95">
        <v>46178</v>
      </c>
      <c r="M177" s="86">
        <v>98</v>
      </c>
      <c r="N177" s="85"/>
      <c r="O177" s="85"/>
      <c r="P177" s="85"/>
      <c r="Q177" s="85"/>
      <c r="R177" s="85"/>
      <c r="S177" s="85"/>
    </row>
    <row r="178" spans="1:19" ht="31.5">
      <c r="A178" s="83">
        <f>1+A177</f>
        <v>1878</v>
      </c>
      <c r="B178" s="141">
        <v>46205</v>
      </c>
      <c r="C178" s="18" t="s">
        <v>36</v>
      </c>
      <c r="D178" s="21" t="s">
        <v>1666</v>
      </c>
      <c r="E178" s="21" t="s">
        <v>2119</v>
      </c>
      <c r="F178" s="20" t="s">
        <v>16</v>
      </c>
      <c r="G178" s="18" t="str">
        <f>C178</f>
        <v>AIDS</v>
      </c>
      <c r="H178" s="86">
        <v>1800</v>
      </c>
      <c r="I178" s="86"/>
      <c r="J178" s="87"/>
      <c r="K178" s="57"/>
      <c r="L178" s="86" t="s">
        <v>2118</v>
      </c>
      <c r="M178" s="86">
        <v>98</v>
      </c>
      <c r="N178" s="85"/>
      <c r="O178" s="85"/>
      <c r="P178" s="85"/>
      <c r="Q178" s="85"/>
      <c r="R178" s="85"/>
      <c r="S178" s="85"/>
    </row>
    <row r="179" spans="1:19" ht="31.5">
      <c r="A179" s="83">
        <f>1+A178</f>
        <v>1879</v>
      </c>
      <c r="B179" s="141">
        <v>46204</v>
      </c>
      <c r="C179" s="18" t="s">
        <v>2117</v>
      </c>
      <c r="D179" s="21" t="s">
        <v>918</v>
      </c>
      <c r="E179" s="21" t="s">
        <v>2116</v>
      </c>
      <c r="F179" s="20" t="s">
        <v>324</v>
      </c>
      <c r="G179" s="18" t="str">
        <f>C179</f>
        <v>AIML</v>
      </c>
      <c r="H179" s="86">
        <v>5000</v>
      </c>
      <c r="I179" s="86"/>
      <c r="J179" s="87"/>
      <c r="K179" s="57"/>
      <c r="L179" s="86" t="s">
        <v>2115</v>
      </c>
      <c r="M179" s="86">
        <v>98</v>
      </c>
      <c r="N179" s="85"/>
      <c r="O179" s="85"/>
      <c r="P179" s="85"/>
      <c r="Q179" s="85"/>
      <c r="R179" s="85"/>
      <c r="S179" s="85"/>
    </row>
    <row r="180" spans="1:19" ht="31.5">
      <c r="A180" s="83">
        <f>1+A179</f>
        <v>1880</v>
      </c>
      <c r="B180" s="141">
        <v>46209</v>
      </c>
      <c r="C180" s="18" t="s">
        <v>6</v>
      </c>
      <c r="D180" s="21" t="s">
        <v>369</v>
      </c>
      <c r="E180" s="21" t="s">
        <v>2114</v>
      </c>
      <c r="F180" s="20" t="s">
        <v>16</v>
      </c>
      <c r="G180" s="18" t="str">
        <f>C180</f>
        <v>CSE</v>
      </c>
      <c r="H180" s="86">
        <v>1800</v>
      </c>
      <c r="I180" s="86"/>
      <c r="J180" s="87"/>
      <c r="K180" s="57"/>
      <c r="L180" s="86" t="s">
        <v>2113</v>
      </c>
      <c r="M180" s="86">
        <v>98</v>
      </c>
      <c r="N180" s="85"/>
      <c r="O180" s="85"/>
      <c r="P180" s="85"/>
      <c r="Q180" s="85"/>
      <c r="R180" s="85"/>
      <c r="S180" s="85"/>
    </row>
    <row r="181" spans="1:19" ht="31.5">
      <c r="A181" s="83">
        <f>1+A180</f>
        <v>1881</v>
      </c>
      <c r="B181" s="141">
        <v>46175</v>
      </c>
      <c r="C181" s="18" t="s">
        <v>4</v>
      </c>
      <c r="D181" s="21" t="s">
        <v>2112</v>
      </c>
      <c r="E181" s="21" t="s">
        <v>2111</v>
      </c>
      <c r="F181" s="20" t="s">
        <v>23</v>
      </c>
      <c r="G181" s="18" t="str">
        <f>C181</f>
        <v>EEE</v>
      </c>
      <c r="H181" s="86">
        <v>6000</v>
      </c>
      <c r="I181" s="86"/>
      <c r="J181" s="87"/>
      <c r="K181" s="57"/>
      <c r="L181" s="86" t="s">
        <v>1639</v>
      </c>
      <c r="M181" s="86">
        <v>98</v>
      </c>
      <c r="N181" s="85"/>
      <c r="O181" s="85"/>
      <c r="P181" s="85"/>
      <c r="Q181" s="85"/>
      <c r="R181" s="85"/>
      <c r="S181" s="85"/>
    </row>
    <row r="182" spans="1:19" ht="47.25">
      <c r="A182" s="83">
        <f>1+A181</f>
        <v>1882</v>
      </c>
      <c r="B182" s="141">
        <v>46204</v>
      </c>
      <c r="C182" s="18" t="s">
        <v>2</v>
      </c>
      <c r="D182" s="21" t="s">
        <v>48</v>
      </c>
      <c r="E182" s="21" t="s">
        <v>2110</v>
      </c>
      <c r="F182" s="20" t="s">
        <v>23</v>
      </c>
      <c r="G182" s="18" t="str">
        <f>C182</f>
        <v>Mech</v>
      </c>
      <c r="H182" s="86">
        <v>10000</v>
      </c>
      <c r="I182" s="86"/>
      <c r="J182" s="87"/>
      <c r="K182" s="57"/>
      <c r="L182" s="95">
        <v>46029</v>
      </c>
      <c r="M182" s="86">
        <v>98</v>
      </c>
      <c r="N182" s="85"/>
      <c r="O182" s="85"/>
      <c r="P182" s="85"/>
      <c r="Q182" s="85"/>
      <c r="R182" s="85"/>
      <c r="S182" s="85"/>
    </row>
    <row r="183" spans="1:19" ht="31.5">
      <c r="A183" s="83">
        <v>1871</v>
      </c>
      <c r="B183" s="141">
        <v>46202</v>
      </c>
      <c r="C183" s="18" t="s">
        <v>1</v>
      </c>
      <c r="D183" s="21" t="s">
        <v>722</v>
      </c>
      <c r="E183" s="21" t="s">
        <v>2109</v>
      </c>
      <c r="F183" s="20" t="s">
        <v>324</v>
      </c>
      <c r="G183" s="18" t="str">
        <f>C183</f>
        <v>S&amp;H</v>
      </c>
      <c r="H183" s="86">
        <v>3000</v>
      </c>
      <c r="I183" s="86"/>
      <c r="J183" s="87"/>
      <c r="K183" s="57"/>
      <c r="L183" s="86" t="s">
        <v>2108</v>
      </c>
      <c r="M183" s="86">
        <v>98</v>
      </c>
      <c r="N183" s="85"/>
      <c r="O183" s="85"/>
      <c r="P183" s="85"/>
      <c r="Q183" s="85"/>
      <c r="R183" s="85"/>
      <c r="S183" s="85"/>
    </row>
    <row r="184" spans="1:19" ht="15.75">
      <c r="A184" s="83">
        <f>1+A183</f>
        <v>1872</v>
      </c>
      <c r="B184" s="141">
        <v>46202</v>
      </c>
      <c r="C184" s="18" t="s">
        <v>1</v>
      </c>
      <c r="D184" s="21" t="s">
        <v>722</v>
      </c>
      <c r="E184" s="21" t="s">
        <v>1455</v>
      </c>
      <c r="F184" s="20" t="s">
        <v>193</v>
      </c>
      <c r="G184" s="18" t="str">
        <f>C184</f>
        <v>S&amp;H</v>
      </c>
      <c r="H184" s="86">
        <v>4000</v>
      </c>
      <c r="I184" s="86"/>
      <c r="J184" s="87"/>
      <c r="K184" s="57"/>
      <c r="L184" s="86" t="s">
        <v>2107</v>
      </c>
      <c r="M184" s="86">
        <v>98</v>
      </c>
      <c r="N184" s="85"/>
      <c r="O184" s="85"/>
      <c r="P184" s="85"/>
      <c r="Q184" s="85"/>
      <c r="R184" s="85"/>
      <c r="S184" s="85"/>
    </row>
    <row r="185" spans="1:19" ht="47.25">
      <c r="A185" s="83">
        <f>1+A184</f>
        <v>1873</v>
      </c>
      <c r="B185" s="141">
        <v>46203</v>
      </c>
      <c r="C185" s="18" t="s">
        <v>1</v>
      </c>
      <c r="D185" s="21" t="s">
        <v>1526</v>
      </c>
      <c r="E185" s="21" t="s">
        <v>2106</v>
      </c>
      <c r="F185" s="20" t="s">
        <v>23</v>
      </c>
      <c r="G185" s="18" t="str">
        <f>C185</f>
        <v>S&amp;H</v>
      </c>
      <c r="H185" s="86">
        <v>6000</v>
      </c>
      <c r="I185" s="86"/>
      <c r="J185" s="87"/>
      <c r="K185" s="57"/>
      <c r="L185" s="95">
        <v>46301</v>
      </c>
      <c r="M185" s="86">
        <v>98</v>
      </c>
      <c r="N185" s="85"/>
      <c r="O185" s="85"/>
      <c r="P185" s="85"/>
      <c r="Q185" s="85"/>
      <c r="R185" s="85"/>
      <c r="S185" s="85"/>
    </row>
    <row r="186" spans="1:19" ht="47.25">
      <c r="A186" s="83">
        <f>1+A185</f>
        <v>1874</v>
      </c>
      <c r="B186" s="141">
        <v>46203</v>
      </c>
      <c r="C186" s="18" t="s">
        <v>1</v>
      </c>
      <c r="D186" s="21" t="s">
        <v>1526</v>
      </c>
      <c r="E186" s="21" t="s">
        <v>2105</v>
      </c>
      <c r="F186" s="20" t="s">
        <v>324</v>
      </c>
      <c r="G186" s="18" t="str">
        <f>C186</f>
        <v>S&amp;H</v>
      </c>
      <c r="H186" s="86">
        <v>3000</v>
      </c>
      <c r="I186" s="86"/>
      <c r="J186" s="87"/>
      <c r="K186" s="57"/>
      <c r="L186" s="95">
        <v>46118</v>
      </c>
      <c r="M186" s="86">
        <v>98</v>
      </c>
      <c r="N186" s="85"/>
      <c r="O186" s="85"/>
      <c r="P186" s="85"/>
      <c r="Q186" s="85"/>
      <c r="R186" s="85"/>
      <c r="S186" s="85"/>
    </row>
    <row r="187" spans="1:19" ht="31.5">
      <c r="A187" s="83">
        <f>1+A186</f>
        <v>1875</v>
      </c>
      <c r="B187" s="141">
        <v>46203</v>
      </c>
      <c r="C187" s="18" t="s">
        <v>1</v>
      </c>
      <c r="D187" s="21" t="s">
        <v>1526</v>
      </c>
      <c r="E187" s="21" t="s">
        <v>2104</v>
      </c>
      <c r="F187" s="20" t="s">
        <v>324</v>
      </c>
      <c r="G187" s="18" t="str">
        <f>C187</f>
        <v>S&amp;H</v>
      </c>
      <c r="H187" s="86">
        <v>3000</v>
      </c>
      <c r="I187" s="86"/>
      <c r="J187" s="87"/>
      <c r="K187" s="57"/>
      <c r="L187" s="95">
        <v>46028</v>
      </c>
      <c r="M187" s="86">
        <v>98</v>
      </c>
      <c r="N187" s="85"/>
      <c r="O187" s="85"/>
      <c r="P187" s="85"/>
      <c r="Q187" s="85"/>
      <c r="R187" s="85"/>
      <c r="S187" s="85"/>
    </row>
    <row r="188" spans="1:19" ht="47.25">
      <c r="A188" s="83">
        <f>1+A187</f>
        <v>1876</v>
      </c>
      <c r="B188" s="141">
        <v>46216</v>
      </c>
      <c r="C188" s="18" t="s">
        <v>1</v>
      </c>
      <c r="D188" s="21" t="s">
        <v>770</v>
      </c>
      <c r="E188" s="21" t="s">
        <v>2103</v>
      </c>
      <c r="F188" s="20" t="s">
        <v>16</v>
      </c>
      <c r="G188" s="18" t="str">
        <f>C188</f>
        <v>S&amp;H</v>
      </c>
      <c r="H188" s="86">
        <v>1800</v>
      </c>
      <c r="I188" s="86"/>
      <c r="J188" s="87"/>
      <c r="K188" s="57"/>
      <c r="L188" s="86" t="s">
        <v>2101</v>
      </c>
      <c r="M188" s="86">
        <v>98</v>
      </c>
      <c r="N188" s="85"/>
      <c r="O188" s="85"/>
      <c r="P188" s="85"/>
      <c r="Q188" s="85"/>
      <c r="R188" s="85"/>
      <c r="S188" s="85"/>
    </row>
    <row r="189" spans="1:19" ht="31.5">
      <c r="A189" s="83">
        <f>1+A188</f>
        <v>1877</v>
      </c>
      <c r="B189" s="141">
        <v>46216</v>
      </c>
      <c r="C189" s="18" t="s">
        <v>1</v>
      </c>
      <c r="D189" s="21" t="s">
        <v>770</v>
      </c>
      <c r="E189" s="21" t="s">
        <v>2102</v>
      </c>
      <c r="F189" s="20" t="s">
        <v>16</v>
      </c>
      <c r="G189" s="18" t="str">
        <f>C189</f>
        <v>S&amp;H</v>
      </c>
      <c r="H189" s="86">
        <v>1800</v>
      </c>
      <c r="I189" s="86"/>
      <c r="J189" s="87"/>
      <c r="K189" s="57"/>
      <c r="L189" s="86" t="s">
        <v>2101</v>
      </c>
      <c r="M189" s="86">
        <v>98</v>
      </c>
      <c r="N189" s="85"/>
      <c r="O189" s="85"/>
      <c r="P189" s="85"/>
      <c r="Q189" s="85"/>
      <c r="R189" s="85"/>
      <c r="S189" s="85"/>
    </row>
    <row r="190" spans="1:19" ht="31.5">
      <c r="A190" s="83">
        <f>1+A189</f>
        <v>1878</v>
      </c>
      <c r="B190" s="141">
        <v>46218</v>
      </c>
      <c r="C190" s="18" t="s">
        <v>1</v>
      </c>
      <c r="D190" s="21" t="s">
        <v>1744</v>
      </c>
      <c r="E190" s="21" t="s">
        <v>2100</v>
      </c>
      <c r="F190" s="20" t="s">
        <v>324</v>
      </c>
      <c r="G190" s="18" t="str">
        <f>C190</f>
        <v>S&amp;H</v>
      </c>
      <c r="H190" s="86">
        <v>3000</v>
      </c>
      <c r="I190" s="86"/>
      <c r="J190" s="87"/>
      <c r="K190" s="57"/>
      <c r="L190" s="86" t="s">
        <v>2099</v>
      </c>
      <c r="M190" s="86">
        <v>98</v>
      </c>
      <c r="N190" s="85"/>
      <c r="O190" s="85"/>
      <c r="P190" s="85"/>
      <c r="Q190" s="85"/>
      <c r="R190" s="85"/>
      <c r="S190" s="85"/>
    </row>
    <row r="191" spans="1:19" ht="31.5">
      <c r="A191" s="83">
        <f>1+A190</f>
        <v>1879</v>
      </c>
      <c r="B191" s="141">
        <v>46210</v>
      </c>
      <c r="C191" s="18" t="s">
        <v>6</v>
      </c>
      <c r="D191" s="21" t="s">
        <v>2097</v>
      </c>
      <c r="E191" s="21" t="s">
        <v>2098</v>
      </c>
      <c r="F191" s="20" t="s">
        <v>23</v>
      </c>
      <c r="G191" s="18" t="str">
        <f>C191</f>
        <v>CSE</v>
      </c>
      <c r="H191" s="86">
        <v>6000</v>
      </c>
      <c r="I191" s="86"/>
      <c r="J191" s="87"/>
      <c r="K191" s="57"/>
      <c r="L191" s="95">
        <v>46088</v>
      </c>
      <c r="M191" s="86">
        <v>98</v>
      </c>
      <c r="N191" s="85"/>
      <c r="O191" s="85"/>
      <c r="P191" s="85"/>
      <c r="Q191" s="85"/>
      <c r="R191" s="85"/>
      <c r="S191" s="85"/>
    </row>
    <row r="192" spans="1:19" ht="31.5">
      <c r="A192" s="83">
        <f>1+A191</f>
        <v>1880</v>
      </c>
      <c r="B192" s="141">
        <v>46210</v>
      </c>
      <c r="C192" s="18" t="s">
        <v>6</v>
      </c>
      <c r="D192" s="21" t="s">
        <v>2097</v>
      </c>
      <c r="E192" s="21" t="s">
        <v>2096</v>
      </c>
      <c r="F192" s="20" t="s">
        <v>187</v>
      </c>
      <c r="G192" s="18" t="str">
        <f>C192</f>
        <v>CSE</v>
      </c>
      <c r="H192" s="86">
        <v>3000</v>
      </c>
      <c r="I192" s="86"/>
      <c r="J192" s="87"/>
      <c r="K192" s="57"/>
      <c r="L192" s="95">
        <v>46023</v>
      </c>
      <c r="M192" s="86">
        <v>98</v>
      </c>
      <c r="N192" s="85"/>
      <c r="O192" s="85"/>
      <c r="P192" s="85"/>
      <c r="Q192" s="85"/>
      <c r="R192" s="85"/>
      <c r="S192" s="85"/>
    </row>
    <row r="193" spans="1:19" ht="31.5">
      <c r="A193" s="83">
        <f>1+A192</f>
        <v>1881</v>
      </c>
      <c r="B193" s="141">
        <v>46147</v>
      </c>
      <c r="C193" s="18" t="s">
        <v>8</v>
      </c>
      <c r="D193" s="21" t="s">
        <v>440</v>
      </c>
      <c r="E193" s="21" t="s">
        <v>2095</v>
      </c>
      <c r="F193" s="20" t="s">
        <v>16</v>
      </c>
      <c r="G193" s="18" t="str">
        <f>C193</f>
        <v>CCE</v>
      </c>
      <c r="H193" s="86">
        <v>3000</v>
      </c>
      <c r="I193" s="86"/>
      <c r="J193" s="87"/>
      <c r="K193" s="57"/>
      <c r="L193" s="95">
        <v>46147</v>
      </c>
      <c r="M193" s="86">
        <v>98</v>
      </c>
      <c r="N193" s="85"/>
      <c r="O193" s="85"/>
      <c r="P193" s="85"/>
      <c r="Q193" s="85"/>
      <c r="R193" s="85"/>
      <c r="S193" s="85"/>
    </row>
    <row r="194" spans="1:19" ht="15.75">
      <c r="A194" s="46"/>
      <c r="B194" s="139"/>
      <c r="C194" s="46"/>
      <c r="D194" s="46"/>
      <c r="E194" s="46" t="s">
        <v>11</v>
      </c>
      <c r="F194" s="42"/>
      <c r="G194" s="90"/>
      <c r="H194" s="89">
        <f>SUM(H170:H193)</f>
        <v>82000</v>
      </c>
      <c r="I194" s="42" t="s">
        <v>718</v>
      </c>
      <c r="J194" s="42"/>
      <c r="K194" s="45">
        <f>H194</f>
        <v>82000</v>
      </c>
      <c r="L194" s="42"/>
      <c r="M194" s="46">
        <v>98</v>
      </c>
      <c r="N194" s="88"/>
      <c r="O194" s="88"/>
      <c r="P194" s="88"/>
      <c r="Q194" s="88"/>
      <c r="R194" s="88"/>
      <c r="S194" s="88"/>
    </row>
    <row r="195" spans="1:19" ht="15.75">
      <c r="A195" s="83">
        <f>1+A193</f>
        <v>1882</v>
      </c>
      <c r="B195" s="141"/>
      <c r="C195" s="18"/>
      <c r="D195" s="21"/>
      <c r="E195" s="21"/>
      <c r="F195" s="20"/>
      <c r="G195" s="18"/>
      <c r="H195" s="86"/>
      <c r="I195" s="86"/>
      <c r="J195" s="87"/>
      <c r="K195" s="57"/>
      <c r="L195" s="86"/>
      <c r="M195" s="86"/>
      <c r="N195" s="85"/>
      <c r="O195" s="85"/>
      <c r="P195" s="85"/>
      <c r="Q195" s="85"/>
      <c r="R195" s="85"/>
      <c r="S195" s="85"/>
    </row>
    <row r="196" spans="1:19" ht="15.75">
      <c r="A196" s="83">
        <f>1+A195</f>
        <v>1883</v>
      </c>
      <c r="B196" s="141"/>
      <c r="C196" s="18"/>
      <c r="D196" s="21"/>
      <c r="E196" s="21"/>
      <c r="F196" s="20"/>
      <c r="G196" s="18"/>
      <c r="H196" s="86"/>
      <c r="I196" s="86"/>
      <c r="J196" s="87"/>
      <c r="K196" s="57"/>
      <c r="L196" s="86"/>
      <c r="M196" s="86"/>
      <c r="N196" s="85"/>
      <c r="O196" s="85"/>
      <c r="P196" s="85"/>
      <c r="Q196" s="85"/>
      <c r="R196" s="85"/>
      <c r="S196" s="85"/>
    </row>
    <row r="197" spans="1:19" ht="15.75">
      <c r="A197" s="83">
        <f>1+A196</f>
        <v>1884</v>
      </c>
      <c r="B197" s="141"/>
      <c r="C197" s="18"/>
      <c r="D197" s="21"/>
      <c r="E197" s="21"/>
      <c r="F197" s="20"/>
      <c r="G197" s="18"/>
      <c r="H197" s="86"/>
      <c r="I197" s="86"/>
      <c r="J197" s="87"/>
      <c r="K197" s="57"/>
      <c r="L197" s="86"/>
      <c r="M197" s="86"/>
      <c r="N197" s="85"/>
      <c r="O197" s="85"/>
      <c r="P197" s="85"/>
      <c r="Q197" s="85"/>
      <c r="R197" s="85"/>
      <c r="S197" s="85"/>
    </row>
    <row r="198" spans="1:19" ht="15.75">
      <c r="A198" s="83">
        <f>1+A197</f>
        <v>1885</v>
      </c>
      <c r="B198" s="141"/>
      <c r="C198" s="18"/>
      <c r="D198" s="21"/>
      <c r="E198" s="21"/>
      <c r="F198" s="20"/>
      <c r="G198" s="18"/>
      <c r="H198" s="86"/>
      <c r="I198" s="86"/>
      <c r="J198" s="87"/>
      <c r="K198" s="57"/>
      <c r="L198" s="86"/>
      <c r="M198" s="86"/>
      <c r="N198" s="85"/>
      <c r="O198" s="85"/>
      <c r="P198" s="85"/>
      <c r="Q198" s="85"/>
      <c r="R198" s="85"/>
      <c r="S198" s="85"/>
    </row>
    <row r="199" spans="1:19" ht="15.75">
      <c r="A199" s="83"/>
      <c r="B199" s="141"/>
      <c r="C199" s="18"/>
      <c r="D199" s="21"/>
      <c r="E199" s="21"/>
      <c r="F199" s="20"/>
      <c r="G199" s="18"/>
      <c r="H199" s="86"/>
      <c r="I199" s="86"/>
      <c r="J199" s="87"/>
      <c r="K199" s="57"/>
      <c r="L199" s="86"/>
      <c r="M199" s="86"/>
      <c r="N199" s="85"/>
      <c r="O199" s="85"/>
      <c r="P199" s="85"/>
      <c r="Q199" s="85"/>
      <c r="R199" s="85"/>
      <c r="S199" s="85"/>
    </row>
    <row r="200" spans="1:19" ht="15.75">
      <c r="A200" s="83"/>
      <c r="B200" s="141"/>
      <c r="C200" s="18"/>
      <c r="D200" s="21"/>
      <c r="E200" s="21"/>
      <c r="F200" s="20"/>
      <c r="G200" s="18"/>
      <c r="H200" s="86"/>
      <c r="I200" s="86"/>
      <c r="J200" s="87"/>
      <c r="K200" s="57"/>
      <c r="L200" s="86"/>
      <c r="M200" s="86"/>
      <c r="N200" s="85"/>
      <c r="O200" s="85"/>
      <c r="P200" s="85"/>
      <c r="Q200" s="85"/>
      <c r="R200" s="85"/>
      <c r="S200" s="85"/>
    </row>
    <row r="201" spans="1:19" ht="15.75">
      <c r="A201" s="83"/>
      <c r="B201" s="141"/>
      <c r="C201" s="18"/>
      <c r="D201" s="21"/>
      <c r="E201" s="21"/>
      <c r="F201" s="20"/>
      <c r="G201" s="18"/>
      <c r="H201" s="86"/>
      <c r="I201" s="86"/>
      <c r="J201" s="87"/>
      <c r="K201" s="57"/>
      <c r="L201" s="86"/>
      <c r="M201" s="86"/>
      <c r="N201" s="85"/>
      <c r="O201" s="85"/>
      <c r="P201" s="85"/>
      <c r="Q201" s="85"/>
      <c r="R201" s="85"/>
      <c r="S201" s="85"/>
    </row>
    <row r="202" spans="1:19" ht="15.75">
      <c r="A202" s="83"/>
      <c r="B202" s="141"/>
      <c r="C202" s="18"/>
      <c r="D202" s="21"/>
      <c r="E202" s="21"/>
      <c r="F202" s="20"/>
      <c r="G202" s="18"/>
      <c r="H202" s="86"/>
      <c r="I202" s="86"/>
      <c r="J202" s="87"/>
      <c r="K202" s="57"/>
      <c r="L202" s="86"/>
      <c r="M202" s="86"/>
      <c r="N202" s="85"/>
      <c r="O202" s="85"/>
      <c r="P202" s="85"/>
      <c r="Q202" s="85"/>
      <c r="R202" s="85"/>
      <c r="S202" s="85"/>
    </row>
    <row r="203" spans="1:19" ht="15.75">
      <c r="A203" s="83"/>
      <c r="B203" s="141"/>
      <c r="C203" s="18"/>
      <c r="D203" s="21"/>
      <c r="E203" s="21"/>
      <c r="F203" s="20"/>
      <c r="G203" s="18"/>
      <c r="H203" s="86"/>
      <c r="I203" s="86"/>
      <c r="J203" s="87"/>
      <c r="K203" s="57"/>
      <c r="L203" s="86"/>
      <c r="M203" s="86"/>
      <c r="N203" s="85"/>
      <c r="O203" s="85"/>
      <c r="P203" s="85"/>
      <c r="Q203" s="85"/>
      <c r="R203" s="85"/>
      <c r="S203" s="85"/>
    </row>
    <row r="204" spans="1:19" ht="15.75">
      <c r="A204" s="83"/>
      <c r="B204" s="141">
        <v>46202</v>
      </c>
      <c r="C204" s="18" t="s">
        <v>758</v>
      </c>
      <c r="D204" s="21" t="s">
        <v>1927</v>
      </c>
      <c r="E204" s="21"/>
      <c r="F204" s="20" t="s">
        <v>23</v>
      </c>
      <c r="G204" s="18" t="str">
        <f>C204</f>
        <v>AI-ML</v>
      </c>
      <c r="H204" s="86">
        <v>6000</v>
      </c>
      <c r="I204" s="86"/>
      <c r="J204" s="87"/>
      <c r="K204" s="57"/>
      <c r="L204" s="86" t="s">
        <v>2094</v>
      </c>
      <c r="M204" s="86">
        <v>98</v>
      </c>
      <c r="N204" s="85"/>
      <c r="O204" s="85"/>
      <c r="P204" s="85"/>
      <c r="Q204" s="85"/>
      <c r="R204" s="85"/>
      <c r="S204" s="85"/>
    </row>
    <row r="205" spans="1:19" ht="15.75">
      <c r="A205" s="83"/>
      <c r="B205" s="141">
        <v>46202</v>
      </c>
      <c r="C205" s="18" t="s">
        <v>758</v>
      </c>
      <c r="D205" s="21" t="s">
        <v>1927</v>
      </c>
      <c r="E205" s="21"/>
      <c r="F205" s="20" t="s">
        <v>16</v>
      </c>
      <c r="G205" s="18" t="str">
        <f>C205</f>
        <v>AI-ML</v>
      </c>
      <c r="H205" s="86">
        <v>1500</v>
      </c>
      <c r="I205" s="86"/>
      <c r="J205" s="87"/>
      <c r="K205" s="57"/>
      <c r="L205" s="86">
        <v>46239</v>
      </c>
      <c r="M205" s="86">
        <v>98</v>
      </c>
      <c r="N205" s="85"/>
      <c r="O205" s="85"/>
      <c r="P205" s="85"/>
      <c r="Q205" s="85"/>
      <c r="R205" s="85"/>
      <c r="S205" s="85"/>
    </row>
    <row r="206" spans="1:19" ht="15.75">
      <c r="A206" s="83"/>
      <c r="B206" s="141">
        <v>46202</v>
      </c>
      <c r="C206" s="18" t="s">
        <v>758</v>
      </c>
      <c r="D206" s="21" t="s">
        <v>1927</v>
      </c>
      <c r="E206" s="21"/>
      <c r="F206" s="20" t="s">
        <v>16</v>
      </c>
      <c r="G206" s="18" t="str">
        <f>C206</f>
        <v>AI-ML</v>
      </c>
      <c r="H206" s="86">
        <v>900</v>
      </c>
      <c r="I206" s="86"/>
      <c r="J206" s="87"/>
      <c r="K206" s="57"/>
      <c r="L206" s="86" t="s">
        <v>2093</v>
      </c>
      <c r="M206" s="86">
        <v>98</v>
      </c>
      <c r="N206" s="85"/>
      <c r="O206" s="85"/>
      <c r="P206" s="85"/>
      <c r="Q206" s="85"/>
      <c r="R206" s="85"/>
      <c r="S206" s="85"/>
    </row>
    <row r="207" spans="1:19" ht="15.75">
      <c r="A207" s="83"/>
      <c r="B207" s="141"/>
      <c r="C207" s="18"/>
      <c r="D207" s="21"/>
      <c r="E207" s="21"/>
      <c r="F207" s="20"/>
      <c r="G207" s="18"/>
      <c r="H207" s="86"/>
      <c r="I207" s="86"/>
      <c r="J207" s="87"/>
      <c r="K207" s="57"/>
      <c r="L207" s="86"/>
      <c r="M207" s="86"/>
      <c r="N207" s="85"/>
      <c r="O207" s="85"/>
      <c r="P207" s="85"/>
      <c r="Q207" s="85"/>
      <c r="R207" s="85"/>
      <c r="S207" s="85"/>
    </row>
    <row r="208" spans="1:19" ht="15.75">
      <c r="A208" s="83"/>
      <c r="B208" s="141"/>
      <c r="C208" s="18"/>
      <c r="D208" s="21"/>
      <c r="E208" s="21"/>
      <c r="F208" s="20"/>
      <c r="G208" s="18">
        <f>C208</f>
        <v>0</v>
      </c>
      <c r="H208" s="86"/>
      <c r="I208" s="86"/>
      <c r="J208" s="87"/>
      <c r="K208" s="57"/>
      <c r="L208" s="86"/>
      <c r="M208" s="86"/>
      <c r="N208" s="85"/>
      <c r="O208" s="85"/>
      <c r="P208" s="85"/>
      <c r="Q208" s="85"/>
      <c r="R208" s="85"/>
      <c r="S208" s="85"/>
    </row>
    <row r="209" spans="1:19" ht="15.75">
      <c r="A209" s="83"/>
      <c r="B209" s="141"/>
      <c r="C209" s="18"/>
      <c r="D209" s="21"/>
      <c r="E209" s="21"/>
      <c r="F209" s="20"/>
      <c r="G209" s="18">
        <f>C209</f>
        <v>0</v>
      </c>
      <c r="H209" s="86"/>
      <c r="I209" s="86"/>
      <c r="J209" s="87"/>
      <c r="K209" s="57"/>
      <c r="L209" s="86"/>
      <c r="M209" s="86"/>
      <c r="N209" s="85"/>
      <c r="O209" s="85"/>
      <c r="P209" s="85"/>
      <c r="Q209" s="85"/>
      <c r="R209" s="85"/>
      <c r="S209" s="85"/>
    </row>
    <row r="210" spans="1:19" ht="15.75">
      <c r="A210" s="83"/>
      <c r="B210" s="141"/>
      <c r="C210" s="18"/>
      <c r="D210" s="21"/>
      <c r="E210" s="21"/>
      <c r="F210" s="20"/>
      <c r="G210" s="18">
        <f>C210</f>
        <v>0</v>
      </c>
      <c r="H210" s="86"/>
      <c r="I210" s="86"/>
      <c r="J210" s="87"/>
      <c r="K210" s="57"/>
      <c r="L210" s="86"/>
      <c r="M210" s="86"/>
      <c r="N210" s="85"/>
      <c r="O210" s="85"/>
      <c r="P210" s="85"/>
      <c r="Q210" s="85"/>
      <c r="R210" s="85"/>
      <c r="S210" s="85"/>
    </row>
    <row r="211" spans="1:19" ht="15.75">
      <c r="A211" s="83"/>
      <c r="B211" s="141"/>
      <c r="C211" s="18"/>
      <c r="D211" s="21"/>
      <c r="E211" s="21"/>
      <c r="F211" s="20"/>
      <c r="G211" s="18">
        <f>C211</f>
        <v>0</v>
      </c>
      <c r="H211" s="86"/>
      <c r="I211" s="86"/>
      <c r="J211" s="87"/>
      <c r="K211" s="57"/>
      <c r="L211" s="86"/>
      <c r="M211" s="86"/>
      <c r="N211" s="85"/>
      <c r="O211" s="85"/>
      <c r="P211" s="85"/>
      <c r="Q211" s="85"/>
      <c r="R211" s="85"/>
      <c r="S211" s="85"/>
    </row>
    <row r="212" spans="1:19" ht="15.75">
      <c r="A212" s="83"/>
      <c r="B212" s="141"/>
      <c r="C212" s="18"/>
      <c r="D212" s="21"/>
      <c r="E212" s="21"/>
      <c r="F212" s="20"/>
      <c r="G212" s="18">
        <f>C212</f>
        <v>0</v>
      </c>
      <c r="H212" s="86"/>
      <c r="I212" s="86"/>
      <c r="J212" s="87"/>
      <c r="K212" s="57"/>
      <c r="L212" s="86"/>
      <c r="M212" s="86"/>
      <c r="N212" s="85"/>
      <c r="O212" s="85"/>
      <c r="P212" s="85"/>
      <c r="Q212" s="85"/>
      <c r="R212" s="85"/>
      <c r="S212" s="85"/>
    </row>
    <row r="213" spans="1:19" ht="15.75">
      <c r="A213" s="83"/>
      <c r="B213" s="141"/>
      <c r="C213" s="18"/>
      <c r="D213" s="21"/>
      <c r="E213" s="21"/>
      <c r="F213" s="20"/>
      <c r="G213" s="18">
        <f>C213</f>
        <v>0</v>
      </c>
      <c r="H213" s="86"/>
      <c r="I213" s="86"/>
      <c r="J213" s="87"/>
      <c r="K213" s="57"/>
      <c r="L213" s="86"/>
      <c r="M213" s="86"/>
      <c r="N213" s="85"/>
      <c r="O213" s="85"/>
      <c r="P213" s="85"/>
      <c r="Q213" s="85"/>
      <c r="R213" s="85"/>
      <c r="S213" s="85"/>
    </row>
    <row r="214" spans="1:19" ht="15.75">
      <c r="A214" s="83"/>
      <c r="B214" s="141"/>
      <c r="C214" s="18"/>
      <c r="D214" s="21"/>
      <c r="E214" s="21"/>
      <c r="F214" s="20"/>
      <c r="G214" s="18">
        <f>C214</f>
        <v>0</v>
      </c>
      <c r="H214" s="86"/>
      <c r="I214" s="86"/>
      <c r="J214" s="87"/>
      <c r="K214" s="57"/>
      <c r="L214" s="86"/>
      <c r="M214" s="86"/>
      <c r="N214" s="85"/>
      <c r="O214" s="85"/>
      <c r="P214" s="85"/>
      <c r="Q214" s="85"/>
      <c r="R214" s="85"/>
      <c r="S214" s="85"/>
    </row>
    <row r="215" spans="1:19" ht="15.75">
      <c r="A215" s="83"/>
      <c r="B215" s="141"/>
      <c r="C215" s="18"/>
      <c r="D215" s="21"/>
      <c r="E215" s="21"/>
      <c r="F215" s="20"/>
      <c r="G215" s="18">
        <f>C215</f>
        <v>0</v>
      </c>
      <c r="H215" s="86"/>
      <c r="I215" s="86"/>
      <c r="J215" s="87"/>
      <c r="K215" s="57"/>
      <c r="L215" s="86"/>
      <c r="M215" s="86"/>
      <c r="N215" s="85"/>
      <c r="O215" s="85"/>
      <c r="P215" s="85"/>
      <c r="Q215" s="85"/>
      <c r="R215" s="85"/>
      <c r="S215" s="85"/>
    </row>
    <row r="216" spans="1:19" ht="15.75">
      <c r="A216" s="83"/>
      <c r="B216" s="141"/>
      <c r="C216" s="18"/>
      <c r="D216" s="21"/>
      <c r="E216" s="21"/>
      <c r="F216" s="20"/>
      <c r="G216" s="18">
        <f>C216</f>
        <v>0</v>
      </c>
      <c r="H216" s="86"/>
      <c r="I216" s="86"/>
      <c r="J216" s="87"/>
      <c r="K216" s="57"/>
      <c r="L216" s="86"/>
      <c r="M216" s="86"/>
      <c r="N216" s="85"/>
      <c r="O216" s="85"/>
      <c r="P216" s="85"/>
      <c r="Q216" s="85"/>
      <c r="R216" s="85"/>
      <c r="S216" s="85"/>
    </row>
    <row r="217" spans="1:19" ht="15.75">
      <c r="A217" s="83"/>
      <c r="B217" s="177"/>
      <c r="C217" s="18"/>
      <c r="D217" s="21"/>
      <c r="E217" s="21"/>
      <c r="F217" s="20"/>
      <c r="G217" s="18">
        <f>C217</f>
        <v>0</v>
      </c>
      <c r="H217" s="86"/>
      <c r="I217" s="86"/>
      <c r="J217" s="87"/>
      <c r="K217" s="57"/>
      <c r="L217" s="95"/>
      <c r="M217" s="86"/>
      <c r="N217" s="85"/>
      <c r="O217" s="85"/>
      <c r="P217" s="85"/>
      <c r="Q217" s="85"/>
      <c r="R217" s="85"/>
      <c r="S217" s="85"/>
    </row>
    <row r="218" spans="1:19" ht="15.75">
      <c r="A218" s="83"/>
      <c r="B218" s="177"/>
      <c r="C218" s="18"/>
      <c r="D218" s="21"/>
      <c r="E218" s="21"/>
      <c r="F218" s="20"/>
      <c r="G218" s="18">
        <f>C218</f>
        <v>0</v>
      </c>
      <c r="H218" s="86"/>
      <c r="I218" s="86"/>
      <c r="J218" s="87"/>
      <c r="K218" s="57"/>
      <c r="L218" s="95"/>
      <c r="M218" s="86"/>
      <c r="N218" s="85"/>
      <c r="O218" s="85"/>
      <c r="P218" s="85"/>
      <c r="Q218" s="85"/>
      <c r="R218" s="85"/>
      <c r="S218" s="85"/>
    </row>
    <row r="219" spans="1:19" ht="15.75">
      <c r="A219" s="83"/>
      <c r="B219" s="177"/>
      <c r="C219" s="18"/>
      <c r="D219" s="21"/>
      <c r="E219" s="21"/>
      <c r="F219" s="20"/>
      <c r="G219" s="18">
        <f>C219</f>
        <v>0</v>
      </c>
      <c r="H219" s="86"/>
      <c r="I219" s="86"/>
      <c r="J219" s="87"/>
      <c r="K219" s="57"/>
      <c r="L219" s="95"/>
      <c r="M219" s="86"/>
      <c r="N219" s="85"/>
      <c r="O219" s="85"/>
      <c r="P219" s="85"/>
      <c r="Q219" s="85"/>
      <c r="R219" s="85"/>
      <c r="S219" s="85"/>
    </row>
    <row r="220" spans="1:19" ht="15.75">
      <c r="A220" s="83"/>
      <c r="B220" s="177"/>
      <c r="C220" s="18"/>
      <c r="D220" s="21"/>
      <c r="E220" s="21"/>
      <c r="F220" s="20"/>
      <c r="G220" s="18">
        <f>C220</f>
        <v>0</v>
      </c>
      <c r="H220" s="86"/>
      <c r="I220" s="86"/>
      <c r="J220" s="87"/>
      <c r="K220" s="57"/>
      <c r="L220" s="95"/>
      <c r="M220" s="86"/>
      <c r="N220" s="85"/>
      <c r="O220" s="85"/>
      <c r="P220" s="85"/>
      <c r="Q220" s="85"/>
      <c r="R220" s="85"/>
      <c r="S220" s="85"/>
    </row>
    <row r="221" spans="1:19" ht="15.75">
      <c r="A221" s="83"/>
      <c r="B221" s="177"/>
      <c r="C221" s="18"/>
      <c r="D221" s="21"/>
      <c r="E221" s="21"/>
      <c r="F221" s="20"/>
      <c r="G221" s="18">
        <f>C221</f>
        <v>0</v>
      </c>
      <c r="H221" s="86"/>
      <c r="I221" s="86"/>
      <c r="J221" s="87"/>
      <c r="K221" s="57"/>
      <c r="L221" s="95"/>
      <c r="M221" s="86"/>
      <c r="N221" s="85"/>
      <c r="O221" s="85"/>
      <c r="P221" s="85"/>
      <c r="Q221" s="85"/>
      <c r="R221" s="85"/>
      <c r="S221" s="85"/>
    </row>
    <row r="222" spans="1:19" ht="15.75">
      <c r="A222" s="83"/>
      <c r="B222" s="177"/>
      <c r="C222" s="18"/>
      <c r="D222" s="21"/>
      <c r="E222" s="21"/>
      <c r="F222" s="20"/>
      <c r="G222" s="18">
        <f>C222</f>
        <v>0</v>
      </c>
      <c r="H222" s="86"/>
      <c r="I222" s="86"/>
      <c r="J222" s="87"/>
      <c r="K222" s="57"/>
      <c r="L222" s="95"/>
      <c r="M222" s="86"/>
      <c r="N222" s="85"/>
      <c r="O222" s="85"/>
      <c r="P222" s="85"/>
      <c r="Q222" s="85"/>
      <c r="R222" s="85"/>
      <c r="S222" s="85"/>
    </row>
    <row r="223" spans="1:19" ht="15.75">
      <c r="A223" s="83"/>
      <c r="B223" s="177"/>
      <c r="C223" s="18"/>
      <c r="D223" s="21"/>
      <c r="E223" s="21"/>
      <c r="F223" s="20"/>
      <c r="G223" s="18">
        <f>C223</f>
        <v>0</v>
      </c>
      <c r="H223" s="86"/>
      <c r="I223" s="86"/>
      <c r="J223" s="87"/>
      <c r="K223" s="57"/>
      <c r="L223" s="95"/>
      <c r="M223" s="86"/>
      <c r="N223" s="85"/>
      <c r="O223" s="85"/>
      <c r="P223" s="85"/>
      <c r="Q223" s="85"/>
      <c r="R223" s="85"/>
      <c r="S223" s="85"/>
    </row>
    <row r="224" spans="1:19" ht="15.75">
      <c r="A224" s="83"/>
      <c r="B224" s="177"/>
      <c r="C224" s="18"/>
      <c r="D224" s="21"/>
      <c r="E224" s="21"/>
      <c r="F224" s="20"/>
      <c r="G224" s="18">
        <f>C224</f>
        <v>0</v>
      </c>
      <c r="H224" s="86"/>
      <c r="I224" s="86"/>
      <c r="J224" s="87"/>
      <c r="K224" s="57"/>
      <c r="L224" s="95"/>
      <c r="M224" s="86"/>
      <c r="N224" s="85"/>
      <c r="O224" s="85"/>
      <c r="P224" s="85"/>
      <c r="Q224" s="85"/>
      <c r="R224" s="85"/>
      <c r="S224" s="85"/>
    </row>
    <row r="225" spans="1:19" ht="15.75">
      <c r="A225" s="83"/>
      <c r="B225" s="177"/>
      <c r="C225" s="18"/>
      <c r="D225" s="21"/>
      <c r="E225" s="21"/>
      <c r="F225" s="20"/>
      <c r="G225" s="18">
        <f>C225</f>
        <v>0</v>
      </c>
      <c r="H225" s="86"/>
      <c r="I225" s="86"/>
      <c r="J225" s="87"/>
      <c r="K225" s="57"/>
      <c r="L225" s="95"/>
      <c r="M225" s="86"/>
      <c r="N225" s="85"/>
      <c r="O225" s="85"/>
      <c r="P225" s="85"/>
      <c r="Q225" s="85"/>
      <c r="R225" s="85"/>
      <c r="S225" s="85"/>
    </row>
    <row r="226" spans="1:19" ht="15.75">
      <c r="A226" s="83"/>
      <c r="B226" s="177"/>
      <c r="C226" s="18"/>
      <c r="D226" s="21"/>
      <c r="E226" s="21"/>
      <c r="F226" s="20"/>
      <c r="G226" s="18">
        <f>C226</f>
        <v>0</v>
      </c>
      <c r="H226" s="86"/>
      <c r="I226" s="86"/>
      <c r="J226" s="87"/>
      <c r="K226" s="57"/>
      <c r="L226" s="95"/>
      <c r="M226" s="86"/>
      <c r="N226" s="85"/>
      <c r="O226" s="85"/>
      <c r="P226" s="85"/>
      <c r="Q226" s="85"/>
      <c r="R226" s="85"/>
      <c r="S226" s="85"/>
    </row>
    <row r="227" spans="1:19" ht="15.75">
      <c r="A227" s="83"/>
      <c r="B227" s="177"/>
      <c r="C227" s="18"/>
      <c r="D227" s="21"/>
      <c r="E227" s="21"/>
      <c r="F227" s="20"/>
      <c r="G227" s="18">
        <f>C227</f>
        <v>0</v>
      </c>
      <c r="H227" s="86"/>
      <c r="I227" s="86"/>
      <c r="J227" s="87"/>
      <c r="K227" s="57"/>
      <c r="L227" s="95"/>
      <c r="M227" s="86"/>
      <c r="N227" s="85"/>
      <c r="O227" s="85"/>
      <c r="P227" s="85"/>
      <c r="Q227" s="85"/>
      <c r="R227" s="85"/>
      <c r="S227" s="85"/>
    </row>
    <row r="228" spans="1:19" ht="15.75">
      <c r="A228" s="83"/>
      <c r="B228" s="177"/>
      <c r="C228" s="18"/>
      <c r="D228" s="21"/>
      <c r="E228" s="21"/>
      <c r="F228" s="20"/>
      <c r="G228" s="18">
        <f>C228</f>
        <v>0</v>
      </c>
      <c r="H228" s="86"/>
      <c r="I228" s="86"/>
      <c r="J228" s="87"/>
      <c r="K228" s="57"/>
      <c r="L228" s="95"/>
      <c r="M228" s="86"/>
      <c r="N228" s="85"/>
      <c r="O228" s="85"/>
      <c r="P228" s="85"/>
      <c r="Q228" s="85"/>
      <c r="R228" s="85"/>
      <c r="S228" s="85"/>
    </row>
    <row r="229" spans="1:19" ht="15.75">
      <c r="A229" s="83"/>
      <c r="B229" s="177"/>
      <c r="C229" s="18"/>
      <c r="D229" s="21"/>
      <c r="E229" s="21"/>
      <c r="F229" s="20"/>
      <c r="G229" s="18">
        <f>C229</f>
        <v>0</v>
      </c>
      <c r="H229" s="86"/>
      <c r="I229" s="86"/>
      <c r="J229" s="87"/>
      <c r="K229" s="57"/>
      <c r="L229" s="95"/>
      <c r="M229" s="86"/>
      <c r="N229" s="85"/>
      <c r="O229" s="85"/>
      <c r="P229" s="85"/>
      <c r="Q229" s="85"/>
      <c r="R229" s="85"/>
      <c r="S229" s="85"/>
    </row>
    <row r="230" spans="1:19" ht="15.75">
      <c r="A230" s="83"/>
      <c r="B230" s="177"/>
      <c r="C230" s="18"/>
      <c r="D230" s="21"/>
      <c r="E230" s="21"/>
      <c r="F230" s="20"/>
      <c r="G230" s="18">
        <f>C230</f>
        <v>0</v>
      </c>
      <c r="H230" s="86"/>
      <c r="I230" s="86"/>
      <c r="J230" s="87"/>
      <c r="K230" s="57"/>
      <c r="L230" s="95"/>
      <c r="M230" s="86"/>
      <c r="N230" s="85"/>
      <c r="O230" s="85"/>
      <c r="P230" s="85"/>
      <c r="Q230" s="85"/>
      <c r="R230" s="85"/>
      <c r="S230" s="85"/>
    </row>
    <row r="231" spans="1:19" ht="15.75">
      <c r="A231" s="83"/>
      <c r="B231" s="177"/>
      <c r="C231" s="18"/>
      <c r="D231" s="21"/>
      <c r="E231" s="21"/>
      <c r="F231" s="20"/>
      <c r="G231" s="18">
        <f>C231</f>
        <v>0</v>
      </c>
      <c r="H231" s="86"/>
      <c r="I231" s="86"/>
      <c r="J231" s="87"/>
      <c r="K231" s="57"/>
      <c r="L231" s="95"/>
      <c r="M231" s="86"/>
      <c r="N231" s="85"/>
      <c r="O231" s="85"/>
      <c r="P231" s="85"/>
      <c r="Q231" s="85"/>
      <c r="R231" s="85"/>
      <c r="S231" s="85"/>
    </row>
    <row r="232" spans="1:19" ht="15.75">
      <c r="A232" s="83"/>
      <c r="B232" s="177"/>
      <c r="C232" s="18"/>
      <c r="D232" s="21"/>
      <c r="E232" s="21"/>
      <c r="F232" s="20"/>
      <c r="G232" s="18">
        <f>C232</f>
        <v>0</v>
      </c>
      <c r="H232" s="86"/>
      <c r="I232" s="86"/>
      <c r="J232" s="87"/>
      <c r="K232" s="57"/>
      <c r="L232" s="95"/>
      <c r="M232" s="86"/>
      <c r="N232" s="85"/>
      <c r="O232" s="85"/>
      <c r="P232" s="85"/>
      <c r="Q232" s="85"/>
      <c r="R232" s="85"/>
      <c r="S232" s="85"/>
    </row>
    <row r="233" spans="1:19" ht="15.75">
      <c r="A233" s="83"/>
      <c r="B233" s="177"/>
      <c r="C233" s="18"/>
      <c r="D233" s="21"/>
      <c r="E233" s="21"/>
      <c r="F233" s="20"/>
      <c r="G233" s="18">
        <f>C233</f>
        <v>0</v>
      </c>
      <c r="H233" s="86"/>
      <c r="I233" s="86"/>
      <c r="J233" s="87"/>
      <c r="K233" s="57"/>
      <c r="L233" s="95"/>
      <c r="M233" s="86"/>
      <c r="N233" s="85"/>
      <c r="O233" s="85"/>
      <c r="P233" s="85"/>
      <c r="Q233" s="85"/>
      <c r="R233" s="85"/>
      <c r="S233" s="85"/>
    </row>
    <row r="234" spans="1:19" ht="15.75">
      <c r="A234" s="83"/>
      <c r="B234" s="177"/>
      <c r="C234" s="18"/>
      <c r="D234" s="21"/>
      <c r="E234" s="21"/>
      <c r="F234" s="20"/>
      <c r="G234" s="18">
        <f>C234</f>
        <v>0</v>
      </c>
      <c r="H234" s="86"/>
      <c r="I234" s="86"/>
      <c r="J234" s="87"/>
      <c r="K234" s="57"/>
      <c r="L234" s="95"/>
      <c r="M234" s="86"/>
      <c r="N234" s="85"/>
      <c r="O234" s="85"/>
      <c r="P234" s="85"/>
      <c r="Q234" s="85"/>
      <c r="R234" s="85"/>
      <c r="S234" s="85"/>
    </row>
    <row r="235" spans="1:19" ht="15.75">
      <c r="A235" s="83"/>
      <c r="B235" s="177"/>
      <c r="C235" s="18"/>
      <c r="D235" s="21"/>
      <c r="E235" s="21"/>
      <c r="F235" s="20"/>
      <c r="G235" s="18">
        <f>C235</f>
        <v>0</v>
      </c>
      <c r="H235" s="86"/>
      <c r="I235" s="86"/>
      <c r="J235" s="87"/>
      <c r="K235" s="57"/>
      <c r="L235" s="95"/>
      <c r="M235" s="86"/>
      <c r="N235" s="85"/>
      <c r="O235" s="85"/>
      <c r="P235" s="85"/>
      <c r="Q235" s="85"/>
      <c r="R235" s="85"/>
      <c r="S235" s="85"/>
    </row>
    <row r="236" spans="1:19" ht="15.75">
      <c r="A236" s="83"/>
      <c r="B236" s="177"/>
      <c r="C236" s="18"/>
      <c r="D236" s="21"/>
      <c r="E236" s="21"/>
      <c r="F236" s="20"/>
      <c r="G236" s="18">
        <f>C236</f>
        <v>0</v>
      </c>
      <c r="H236" s="86"/>
      <c r="I236" s="86"/>
      <c r="J236" s="87"/>
      <c r="K236" s="57"/>
      <c r="L236" s="95"/>
      <c r="M236" s="86"/>
      <c r="N236" s="85"/>
      <c r="O236" s="85"/>
      <c r="P236" s="85"/>
      <c r="Q236" s="85"/>
      <c r="R236" s="85"/>
      <c r="S236" s="85"/>
    </row>
    <row r="237" spans="1:19" ht="15.75">
      <c r="A237" s="83"/>
      <c r="B237" s="177"/>
      <c r="C237" s="18"/>
      <c r="D237" s="21"/>
      <c r="E237" s="21"/>
      <c r="F237" s="20"/>
      <c r="G237" s="18">
        <f>C237</f>
        <v>0</v>
      </c>
      <c r="H237" s="86"/>
      <c r="I237" s="86"/>
      <c r="J237" s="87"/>
      <c r="K237" s="57"/>
      <c r="L237" s="95"/>
      <c r="M237" s="86"/>
      <c r="N237" s="85"/>
      <c r="O237" s="85"/>
      <c r="P237" s="85"/>
      <c r="Q237" s="85"/>
      <c r="R237" s="85"/>
      <c r="S237" s="85"/>
    </row>
    <row r="238" spans="1:19" ht="15.75">
      <c r="A238" s="174"/>
      <c r="B238" s="176"/>
      <c r="C238" s="85"/>
      <c r="D238" s="175"/>
      <c r="E238" s="175"/>
      <c r="F238" s="85"/>
      <c r="G238" s="18">
        <f>C238</f>
        <v>0</v>
      </c>
      <c r="H238" s="85"/>
      <c r="I238" s="85"/>
      <c r="J238" s="174"/>
      <c r="K238" s="173"/>
      <c r="L238" s="102"/>
      <c r="M238" s="85"/>
      <c r="N238" s="85"/>
      <c r="O238" s="85"/>
      <c r="P238" s="85"/>
      <c r="Q238" s="85"/>
      <c r="R238" s="85"/>
      <c r="S238" s="85"/>
    </row>
    <row r="239" spans="1:19" ht="15.75">
      <c r="A239" s="174"/>
      <c r="B239" s="176"/>
      <c r="C239" s="85"/>
      <c r="D239" s="175"/>
      <c r="E239" s="175"/>
      <c r="F239" s="85"/>
      <c r="G239" s="18">
        <f>C239</f>
        <v>0</v>
      </c>
      <c r="H239" s="85"/>
      <c r="I239" s="85"/>
      <c r="J239" s="174"/>
      <c r="K239" s="173"/>
      <c r="L239" s="102"/>
      <c r="M239" s="85"/>
      <c r="N239" s="85"/>
      <c r="O239" s="85"/>
      <c r="P239" s="85"/>
      <c r="Q239" s="85"/>
      <c r="R239" s="85"/>
      <c r="S239" s="85"/>
    </row>
    <row r="240" spans="1:19" ht="15.75">
      <c r="A240" s="174"/>
      <c r="B240" s="176"/>
      <c r="C240" s="85"/>
      <c r="D240" s="175"/>
      <c r="E240" s="175"/>
      <c r="F240" s="85"/>
      <c r="G240" s="18">
        <f>C240</f>
        <v>0</v>
      </c>
      <c r="H240" s="85"/>
      <c r="I240" s="85"/>
      <c r="J240" s="174"/>
      <c r="K240" s="173"/>
      <c r="L240" s="102"/>
      <c r="M240" s="85"/>
      <c r="N240" s="85"/>
      <c r="O240" s="85"/>
      <c r="P240" s="85"/>
      <c r="Q240" s="85"/>
      <c r="R240" s="85"/>
      <c r="S240" s="85"/>
    </row>
    <row r="241" spans="1:19" ht="15.75">
      <c r="A241" s="174"/>
      <c r="B241" s="176"/>
      <c r="C241" s="85"/>
      <c r="D241" s="175"/>
      <c r="E241" s="175"/>
      <c r="F241" s="85"/>
      <c r="G241" s="18">
        <f>C241</f>
        <v>0</v>
      </c>
      <c r="H241" s="85"/>
      <c r="I241" s="85"/>
      <c r="J241" s="174"/>
      <c r="K241" s="173"/>
      <c r="L241" s="102"/>
      <c r="M241" s="85"/>
      <c r="N241" s="85"/>
      <c r="O241" s="85"/>
      <c r="P241" s="85"/>
      <c r="Q241" s="85"/>
      <c r="R241" s="85"/>
      <c r="S241" s="85"/>
    </row>
    <row r="242" spans="1:19" ht="15.75">
      <c r="A242" s="174"/>
      <c r="B242" s="176"/>
      <c r="C242" s="85"/>
      <c r="D242" s="175"/>
      <c r="E242" s="175"/>
      <c r="F242" s="85"/>
      <c r="G242" s="18">
        <f>C242</f>
        <v>0</v>
      </c>
      <c r="H242" s="85"/>
      <c r="I242" s="85"/>
      <c r="J242" s="174"/>
      <c r="K242" s="173"/>
      <c r="L242" s="102"/>
      <c r="M242" s="85"/>
      <c r="N242" s="85"/>
      <c r="O242" s="85"/>
      <c r="P242" s="85"/>
      <c r="Q242" s="85"/>
      <c r="R242" s="85"/>
      <c r="S242" s="85"/>
    </row>
    <row r="243" spans="1:19" ht="15.75">
      <c r="A243" s="174"/>
      <c r="B243" s="176"/>
      <c r="C243" s="85"/>
      <c r="D243" s="175"/>
      <c r="E243" s="175"/>
      <c r="F243" s="85"/>
      <c r="G243" s="18">
        <f>C243</f>
        <v>0</v>
      </c>
      <c r="H243" s="85"/>
      <c r="I243" s="85"/>
      <c r="J243" s="174"/>
      <c r="K243" s="173"/>
      <c r="L243" s="102"/>
      <c r="M243" s="85"/>
      <c r="N243" s="85"/>
      <c r="O243" s="85"/>
      <c r="P243" s="85"/>
      <c r="Q243" s="85"/>
      <c r="R243" s="85"/>
      <c r="S243" s="85"/>
    </row>
    <row r="244" spans="1:19" ht="15.75">
      <c r="A244" s="174"/>
      <c r="B244" s="176"/>
      <c r="C244" s="85"/>
      <c r="D244" s="175"/>
      <c r="E244" s="175"/>
      <c r="F244" s="85"/>
      <c r="G244" s="18">
        <f>C244</f>
        <v>0</v>
      </c>
      <c r="H244" s="85"/>
      <c r="I244" s="85"/>
      <c r="J244" s="174"/>
      <c r="K244" s="173"/>
      <c r="L244" s="102"/>
      <c r="M244" s="85"/>
      <c r="N244" s="85"/>
      <c r="O244" s="85"/>
      <c r="P244" s="85"/>
      <c r="Q244" s="85"/>
      <c r="R244" s="85"/>
      <c r="S244" s="85"/>
    </row>
    <row r="245" spans="1:19" ht="15.75">
      <c r="A245" s="174"/>
      <c r="B245" s="176"/>
      <c r="C245" s="85"/>
      <c r="D245" s="175"/>
      <c r="E245" s="175"/>
      <c r="F245" s="85"/>
      <c r="G245" s="18">
        <f>C245</f>
        <v>0</v>
      </c>
      <c r="H245" s="85"/>
      <c r="I245" s="85"/>
      <c r="J245" s="174"/>
      <c r="K245" s="173"/>
      <c r="L245" s="102"/>
      <c r="M245" s="85"/>
      <c r="N245" s="85"/>
      <c r="O245" s="85"/>
      <c r="P245" s="85"/>
      <c r="Q245" s="85"/>
      <c r="R245" s="85"/>
      <c r="S245" s="85"/>
    </row>
    <row r="246" spans="1:19" ht="15.75">
      <c r="A246" s="174"/>
      <c r="B246" s="176"/>
      <c r="C246" s="85"/>
      <c r="D246" s="175"/>
      <c r="E246" s="175"/>
      <c r="F246" s="85"/>
      <c r="G246" s="18">
        <f>C246</f>
        <v>0</v>
      </c>
      <c r="H246" s="85"/>
      <c r="I246" s="85"/>
      <c r="J246" s="174"/>
      <c r="K246" s="173"/>
      <c r="L246" s="102"/>
      <c r="M246" s="85"/>
      <c r="N246" s="85"/>
      <c r="O246" s="85"/>
      <c r="P246" s="85"/>
      <c r="Q246" s="85"/>
      <c r="R246" s="85"/>
      <c r="S246" s="85"/>
    </row>
    <row r="247" spans="1:19" ht="15.75">
      <c r="A247" s="174"/>
      <c r="B247" s="176"/>
      <c r="C247" s="85"/>
      <c r="D247" s="175"/>
      <c r="E247" s="175"/>
      <c r="F247" s="85"/>
      <c r="G247" s="18">
        <f>C247</f>
        <v>0</v>
      </c>
      <c r="H247" s="85"/>
      <c r="I247" s="85"/>
      <c r="J247" s="174"/>
      <c r="K247" s="173"/>
      <c r="L247" s="102"/>
      <c r="M247" s="85"/>
      <c r="N247" s="85"/>
      <c r="O247" s="85"/>
      <c r="P247" s="85"/>
      <c r="Q247" s="85"/>
      <c r="R247" s="85"/>
      <c r="S247" s="85"/>
    </row>
    <row r="248" spans="1:19" ht="15.75">
      <c r="A248" s="174"/>
      <c r="B248" s="176"/>
      <c r="C248" s="85"/>
      <c r="D248" s="175"/>
      <c r="E248" s="175"/>
      <c r="F248" s="85"/>
      <c r="G248" s="18">
        <f>C248</f>
        <v>0</v>
      </c>
      <c r="H248" s="85"/>
      <c r="I248" s="85"/>
      <c r="J248" s="174"/>
      <c r="K248" s="173"/>
      <c r="L248" s="102"/>
      <c r="M248" s="85"/>
      <c r="N248" s="85"/>
      <c r="O248" s="85"/>
      <c r="P248" s="85"/>
      <c r="Q248" s="85"/>
      <c r="R248" s="85"/>
      <c r="S248" s="85"/>
    </row>
    <row r="249" spans="1:19" ht="15.75">
      <c r="A249" s="174"/>
      <c r="B249" s="176"/>
      <c r="C249" s="85"/>
      <c r="D249" s="175"/>
      <c r="E249" s="175"/>
      <c r="F249" s="85"/>
      <c r="G249" s="18">
        <f>C249</f>
        <v>0</v>
      </c>
      <c r="H249" s="85"/>
      <c r="I249" s="85"/>
      <c r="J249" s="174"/>
      <c r="K249" s="173"/>
      <c r="L249" s="102"/>
      <c r="M249" s="85"/>
      <c r="N249" s="85"/>
      <c r="O249" s="85"/>
      <c r="P249" s="85"/>
      <c r="Q249" s="85"/>
      <c r="R249" s="85"/>
      <c r="S249" s="85"/>
    </row>
    <row r="250" spans="1:19" ht="15.75">
      <c r="A250" s="174"/>
      <c r="B250" s="176"/>
      <c r="C250" s="85"/>
      <c r="D250" s="175"/>
      <c r="E250" s="175"/>
      <c r="F250" s="85"/>
      <c r="G250" s="18">
        <f>C250</f>
        <v>0</v>
      </c>
      <c r="H250" s="85"/>
      <c r="I250" s="85"/>
      <c r="J250" s="174"/>
      <c r="K250" s="173"/>
      <c r="L250" s="102"/>
      <c r="M250" s="85"/>
      <c r="N250" s="85"/>
      <c r="O250" s="85"/>
      <c r="P250" s="85"/>
      <c r="Q250" s="85"/>
      <c r="R250" s="85"/>
      <c r="S250" s="85"/>
    </row>
    <row r="251" spans="1:19" ht="15.75">
      <c r="A251" s="174"/>
      <c r="B251" s="176"/>
      <c r="C251" s="85"/>
      <c r="D251" s="175"/>
      <c r="E251" s="175"/>
      <c r="F251" s="85"/>
      <c r="G251" s="18">
        <f>C251</f>
        <v>0</v>
      </c>
      <c r="H251" s="85"/>
      <c r="I251" s="85"/>
      <c r="J251" s="174"/>
      <c r="K251" s="173"/>
      <c r="L251" s="102"/>
      <c r="M251" s="85"/>
      <c r="N251" s="85"/>
      <c r="O251" s="85"/>
      <c r="P251" s="85"/>
      <c r="Q251" s="85"/>
      <c r="R251" s="85"/>
      <c r="S251" s="85"/>
    </row>
    <row r="252" spans="1:19" ht="15.75">
      <c r="A252" s="174"/>
      <c r="B252" s="176"/>
      <c r="C252" s="85"/>
      <c r="D252" s="175"/>
      <c r="E252" s="175"/>
      <c r="F252" s="85"/>
      <c r="G252" s="18">
        <f>C252</f>
        <v>0</v>
      </c>
      <c r="H252" s="85"/>
      <c r="I252" s="85"/>
      <c r="J252" s="174"/>
      <c r="K252" s="173"/>
      <c r="L252" s="102"/>
      <c r="M252" s="85"/>
      <c r="N252" s="85"/>
      <c r="O252" s="85"/>
      <c r="P252" s="85"/>
      <c r="Q252" s="85"/>
      <c r="R252" s="85"/>
      <c r="S252" s="85"/>
    </row>
    <row r="253" spans="1:19" ht="15.75">
      <c r="A253" s="174"/>
      <c r="B253" s="176"/>
      <c r="C253" s="85"/>
      <c r="D253" s="175"/>
      <c r="E253" s="175"/>
      <c r="F253" s="85"/>
      <c r="G253" s="18">
        <f>C253</f>
        <v>0</v>
      </c>
      <c r="H253" s="85"/>
      <c r="I253" s="85"/>
      <c r="J253" s="174"/>
      <c r="K253" s="173"/>
      <c r="L253" s="102"/>
      <c r="M253" s="85"/>
      <c r="N253" s="85"/>
      <c r="O253" s="85"/>
      <c r="P253" s="85"/>
      <c r="Q253" s="85"/>
      <c r="R253" s="85"/>
      <c r="S253" s="85"/>
    </row>
    <row r="254" spans="1:19" ht="15.75">
      <c r="A254" s="174"/>
      <c r="B254" s="176"/>
      <c r="C254" s="85"/>
      <c r="D254" s="175"/>
      <c r="E254" s="175"/>
      <c r="F254" s="85"/>
      <c r="G254" s="18">
        <f>C254</f>
        <v>0</v>
      </c>
      <c r="H254" s="85"/>
      <c r="I254" s="85"/>
      <c r="J254" s="174"/>
      <c r="K254" s="173"/>
      <c r="L254" s="102"/>
      <c r="M254" s="85"/>
      <c r="N254" s="85"/>
      <c r="O254" s="85"/>
      <c r="P254" s="85"/>
      <c r="Q254" s="85"/>
      <c r="R254" s="85"/>
      <c r="S254" s="85"/>
    </row>
    <row r="255" spans="1:19" ht="15.75">
      <c r="A255" s="174"/>
      <c r="B255" s="176"/>
      <c r="C255" s="85"/>
      <c r="D255" s="175"/>
      <c r="E255" s="175"/>
      <c r="F255" s="85"/>
      <c r="G255" s="18">
        <f>C255</f>
        <v>0</v>
      </c>
      <c r="H255" s="85"/>
      <c r="I255" s="85"/>
      <c r="J255" s="174"/>
      <c r="K255" s="173"/>
      <c r="L255" s="102"/>
      <c r="M255" s="85"/>
      <c r="N255" s="85"/>
      <c r="O255" s="85"/>
      <c r="P255" s="85"/>
      <c r="Q255" s="85"/>
      <c r="R255" s="85"/>
      <c r="S255" s="85"/>
    </row>
    <row r="256" spans="1:19" ht="15.75">
      <c r="A256" s="174"/>
      <c r="B256" s="176"/>
      <c r="C256" s="85"/>
      <c r="D256" s="175"/>
      <c r="E256" s="175"/>
      <c r="F256" s="85"/>
      <c r="G256" s="18">
        <f>C256</f>
        <v>0</v>
      </c>
      <c r="H256" s="85"/>
      <c r="I256" s="85"/>
      <c r="J256" s="174"/>
      <c r="K256" s="173"/>
      <c r="L256" s="102"/>
      <c r="M256" s="85"/>
      <c r="N256" s="85"/>
      <c r="O256" s="85"/>
      <c r="P256" s="85"/>
      <c r="Q256" s="85"/>
      <c r="R256" s="85"/>
      <c r="S256" s="85"/>
    </row>
    <row r="257" spans="1:19" ht="15.75">
      <c r="A257" s="174"/>
      <c r="B257" s="176"/>
      <c r="C257" s="85"/>
      <c r="D257" s="175"/>
      <c r="E257" s="175"/>
      <c r="F257" s="85"/>
      <c r="G257" s="18">
        <f>C257</f>
        <v>0</v>
      </c>
      <c r="H257" s="85"/>
      <c r="I257" s="85"/>
      <c r="J257" s="174"/>
      <c r="K257" s="173"/>
      <c r="L257" s="102"/>
      <c r="M257" s="85"/>
      <c r="N257" s="85"/>
      <c r="O257" s="85"/>
      <c r="P257" s="85"/>
      <c r="Q257" s="85"/>
      <c r="R257" s="85"/>
      <c r="S257" s="85"/>
    </row>
    <row r="258" spans="1:19" ht="15.75">
      <c r="A258" s="174"/>
      <c r="B258" s="176"/>
      <c r="C258" s="85"/>
      <c r="D258" s="175"/>
      <c r="E258" s="175"/>
      <c r="F258" s="85"/>
      <c r="G258" s="18">
        <f>C258</f>
        <v>0</v>
      </c>
      <c r="H258" s="85"/>
      <c r="I258" s="85"/>
      <c r="J258" s="174"/>
      <c r="K258" s="173"/>
      <c r="L258" s="102"/>
      <c r="M258" s="85"/>
      <c r="N258" s="85"/>
      <c r="O258" s="85"/>
      <c r="P258" s="85"/>
      <c r="Q258" s="85"/>
      <c r="R258" s="85"/>
      <c r="S258" s="85"/>
    </row>
    <row r="259" spans="1:19" ht="15.75">
      <c r="A259" s="174"/>
      <c r="B259" s="176"/>
      <c r="C259" s="85"/>
      <c r="D259" s="175"/>
      <c r="E259" s="175"/>
      <c r="F259" s="85"/>
      <c r="G259" s="18">
        <f>C259</f>
        <v>0</v>
      </c>
      <c r="H259" s="85"/>
      <c r="I259" s="85"/>
      <c r="J259" s="174"/>
      <c r="K259" s="173"/>
      <c r="L259" s="102"/>
      <c r="M259" s="85"/>
      <c r="N259" s="85"/>
      <c r="O259" s="85"/>
      <c r="P259" s="85"/>
      <c r="Q259" s="85"/>
      <c r="R259" s="85"/>
      <c r="S259" s="85"/>
    </row>
    <row r="260" spans="1:19" ht="15.75">
      <c r="A260" s="174"/>
      <c r="B260" s="176"/>
      <c r="C260" s="85"/>
      <c r="D260" s="175"/>
      <c r="E260" s="175"/>
      <c r="F260" s="85"/>
      <c r="G260" s="18">
        <f>C260</f>
        <v>0</v>
      </c>
      <c r="H260" s="85"/>
      <c r="I260" s="85"/>
      <c r="J260" s="174"/>
      <c r="K260" s="173"/>
      <c r="L260" s="102"/>
      <c r="M260" s="85"/>
      <c r="N260" s="85"/>
      <c r="O260" s="85"/>
      <c r="P260" s="85"/>
      <c r="Q260" s="85"/>
      <c r="R260" s="85"/>
      <c r="S260" s="85"/>
    </row>
    <row r="261" spans="1:19" ht="15.75">
      <c r="A261" s="174"/>
      <c r="B261" s="176"/>
      <c r="C261" s="85"/>
      <c r="D261" s="175"/>
      <c r="E261" s="175"/>
      <c r="F261" s="85"/>
      <c r="G261" s="18">
        <f>C261</f>
        <v>0</v>
      </c>
      <c r="H261" s="85"/>
      <c r="I261" s="85"/>
      <c r="J261" s="174"/>
      <c r="K261" s="173"/>
      <c r="L261" s="102"/>
      <c r="M261" s="85"/>
      <c r="N261" s="85"/>
      <c r="O261" s="85"/>
      <c r="P261" s="85"/>
      <c r="Q261" s="85"/>
      <c r="R261" s="85"/>
      <c r="S261" s="85"/>
    </row>
    <row r="262" spans="1:19" ht="15.75">
      <c r="A262" s="174"/>
      <c r="B262" s="176"/>
      <c r="C262" s="85"/>
      <c r="D262" s="175"/>
      <c r="E262" s="175"/>
      <c r="F262" s="85"/>
      <c r="G262" s="18">
        <f>C262</f>
        <v>0</v>
      </c>
      <c r="H262" s="85"/>
      <c r="I262" s="85"/>
      <c r="J262" s="174"/>
      <c r="K262" s="173"/>
      <c r="L262" s="102"/>
      <c r="M262" s="85"/>
      <c r="N262" s="85"/>
      <c r="O262" s="85"/>
      <c r="P262" s="85"/>
      <c r="Q262" s="85"/>
      <c r="R262" s="85"/>
      <c r="S262" s="85"/>
    </row>
    <row r="263" spans="1:19" ht="15.75">
      <c r="A263" s="174"/>
      <c r="B263" s="176"/>
      <c r="C263" s="85"/>
      <c r="D263" s="175"/>
      <c r="E263" s="175"/>
      <c r="F263" s="85"/>
      <c r="G263" s="18">
        <f>C263</f>
        <v>0</v>
      </c>
      <c r="H263" s="85"/>
      <c r="I263" s="85"/>
      <c r="J263" s="174"/>
      <c r="K263" s="173"/>
      <c r="L263" s="102"/>
      <c r="M263" s="85"/>
      <c r="N263" s="85"/>
      <c r="O263" s="85"/>
      <c r="P263" s="85"/>
      <c r="Q263" s="85"/>
      <c r="R263" s="85"/>
      <c r="S263" s="85"/>
    </row>
    <row r="264" spans="1:19" ht="15.75">
      <c r="A264" s="174"/>
      <c r="B264" s="176"/>
      <c r="C264" s="85"/>
      <c r="D264" s="175"/>
      <c r="E264" s="175"/>
      <c r="F264" s="85"/>
      <c r="G264" s="18">
        <f>C264</f>
        <v>0</v>
      </c>
      <c r="H264" s="85"/>
      <c r="I264" s="85"/>
      <c r="J264" s="174"/>
      <c r="K264" s="173"/>
      <c r="L264" s="102"/>
      <c r="M264" s="85"/>
      <c r="N264" s="85"/>
      <c r="O264" s="85"/>
      <c r="P264" s="85"/>
      <c r="Q264" s="85"/>
      <c r="R264" s="85"/>
      <c r="S264" s="85"/>
    </row>
    <row r="265" spans="1:19" ht="15.75">
      <c r="A265" s="174"/>
      <c r="B265" s="176"/>
      <c r="C265" s="85"/>
      <c r="D265" s="175"/>
      <c r="E265" s="175"/>
      <c r="F265" s="85"/>
      <c r="G265" s="18">
        <f>C265</f>
        <v>0</v>
      </c>
      <c r="H265" s="85"/>
      <c r="I265" s="85"/>
      <c r="J265" s="174"/>
      <c r="K265" s="173"/>
      <c r="L265" s="102"/>
      <c r="M265" s="85"/>
      <c r="N265" s="85"/>
      <c r="O265" s="85"/>
      <c r="P265" s="85"/>
      <c r="Q265" s="85"/>
      <c r="R265" s="85"/>
      <c r="S265" s="85"/>
    </row>
    <row r="266" spans="1:19" ht="15.75">
      <c r="A266" s="174"/>
      <c r="B266" s="176"/>
      <c r="C266" s="85"/>
      <c r="D266" s="175"/>
      <c r="E266" s="175"/>
      <c r="F266" s="85"/>
      <c r="G266" s="18">
        <f>C266</f>
        <v>0</v>
      </c>
      <c r="H266" s="85"/>
      <c r="I266" s="85"/>
      <c r="J266" s="174"/>
      <c r="K266" s="173"/>
      <c r="L266" s="102"/>
      <c r="M266" s="85"/>
      <c r="N266" s="85"/>
      <c r="O266" s="85"/>
      <c r="P266" s="85"/>
      <c r="Q266" s="85"/>
      <c r="R266" s="85"/>
      <c r="S266" s="85"/>
    </row>
    <row r="267" spans="1:19" ht="15.75">
      <c r="A267" s="174"/>
      <c r="B267" s="176"/>
      <c r="C267" s="85"/>
      <c r="D267" s="175"/>
      <c r="E267" s="175"/>
      <c r="F267" s="85"/>
      <c r="G267" s="18">
        <f>C267</f>
        <v>0</v>
      </c>
      <c r="H267" s="85"/>
      <c r="I267" s="85"/>
      <c r="J267" s="174"/>
      <c r="K267" s="173"/>
      <c r="L267" s="102"/>
      <c r="M267" s="85"/>
      <c r="N267" s="85"/>
      <c r="O267" s="85"/>
      <c r="P267" s="85"/>
      <c r="Q267" s="85"/>
      <c r="R267" s="85"/>
      <c r="S267" s="85"/>
    </row>
    <row r="268" spans="1:19" ht="15.75">
      <c r="A268" s="174"/>
      <c r="B268" s="176"/>
      <c r="C268" s="85"/>
      <c r="D268" s="175"/>
      <c r="E268" s="175"/>
      <c r="F268" s="85"/>
      <c r="G268" s="18">
        <f>C268</f>
        <v>0</v>
      </c>
      <c r="H268" s="85"/>
      <c r="I268" s="85"/>
      <c r="J268" s="174"/>
      <c r="K268" s="173"/>
      <c r="L268" s="102"/>
      <c r="M268" s="85"/>
      <c r="N268" s="85"/>
      <c r="O268" s="85"/>
      <c r="P268" s="85"/>
      <c r="Q268" s="85"/>
      <c r="R268" s="85"/>
      <c r="S268" s="85"/>
    </row>
    <row r="269" spans="1:19" ht="15.75">
      <c r="A269" s="174"/>
      <c r="B269" s="176"/>
      <c r="C269" s="85"/>
      <c r="D269" s="175"/>
      <c r="E269" s="175"/>
      <c r="F269" s="85"/>
      <c r="G269" s="18">
        <f>C269</f>
        <v>0</v>
      </c>
      <c r="H269" s="85"/>
      <c r="I269" s="85"/>
      <c r="J269" s="174"/>
      <c r="K269" s="173"/>
      <c r="L269" s="102"/>
      <c r="M269" s="85"/>
      <c r="N269" s="85"/>
      <c r="O269" s="85"/>
      <c r="P269" s="85"/>
      <c r="Q269" s="85"/>
      <c r="R269" s="85"/>
      <c r="S269" s="85"/>
    </row>
    <row r="270" spans="1:19" ht="15.75">
      <c r="A270" s="174"/>
      <c r="B270" s="176"/>
      <c r="C270" s="85"/>
      <c r="D270" s="175"/>
      <c r="E270" s="175"/>
      <c r="F270" s="85"/>
      <c r="G270" s="18">
        <f>C270</f>
        <v>0</v>
      </c>
      <c r="H270" s="85"/>
      <c r="I270" s="85"/>
      <c r="J270" s="174"/>
      <c r="K270" s="173"/>
      <c r="L270" s="102"/>
      <c r="M270" s="85"/>
      <c r="N270" s="85"/>
      <c r="O270" s="85"/>
      <c r="P270" s="85"/>
      <c r="Q270" s="85"/>
      <c r="R270" s="85"/>
      <c r="S270" s="85"/>
    </row>
    <row r="271" spans="1:19" ht="15.75">
      <c r="A271" s="174"/>
      <c r="B271" s="176"/>
      <c r="C271" s="85"/>
      <c r="D271" s="175"/>
      <c r="E271" s="175"/>
      <c r="F271" s="85"/>
      <c r="G271" s="18">
        <f>C271</f>
        <v>0</v>
      </c>
      <c r="H271" s="85"/>
      <c r="I271" s="85"/>
      <c r="J271" s="174"/>
      <c r="K271" s="173"/>
      <c r="L271" s="102"/>
      <c r="M271" s="85"/>
      <c r="N271" s="85"/>
      <c r="O271" s="85"/>
      <c r="P271" s="85"/>
      <c r="Q271" s="85"/>
      <c r="R271" s="85"/>
      <c r="S271" s="85"/>
    </row>
    <row r="272" spans="1:19" ht="15.75">
      <c r="A272" s="174"/>
      <c r="B272" s="176"/>
      <c r="C272" s="85"/>
      <c r="D272" s="175"/>
      <c r="E272" s="175"/>
      <c r="F272" s="85"/>
      <c r="G272" s="18">
        <f>C272</f>
        <v>0</v>
      </c>
      <c r="H272" s="85"/>
      <c r="I272" s="85"/>
      <c r="J272" s="174"/>
      <c r="K272" s="173"/>
      <c r="L272" s="102"/>
      <c r="M272" s="85"/>
      <c r="N272" s="85"/>
      <c r="O272" s="85"/>
      <c r="P272" s="85"/>
      <c r="Q272" s="85"/>
      <c r="R272" s="85"/>
      <c r="S272" s="85"/>
    </row>
    <row r="273" spans="1:19" ht="15.75">
      <c r="A273" s="174"/>
      <c r="B273" s="176"/>
      <c r="C273" s="85"/>
      <c r="D273" s="175"/>
      <c r="E273" s="175"/>
      <c r="F273" s="85"/>
      <c r="G273" s="18">
        <f>C273</f>
        <v>0</v>
      </c>
      <c r="H273" s="85"/>
      <c r="I273" s="85"/>
      <c r="J273" s="174"/>
      <c r="K273" s="173"/>
      <c r="L273" s="102"/>
      <c r="M273" s="85"/>
      <c r="N273" s="85"/>
      <c r="O273" s="85"/>
      <c r="P273" s="85"/>
      <c r="Q273" s="85"/>
      <c r="R273" s="85"/>
      <c r="S273" s="85"/>
    </row>
    <row r="274" spans="1:19" ht="15.75">
      <c r="A274" s="174"/>
      <c r="B274" s="176"/>
      <c r="C274" s="85"/>
      <c r="D274" s="175"/>
      <c r="E274" s="175"/>
      <c r="F274" s="85"/>
      <c r="G274" s="18">
        <f>C274</f>
        <v>0</v>
      </c>
      <c r="H274" s="85"/>
      <c r="I274" s="85"/>
      <c r="J274" s="174"/>
      <c r="K274" s="173"/>
      <c r="L274" s="102"/>
      <c r="M274" s="85"/>
      <c r="N274" s="85"/>
      <c r="O274" s="85"/>
      <c r="P274" s="85"/>
      <c r="Q274" s="85"/>
      <c r="R274" s="85"/>
      <c r="S274" s="85"/>
    </row>
    <row r="275" spans="1:19" ht="15.75">
      <c r="A275" s="174"/>
      <c r="B275" s="176"/>
      <c r="C275" s="85"/>
      <c r="D275" s="175"/>
      <c r="E275" s="175"/>
      <c r="F275" s="85"/>
      <c r="G275" s="18">
        <f>C275</f>
        <v>0</v>
      </c>
      <c r="H275" s="85"/>
      <c r="I275" s="85"/>
      <c r="J275" s="174"/>
      <c r="K275" s="173"/>
      <c r="L275" s="102"/>
      <c r="M275" s="85"/>
      <c r="N275" s="85"/>
      <c r="O275" s="85"/>
      <c r="P275" s="85"/>
      <c r="Q275" s="85"/>
      <c r="R275" s="85"/>
      <c r="S275" s="85"/>
    </row>
    <row r="276" spans="1:19" ht="15.75">
      <c r="A276" s="174"/>
      <c r="B276" s="176"/>
      <c r="C276" s="85"/>
      <c r="D276" s="175"/>
      <c r="E276" s="175"/>
      <c r="F276" s="85"/>
      <c r="G276" s="18">
        <f>C276</f>
        <v>0</v>
      </c>
      <c r="H276" s="85"/>
      <c r="I276" s="85"/>
      <c r="J276" s="174"/>
      <c r="K276" s="173"/>
      <c r="L276" s="102"/>
      <c r="M276" s="85"/>
      <c r="N276" s="85"/>
      <c r="O276" s="85"/>
      <c r="P276" s="85"/>
      <c r="Q276" s="85"/>
      <c r="R276" s="85"/>
      <c r="S276" s="85"/>
    </row>
    <row r="277" spans="1:19" ht="15.75">
      <c r="A277" s="174"/>
      <c r="B277" s="176"/>
      <c r="C277" s="85"/>
      <c r="D277" s="175"/>
      <c r="E277" s="175"/>
      <c r="F277" s="85"/>
      <c r="G277" s="18">
        <f>C277</f>
        <v>0</v>
      </c>
      <c r="H277" s="85"/>
      <c r="I277" s="85"/>
      <c r="J277" s="174"/>
      <c r="K277" s="173"/>
      <c r="L277" s="102"/>
      <c r="M277" s="85"/>
      <c r="N277" s="85"/>
      <c r="O277" s="85"/>
      <c r="P277" s="85"/>
      <c r="Q277" s="85"/>
      <c r="R277" s="85"/>
      <c r="S277" s="85"/>
    </row>
    <row r="278" spans="1:19" ht="15.75">
      <c r="A278" s="174"/>
      <c r="B278" s="176"/>
      <c r="C278" s="85"/>
      <c r="D278" s="175"/>
      <c r="E278" s="175"/>
      <c r="F278" s="85"/>
      <c r="G278" s="18">
        <f>C278</f>
        <v>0</v>
      </c>
      <c r="H278" s="85"/>
      <c r="I278" s="85"/>
      <c r="J278" s="174"/>
      <c r="K278" s="173"/>
      <c r="L278" s="102"/>
      <c r="M278" s="85"/>
      <c r="N278" s="85"/>
      <c r="O278" s="85"/>
      <c r="P278" s="85"/>
      <c r="Q278" s="85"/>
      <c r="R278" s="85"/>
      <c r="S278" s="85"/>
    </row>
    <row r="279" spans="1:19" ht="15.75">
      <c r="A279" s="174"/>
      <c r="B279" s="176"/>
      <c r="C279" s="85"/>
      <c r="D279" s="175"/>
      <c r="E279" s="175"/>
      <c r="F279" s="85"/>
      <c r="G279" s="18">
        <f>C279</f>
        <v>0</v>
      </c>
      <c r="H279" s="85"/>
      <c r="I279" s="85"/>
      <c r="J279" s="174"/>
      <c r="K279" s="173"/>
      <c r="L279" s="102"/>
      <c r="M279" s="85"/>
      <c r="N279" s="85"/>
      <c r="O279" s="85"/>
      <c r="P279" s="85"/>
      <c r="Q279" s="85"/>
      <c r="R279" s="85"/>
      <c r="S279" s="85"/>
    </row>
    <row r="280" spans="1:19" ht="15.75">
      <c r="A280" s="174"/>
      <c r="B280" s="176"/>
      <c r="C280" s="85"/>
      <c r="D280" s="175"/>
      <c r="E280" s="175"/>
      <c r="F280" s="85"/>
      <c r="G280" s="18">
        <f>C280</f>
        <v>0</v>
      </c>
      <c r="H280" s="85"/>
      <c r="I280" s="85"/>
      <c r="J280" s="174"/>
      <c r="K280" s="173"/>
      <c r="L280" s="102"/>
      <c r="M280" s="85"/>
      <c r="N280" s="85"/>
      <c r="O280" s="85"/>
      <c r="P280" s="85"/>
      <c r="Q280" s="85"/>
      <c r="R280" s="85"/>
      <c r="S280" s="85"/>
    </row>
    <row r="281" spans="1:19" ht="15.75">
      <c r="A281" s="174"/>
      <c r="B281" s="176"/>
      <c r="C281" s="85"/>
      <c r="D281" s="175"/>
      <c r="E281" s="175"/>
      <c r="F281" s="85"/>
      <c r="G281" s="18">
        <f>C281</f>
        <v>0</v>
      </c>
      <c r="H281" s="85"/>
      <c r="I281" s="85"/>
      <c r="J281" s="174"/>
      <c r="K281" s="173"/>
      <c r="L281" s="102"/>
      <c r="M281" s="85"/>
      <c r="N281" s="85"/>
      <c r="O281" s="85"/>
      <c r="P281" s="85"/>
      <c r="Q281" s="85"/>
      <c r="R281" s="85"/>
      <c r="S281" s="85"/>
    </row>
    <row r="282" spans="1:19" ht="15.75">
      <c r="A282" s="174"/>
      <c r="B282" s="176"/>
      <c r="C282" s="85"/>
      <c r="D282" s="175"/>
      <c r="E282" s="175"/>
      <c r="F282" s="85"/>
      <c r="G282" s="18">
        <f>C282</f>
        <v>0</v>
      </c>
      <c r="H282" s="85"/>
      <c r="I282" s="85"/>
      <c r="J282" s="174"/>
      <c r="K282" s="173"/>
      <c r="L282" s="102"/>
      <c r="M282" s="85"/>
      <c r="N282" s="85"/>
      <c r="O282" s="85"/>
      <c r="P282" s="85"/>
      <c r="Q282" s="85"/>
      <c r="R282" s="85"/>
      <c r="S282" s="85"/>
    </row>
    <row r="283" spans="1:19" ht="15.75">
      <c r="A283" s="174"/>
      <c r="B283" s="176"/>
      <c r="C283" s="85"/>
      <c r="D283" s="175"/>
      <c r="E283" s="175"/>
      <c r="F283" s="85"/>
      <c r="G283" s="18">
        <f>C283</f>
        <v>0</v>
      </c>
      <c r="H283" s="85"/>
      <c r="I283" s="85"/>
      <c r="J283" s="174"/>
      <c r="K283" s="173"/>
      <c r="L283" s="102"/>
      <c r="M283" s="85"/>
      <c r="N283" s="85"/>
      <c r="O283" s="85"/>
      <c r="P283" s="85"/>
      <c r="Q283" s="85"/>
      <c r="R283" s="85"/>
      <c r="S283" s="85"/>
    </row>
    <row r="284" spans="1:19" ht="15.75">
      <c r="A284" s="174"/>
      <c r="B284" s="176"/>
      <c r="C284" s="85"/>
      <c r="D284" s="175"/>
      <c r="E284" s="175"/>
      <c r="F284" s="85"/>
      <c r="G284" s="18">
        <f>C284</f>
        <v>0</v>
      </c>
      <c r="H284" s="85"/>
      <c r="I284" s="85"/>
      <c r="J284" s="174"/>
      <c r="K284" s="173"/>
      <c r="L284" s="102"/>
      <c r="M284" s="85"/>
      <c r="N284" s="85"/>
      <c r="O284" s="85"/>
      <c r="P284" s="85"/>
      <c r="Q284" s="85"/>
      <c r="R284" s="85"/>
      <c r="S284" s="85"/>
    </row>
    <row r="285" spans="1:19" ht="15.75">
      <c r="A285" s="174"/>
      <c r="B285" s="176"/>
      <c r="C285" s="85"/>
      <c r="D285" s="175"/>
      <c r="E285" s="175"/>
      <c r="F285" s="85"/>
      <c r="G285" s="18">
        <f>C285</f>
        <v>0</v>
      </c>
      <c r="H285" s="85"/>
      <c r="I285" s="85"/>
      <c r="J285" s="174"/>
      <c r="K285" s="173"/>
      <c r="L285" s="102"/>
      <c r="M285" s="85"/>
      <c r="N285" s="85"/>
      <c r="O285" s="85"/>
      <c r="P285" s="85"/>
      <c r="Q285" s="85"/>
      <c r="R285" s="85"/>
      <c r="S285" s="85"/>
    </row>
    <row r="286" spans="1:19" ht="15.75">
      <c r="A286" s="174"/>
      <c r="B286" s="176"/>
      <c r="C286" s="85"/>
      <c r="D286" s="175"/>
      <c r="E286" s="175"/>
      <c r="F286" s="85"/>
      <c r="G286" s="18">
        <f>C286</f>
        <v>0</v>
      </c>
      <c r="H286" s="85"/>
      <c r="I286" s="85"/>
      <c r="J286" s="174"/>
      <c r="K286" s="173"/>
      <c r="L286" s="102"/>
      <c r="M286" s="85"/>
      <c r="N286" s="85"/>
      <c r="O286" s="85"/>
      <c r="P286" s="85"/>
      <c r="Q286" s="85"/>
      <c r="R286" s="85"/>
      <c r="S286" s="85"/>
    </row>
    <row r="287" spans="1:19" ht="15.75">
      <c r="A287" s="174"/>
      <c r="B287" s="176"/>
      <c r="C287" s="85"/>
      <c r="D287" s="175"/>
      <c r="E287" s="175"/>
      <c r="F287" s="85"/>
      <c r="G287" s="18">
        <f>C287</f>
        <v>0</v>
      </c>
      <c r="H287" s="85"/>
      <c r="I287" s="85"/>
      <c r="J287" s="174"/>
      <c r="K287" s="173"/>
      <c r="L287" s="102"/>
      <c r="M287" s="85"/>
      <c r="N287" s="85"/>
      <c r="O287" s="85"/>
      <c r="P287" s="85"/>
      <c r="Q287" s="85"/>
      <c r="R287" s="85"/>
      <c r="S287" s="85"/>
    </row>
    <row r="288" spans="1:19" ht="15.75">
      <c r="A288" s="174"/>
      <c r="B288" s="176"/>
      <c r="C288" s="85"/>
      <c r="D288" s="175"/>
      <c r="E288" s="175"/>
      <c r="F288" s="85"/>
      <c r="G288" s="18">
        <f>C288</f>
        <v>0</v>
      </c>
      <c r="H288" s="85"/>
      <c r="I288" s="85"/>
      <c r="J288" s="174"/>
      <c r="K288" s="173"/>
      <c r="L288" s="102"/>
      <c r="M288" s="85"/>
      <c r="N288" s="85"/>
      <c r="O288" s="85"/>
      <c r="P288" s="85"/>
      <c r="Q288" s="85"/>
      <c r="R288" s="85"/>
      <c r="S288" s="85"/>
    </row>
    <row r="289" spans="1:19" ht="15.75">
      <c r="A289" s="174"/>
      <c r="B289" s="176"/>
      <c r="C289" s="85"/>
      <c r="D289" s="175"/>
      <c r="E289" s="175"/>
      <c r="F289" s="85"/>
      <c r="G289" s="18">
        <f>C289</f>
        <v>0</v>
      </c>
      <c r="H289" s="85"/>
      <c r="I289" s="85"/>
      <c r="J289" s="174"/>
      <c r="K289" s="173"/>
      <c r="L289" s="102"/>
      <c r="M289" s="85"/>
      <c r="N289" s="85"/>
      <c r="O289" s="85"/>
      <c r="P289" s="85"/>
      <c r="Q289" s="85"/>
      <c r="R289" s="85"/>
      <c r="S289" s="85"/>
    </row>
    <row r="290" spans="1:19" ht="15.75">
      <c r="A290" s="174"/>
      <c r="B290" s="176"/>
      <c r="C290" s="85"/>
      <c r="D290" s="175"/>
      <c r="E290" s="175"/>
      <c r="F290" s="85"/>
      <c r="G290" s="18">
        <f>C290</f>
        <v>0</v>
      </c>
      <c r="H290" s="85"/>
      <c r="I290" s="85"/>
      <c r="J290" s="174"/>
      <c r="K290" s="173"/>
      <c r="L290" s="102"/>
      <c r="M290" s="85"/>
      <c r="N290" s="85"/>
      <c r="O290" s="85"/>
      <c r="P290" s="85"/>
      <c r="Q290" s="85"/>
      <c r="R290" s="85"/>
      <c r="S290" s="85"/>
    </row>
    <row r="291" spans="1:19" ht="15.75">
      <c r="A291" s="174"/>
      <c r="B291" s="176"/>
      <c r="C291" s="85"/>
      <c r="D291" s="175"/>
      <c r="E291" s="175"/>
      <c r="F291" s="85"/>
      <c r="G291" s="18">
        <f>C291</f>
        <v>0</v>
      </c>
      <c r="H291" s="85"/>
      <c r="I291" s="85"/>
      <c r="J291" s="174"/>
      <c r="K291" s="173"/>
      <c r="L291" s="102"/>
      <c r="M291" s="85"/>
      <c r="N291" s="85"/>
      <c r="O291" s="85"/>
      <c r="P291" s="85"/>
      <c r="Q291" s="85"/>
      <c r="R291" s="85"/>
      <c r="S291" s="85"/>
    </row>
    <row r="292" spans="1:19" ht="15.75">
      <c r="A292" s="174"/>
      <c r="B292" s="176"/>
      <c r="C292" s="85"/>
      <c r="D292" s="175"/>
      <c r="E292" s="175"/>
      <c r="F292" s="85"/>
      <c r="G292" s="18">
        <f>C292</f>
        <v>0</v>
      </c>
      <c r="H292" s="85"/>
      <c r="I292" s="85"/>
      <c r="J292" s="174"/>
      <c r="K292" s="173"/>
      <c r="L292" s="102"/>
      <c r="M292" s="85"/>
      <c r="N292" s="85"/>
      <c r="O292" s="85"/>
      <c r="P292" s="85"/>
      <c r="Q292" s="85"/>
      <c r="R292" s="85"/>
      <c r="S292" s="85"/>
    </row>
    <row r="293" spans="1:19" ht="15.75">
      <c r="A293" s="174"/>
      <c r="B293" s="176"/>
      <c r="C293" s="85"/>
      <c r="D293" s="175"/>
      <c r="E293" s="175"/>
      <c r="F293" s="85"/>
      <c r="G293" s="18">
        <f>C293</f>
        <v>0</v>
      </c>
      <c r="H293" s="85"/>
      <c r="I293" s="85"/>
      <c r="J293" s="174"/>
      <c r="K293" s="173"/>
      <c r="L293" s="102"/>
      <c r="M293" s="85"/>
      <c r="N293" s="85"/>
      <c r="O293" s="85"/>
      <c r="P293" s="85"/>
      <c r="Q293" s="85"/>
      <c r="R293" s="85"/>
      <c r="S293" s="85"/>
    </row>
    <row r="294" spans="1:19" ht="15.75">
      <c r="A294" s="174"/>
      <c r="B294" s="176"/>
      <c r="C294" s="85"/>
      <c r="D294" s="175"/>
      <c r="E294" s="175"/>
      <c r="F294" s="85"/>
      <c r="G294" s="18">
        <f>C294</f>
        <v>0</v>
      </c>
      <c r="H294" s="85"/>
      <c r="I294" s="85"/>
      <c r="J294" s="174"/>
      <c r="K294" s="173"/>
      <c r="L294" s="102"/>
      <c r="M294" s="85"/>
      <c r="N294" s="85"/>
      <c r="O294" s="85"/>
      <c r="P294" s="85"/>
      <c r="Q294" s="85"/>
      <c r="R294" s="85"/>
      <c r="S294" s="85"/>
    </row>
    <row r="295" spans="1:19" ht="15.75">
      <c r="A295" s="174"/>
      <c r="B295" s="176"/>
      <c r="C295" s="85"/>
      <c r="D295" s="175"/>
      <c r="E295" s="175"/>
      <c r="F295" s="85"/>
      <c r="G295" s="18">
        <f>C295</f>
        <v>0</v>
      </c>
      <c r="H295" s="85"/>
      <c r="I295" s="85"/>
      <c r="J295" s="174"/>
      <c r="K295" s="173"/>
      <c r="L295" s="102"/>
      <c r="M295" s="85"/>
      <c r="N295" s="85"/>
      <c r="O295" s="85"/>
      <c r="P295" s="85"/>
      <c r="Q295" s="85"/>
      <c r="R295" s="85"/>
      <c r="S295" s="85"/>
    </row>
    <row r="296" spans="1:19" ht="15.75">
      <c r="A296" s="174"/>
      <c r="B296" s="176"/>
      <c r="C296" s="85"/>
      <c r="D296" s="175"/>
      <c r="E296" s="175"/>
      <c r="F296" s="85"/>
      <c r="G296" s="18">
        <f>C296</f>
        <v>0</v>
      </c>
      <c r="H296" s="85"/>
      <c r="I296" s="85"/>
      <c r="J296" s="174"/>
      <c r="K296" s="173"/>
      <c r="L296" s="102"/>
      <c r="M296" s="85"/>
      <c r="N296" s="85"/>
      <c r="O296" s="85"/>
      <c r="P296" s="85"/>
      <c r="Q296" s="85"/>
      <c r="R296" s="85"/>
      <c r="S296" s="85"/>
    </row>
    <row r="297" spans="1:19" ht="15.75">
      <c r="A297" s="174"/>
      <c r="B297" s="176"/>
      <c r="C297" s="85"/>
      <c r="D297" s="175"/>
      <c r="E297" s="175"/>
      <c r="F297" s="85"/>
      <c r="G297" s="18">
        <f>C297</f>
        <v>0</v>
      </c>
      <c r="H297" s="85"/>
      <c r="I297" s="85"/>
      <c r="J297" s="174"/>
      <c r="K297" s="173"/>
      <c r="L297" s="102"/>
      <c r="M297" s="85"/>
      <c r="N297" s="85"/>
      <c r="O297" s="85"/>
      <c r="P297" s="85"/>
      <c r="Q297" s="85"/>
      <c r="R297" s="85"/>
      <c r="S297" s="85"/>
    </row>
    <row r="298" spans="1:19" ht="15.75">
      <c r="A298" s="174"/>
      <c r="B298" s="176"/>
      <c r="C298" s="85"/>
      <c r="D298" s="175"/>
      <c r="E298" s="175"/>
      <c r="F298" s="85"/>
      <c r="G298" s="18">
        <f>C298</f>
        <v>0</v>
      </c>
      <c r="H298" s="85"/>
      <c r="I298" s="85"/>
      <c r="J298" s="174"/>
      <c r="K298" s="173"/>
      <c r="L298" s="102"/>
      <c r="M298" s="85"/>
      <c r="N298" s="85"/>
      <c r="O298" s="85"/>
      <c r="P298" s="85"/>
      <c r="Q298" s="85"/>
      <c r="R298" s="85"/>
      <c r="S298" s="85"/>
    </row>
    <row r="299" spans="1:19" ht="15.75">
      <c r="A299" s="174"/>
      <c r="B299" s="176"/>
      <c r="C299" s="85"/>
      <c r="D299" s="175"/>
      <c r="E299" s="175"/>
      <c r="F299" s="85"/>
      <c r="G299" s="18">
        <f>C299</f>
        <v>0</v>
      </c>
      <c r="H299" s="85"/>
      <c r="I299" s="85"/>
      <c r="J299" s="174"/>
      <c r="K299" s="173"/>
      <c r="L299" s="102"/>
      <c r="M299" s="85"/>
      <c r="N299" s="85"/>
      <c r="O299" s="85"/>
      <c r="P299" s="85"/>
      <c r="Q299" s="85"/>
      <c r="R299" s="85"/>
      <c r="S299" s="85"/>
    </row>
    <row r="300" spans="1:19" ht="15.75">
      <c r="A300" s="174"/>
      <c r="B300" s="176"/>
      <c r="C300" s="85"/>
      <c r="D300" s="175"/>
      <c r="E300" s="175"/>
      <c r="F300" s="85"/>
      <c r="G300" s="18">
        <f>C300</f>
        <v>0</v>
      </c>
      <c r="H300" s="85"/>
      <c r="I300" s="85"/>
      <c r="J300" s="174"/>
      <c r="K300" s="173"/>
      <c r="L300" s="102"/>
      <c r="M300" s="85"/>
      <c r="N300" s="85"/>
      <c r="O300" s="85"/>
      <c r="P300" s="85"/>
      <c r="Q300" s="85"/>
      <c r="R300" s="85"/>
      <c r="S300" s="85"/>
    </row>
    <row r="301" spans="1:19" ht="15.75">
      <c r="A301" s="174"/>
      <c r="B301" s="176"/>
      <c r="C301" s="85"/>
      <c r="D301" s="175"/>
      <c r="E301" s="175"/>
      <c r="F301" s="85"/>
      <c r="G301" s="18">
        <f>C301</f>
        <v>0</v>
      </c>
      <c r="H301" s="85"/>
      <c r="I301" s="85"/>
      <c r="J301" s="174"/>
      <c r="K301" s="173"/>
      <c r="L301" s="102"/>
      <c r="M301" s="85"/>
      <c r="N301" s="85"/>
      <c r="O301" s="85"/>
      <c r="P301" s="85"/>
      <c r="Q301" s="85"/>
      <c r="R301" s="85"/>
      <c r="S301" s="85"/>
    </row>
    <row r="302" spans="1:19" ht="15.75">
      <c r="A302" s="174"/>
      <c r="B302" s="176"/>
      <c r="C302" s="85"/>
      <c r="D302" s="175"/>
      <c r="E302" s="175"/>
      <c r="F302" s="85"/>
      <c r="G302" s="18">
        <f>C302</f>
        <v>0</v>
      </c>
      <c r="H302" s="85"/>
      <c r="I302" s="85"/>
      <c r="J302" s="174"/>
      <c r="K302" s="173"/>
      <c r="L302" s="102"/>
      <c r="M302" s="85"/>
      <c r="N302" s="85"/>
      <c r="O302" s="85"/>
      <c r="P302" s="85"/>
      <c r="Q302" s="85"/>
      <c r="R302" s="85"/>
      <c r="S302" s="85"/>
    </row>
    <row r="303" spans="1:19" ht="15.75">
      <c r="A303" s="174"/>
      <c r="B303" s="176"/>
      <c r="C303" s="85"/>
      <c r="D303" s="175"/>
      <c r="E303" s="175"/>
      <c r="F303" s="85"/>
      <c r="G303" s="18">
        <f>C303</f>
        <v>0</v>
      </c>
      <c r="H303" s="85"/>
      <c r="I303" s="85"/>
      <c r="J303" s="174"/>
      <c r="K303" s="173"/>
      <c r="L303" s="102"/>
      <c r="M303" s="85"/>
      <c r="N303" s="85"/>
      <c r="O303" s="85"/>
      <c r="P303" s="85"/>
      <c r="Q303" s="85"/>
      <c r="R303" s="85"/>
      <c r="S303" s="85"/>
    </row>
    <row r="304" spans="1:19" ht="15.75">
      <c r="A304" s="174"/>
      <c r="B304" s="176"/>
      <c r="C304" s="85"/>
      <c r="D304" s="175"/>
      <c r="E304" s="175"/>
      <c r="F304" s="85"/>
      <c r="G304" s="18">
        <f>C304</f>
        <v>0</v>
      </c>
      <c r="H304" s="85"/>
      <c r="I304" s="85"/>
      <c r="J304" s="174"/>
      <c r="K304" s="173"/>
      <c r="L304" s="102"/>
      <c r="M304" s="85"/>
      <c r="N304" s="85"/>
      <c r="O304" s="85"/>
      <c r="P304" s="85"/>
      <c r="Q304" s="85"/>
      <c r="R304" s="85"/>
      <c r="S304" s="85"/>
    </row>
    <row r="305" spans="1:19" ht="15.75">
      <c r="A305" s="174"/>
      <c r="B305" s="176"/>
      <c r="C305" s="85"/>
      <c r="D305" s="175"/>
      <c r="E305" s="175"/>
      <c r="F305" s="85"/>
      <c r="G305" s="18">
        <f>C305</f>
        <v>0</v>
      </c>
      <c r="H305" s="85"/>
      <c r="I305" s="85"/>
      <c r="J305" s="174"/>
      <c r="K305" s="173"/>
      <c r="L305" s="102"/>
      <c r="M305" s="85"/>
      <c r="N305" s="85"/>
      <c r="O305" s="85"/>
      <c r="P305" s="85"/>
      <c r="Q305" s="85"/>
      <c r="R305" s="85"/>
      <c r="S305" s="85"/>
    </row>
    <row r="306" spans="1:19" ht="15.75">
      <c r="A306" s="174"/>
      <c r="B306" s="176"/>
      <c r="C306" s="85"/>
      <c r="D306" s="175"/>
      <c r="E306" s="175"/>
      <c r="F306" s="85"/>
      <c r="G306" s="18">
        <f>C306</f>
        <v>0</v>
      </c>
      <c r="H306" s="85"/>
      <c r="I306" s="85"/>
      <c r="J306" s="174"/>
      <c r="K306" s="173"/>
      <c r="L306" s="102"/>
      <c r="M306" s="85"/>
      <c r="N306" s="85"/>
      <c r="O306" s="85"/>
      <c r="P306" s="85"/>
      <c r="Q306" s="85"/>
      <c r="R306" s="85"/>
      <c r="S306" s="85"/>
    </row>
    <row r="307" spans="1:19" ht="15.75">
      <c r="A307" s="174"/>
      <c r="B307" s="176"/>
      <c r="C307" s="85"/>
      <c r="D307" s="175"/>
      <c r="E307" s="175"/>
      <c r="F307" s="85"/>
      <c r="G307" s="18">
        <f>C307</f>
        <v>0</v>
      </c>
      <c r="H307" s="85"/>
      <c r="I307" s="85"/>
      <c r="J307" s="174"/>
      <c r="K307" s="173"/>
      <c r="L307" s="102"/>
      <c r="M307" s="85"/>
      <c r="N307" s="85"/>
      <c r="O307" s="85"/>
      <c r="P307" s="85"/>
      <c r="Q307" s="85"/>
      <c r="R307" s="85"/>
      <c r="S307" s="85"/>
    </row>
    <row r="308" spans="1:19" ht="15.75">
      <c r="A308" s="174"/>
      <c r="B308" s="176"/>
      <c r="C308" s="85"/>
      <c r="D308" s="175"/>
      <c r="E308" s="175"/>
      <c r="F308" s="85"/>
      <c r="G308" s="18">
        <f>C308</f>
        <v>0</v>
      </c>
      <c r="H308" s="85"/>
      <c r="I308" s="85"/>
      <c r="J308" s="174"/>
      <c r="K308" s="173"/>
      <c r="L308" s="102"/>
      <c r="M308" s="85"/>
      <c r="N308" s="85"/>
      <c r="O308" s="85"/>
      <c r="P308" s="85"/>
      <c r="Q308" s="85"/>
      <c r="R308" s="85"/>
      <c r="S308" s="85"/>
    </row>
    <row r="309" spans="1:19" ht="15.75">
      <c r="A309" s="174"/>
      <c r="B309" s="176"/>
      <c r="C309" s="85"/>
      <c r="D309" s="175"/>
      <c r="E309" s="175"/>
      <c r="F309" s="85"/>
      <c r="G309" s="18">
        <f>C309</f>
        <v>0</v>
      </c>
      <c r="H309" s="85"/>
      <c r="I309" s="85"/>
      <c r="J309" s="174"/>
      <c r="K309" s="173"/>
      <c r="L309" s="102"/>
      <c r="M309" s="85"/>
      <c r="N309" s="85"/>
      <c r="O309" s="85"/>
      <c r="P309" s="85"/>
      <c r="Q309" s="85"/>
      <c r="R309" s="85"/>
      <c r="S309" s="85"/>
    </row>
    <row r="310" spans="1:19" ht="15.75">
      <c r="A310" s="174"/>
      <c r="B310" s="176"/>
      <c r="C310" s="85"/>
      <c r="D310" s="175"/>
      <c r="E310" s="175"/>
      <c r="F310" s="85"/>
      <c r="G310" s="18">
        <f>C310</f>
        <v>0</v>
      </c>
      <c r="H310" s="85"/>
      <c r="I310" s="85"/>
      <c r="J310" s="174"/>
      <c r="K310" s="173"/>
      <c r="L310" s="102"/>
      <c r="M310" s="85"/>
      <c r="N310" s="85"/>
      <c r="O310" s="85"/>
      <c r="P310" s="85"/>
      <c r="Q310" s="85"/>
      <c r="R310" s="85"/>
      <c r="S310" s="85"/>
    </row>
    <row r="311" spans="1:19" ht="15.75">
      <c r="A311" s="174"/>
      <c r="B311" s="176"/>
      <c r="C311" s="85"/>
      <c r="D311" s="175"/>
      <c r="E311" s="175"/>
      <c r="F311" s="85"/>
      <c r="G311" s="18">
        <f>C311</f>
        <v>0</v>
      </c>
      <c r="H311" s="85"/>
      <c r="I311" s="85"/>
      <c r="J311" s="174"/>
      <c r="K311" s="173"/>
      <c r="L311" s="102"/>
      <c r="M311" s="85"/>
      <c r="N311" s="85"/>
      <c r="O311" s="85"/>
      <c r="P311" s="85"/>
      <c r="Q311" s="85"/>
      <c r="R311" s="85"/>
      <c r="S311" s="85"/>
    </row>
    <row r="312" spans="1:19" ht="15.75">
      <c r="A312" s="174"/>
      <c r="B312" s="176"/>
      <c r="C312" s="85"/>
      <c r="D312" s="175"/>
      <c r="E312" s="175"/>
      <c r="F312" s="85"/>
      <c r="G312" s="18">
        <f>C312</f>
        <v>0</v>
      </c>
      <c r="H312" s="85"/>
      <c r="I312" s="85"/>
      <c r="J312" s="174"/>
      <c r="K312" s="173"/>
      <c r="L312" s="102"/>
      <c r="M312" s="85"/>
      <c r="N312" s="85"/>
      <c r="O312" s="85"/>
      <c r="P312" s="85"/>
      <c r="Q312" s="85"/>
      <c r="R312" s="85"/>
      <c r="S312" s="85"/>
    </row>
    <row r="313" spans="1:19" ht="15.75">
      <c r="A313" s="174"/>
      <c r="B313" s="176"/>
      <c r="C313" s="85"/>
      <c r="D313" s="175"/>
      <c r="E313" s="175"/>
      <c r="F313" s="85"/>
      <c r="G313" s="18">
        <f>C313</f>
        <v>0</v>
      </c>
      <c r="H313" s="85"/>
      <c r="I313" s="85"/>
      <c r="J313" s="174"/>
      <c r="K313" s="173"/>
      <c r="L313" s="102"/>
      <c r="M313" s="85"/>
      <c r="N313" s="85"/>
      <c r="O313" s="85"/>
      <c r="P313" s="85"/>
      <c r="Q313" s="85"/>
      <c r="R313" s="85"/>
      <c r="S313" s="85"/>
    </row>
    <row r="314" spans="1:19" ht="15.75">
      <c r="A314" s="174"/>
      <c r="B314" s="176"/>
      <c r="C314" s="85"/>
      <c r="D314" s="175"/>
      <c r="E314" s="175"/>
      <c r="F314" s="85"/>
      <c r="G314" s="18">
        <f>C314</f>
        <v>0</v>
      </c>
      <c r="H314" s="85"/>
      <c r="I314" s="85"/>
      <c r="J314" s="174"/>
      <c r="K314" s="173"/>
      <c r="L314" s="102"/>
      <c r="M314" s="85"/>
      <c r="N314" s="85"/>
      <c r="O314" s="85"/>
      <c r="P314" s="85"/>
      <c r="Q314" s="85"/>
      <c r="R314" s="85"/>
      <c r="S314" s="85"/>
    </row>
    <row r="315" spans="1:19" ht="15.75">
      <c r="A315" s="174"/>
      <c r="B315" s="176"/>
      <c r="C315" s="85"/>
      <c r="D315" s="175"/>
      <c r="E315" s="175"/>
      <c r="F315" s="85"/>
      <c r="G315" s="18">
        <f>C315</f>
        <v>0</v>
      </c>
      <c r="H315" s="85"/>
      <c r="I315" s="85"/>
      <c r="J315" s="174"/>
      <c r="K315" s="173"/>
      <c r="L315" s="102"/>
      <c r="M315" s="85"/>
      <c r="N315" s="85"/>
      <c r="O315" s="85"/>
      <c r="P315" s="85"/>
      <c r="Q315" s="85"/>
      <c r="R315" s="85"/>
      <c r="S315" s="85"/>
    </row>
    <row r="316" spans="1:19" ht="15.75">
      <c r="A316" s="174"/>
      <c r="B316" s="176"/>
      <c r="C316" s="85"/>
      <c r="D316" s="175"/>
      <c r="E316" s="175"/>
      <c r="F316" s="85"/>
      <c r="G316" s="18">
        <f>C316</f>
        <v>0</v>
      </c>
      <c r="H316" s="85"/>
      <c r="I316" s="85"/>
      <c r="J316" s="174"/>
      <c r="K316" s="173"/>
      <c r="L316" s="102"/>
      <c r="M316" s="85"/>
      <c r="N316" s="85"/>
      <c r="O316" s="85"/>
      <c r="P316" s="85"/>
      <c r="Q316" s="85"/>
      <c r="R316" s="85"/>
      <c r="S316" s="85"/>
    </row>
    <row r="317" spans="1:19" ht="15.75">
      <c r="A317" s="174"/>
      <c r="B317" s="176"/>
      <c r="C317" s="85"/>
      <c r="D317" s="175"/>
      <c r="E317" s="175"/>
      <c r="F317" s="85"/>
      <c r="G317" s="18">
        <f>C317</f>
        <v>0</v>
      </c>
      <c r="H317" s="85"/>
      <c r="I317" s="85"/>
      <c r="J317" s="174"/>
      <c r="K317" s="173"/>
      <c r="L317" s="102"/>
      <c r="M317" s="85"/>
      <c r="N317" s="85"/>
      <c r="O317" s="85"/>
      <c r="P317" s="85"/>
      <c r="Q317" s="85"/>
      <c r="R317" s="85"/>
      <c r="S317" s="85"/>
    </row>
    <row r="318" spans="1:19" ht="15.75">
      <c r="A318" s="174"/>
      <c r="B318" s="176"/>
      <c r="C318" s="85"/>
      <c r="D318" s="175"/>
      <c r="E318" s="175"/>
      <c r="F318" s="85"/>
      <c r="G318" s="18">
        <f>C318</f>
        <v>0</v>
      </c>
      <c r="H318" s="85"/>
      <c r="I318" s="85"/>
      <c r="J318" s="174"/>
      <c r="K318" s="173"/>
      <c r="L318" s="102"/>
      <c r="M318" s="85"/>
      <c r="N318" s="85"/>
      <c r="O318" s="85"/>
      <c r="P318" s="85"/>
      <c r="Q318" s="85"/>
      <c r="R318" s="85"/>
      <c r="S318" s="85"/>
    </row>
    <row r="319" spans="1:19" ht="15.75">
      <c r="A319" s="174"/>
      <c r="B319" s="176"/>
      <c r="C319" s="85"/>
      <c r="D319" s="175"/>
      <c r="E319" s="175"/>
      <c r="F319" s="85"/>
      <c r="G319" s="18">
        <f>C319</f>
        <v>0</v>
      </c>
      <c r="H319" s="85"/>
      <c r="I319" s="85"/>
      <c r="J319" s="174"/>
      <c r="K319" s="173"/>
      <c r="L319" s="102"/>
      <c r="M319" s="85"/>
      <c r="N319" s="85"/>
      <c r="O319" s="85"/>
      <c r="P319" s="85"/>
      <c r="Q319" s="85"/>
      <c r="R319" s="85"/>
      <c r="S319" s="85"/>
    </row>
    <row r="320" spans="1:19" ht="15.75">
      <c r="A320" s="174"/>
      <c r="B320" s="176"/>
      <c r="C320" s="85"/>
      <c r="D320" s="175"/>
      <c r="E320" s="175"/>
      <c r="F320" s="85"/>
      <c r="G320" s="18">
        <f>C320</f>
        <v>0</v>
      </c>
      <c r="H320" s="85"/>
      <c r="I320" s="85"/>
      <c r="J320" s="174"/>
      <c r="K320" s="173"/>
      <c r="L320" s="102"/>
      <c r="M320" s="85"/>
      <c r="N320" s="85"/>
      <c r="O320" s="85"/>
      <c r="P320" s="85"/>
      <c r="Q320" s="85"/>
      <c r="R320" s="85"/>
      <c r="S320" s="85"/>
    </row>
    <row r="321" spans="1:19" ht="15.75">
      <c r="A321" s="174"/>
      <c r="B321" s="176"/>
      <c r="C321" s="85"/>
      <c r="D321" s="175"/>
      <c r="E321" s="175"/>
      <c r="F321" s="85"/>
      <c r="G321" s="18">
        <f>C321</f>
        <v>0</v>
      </c>
      <c r="H321" s="85"/>
      <c r="I321" s="85"/>
      <c r="J321" s="174"/>
      <c r="K321" s="173"/>
      <c r="L321" s="102"/>
      <c r="M321" s="85"/>
      <c r="N321" s="85"/>
      <c r="O321" s="85"/>
      <c r="P321" s="85"/>
      <c r="Q321" s="85"/>
      <c r="R321" s="85"/>
      <c r="S321" s="85"/>
    </row>
    <row r="322" spans="1:19" ht="15.75">
      <c r="A322" s="174"/>
      <c r="B322" s="176"/>
      <c r="C322" s="85"/>
      <c r="D322" s="175"/>
      <c r="E322" s="175"/>
      <c r="F322" s="85"/>
      <c r="G322" s="18">
        <f>C322</f>
        <v>0</v>
      </c>
      <c r="H322" s="85"/>
      <c r="I322" s="85"/>
      <c r="J322" s="174"/>
      <c r="K322" s="173"/>
      <c r="L322" s="102"/>
      <c r="M322" s="85"/>
      <c r="N322" s="85"/>
      <c r="O322" s="85"/>
      <c r="P322" s="85"/>
      <c r="Q322" s="85"/>
      <c r="R322" s="85"/>
      <c r="S322" s="85"/>
    </row>
    <row r="323" spans="1:19" ht="15.75">
      <c r="A323" s="174"/>
      <c r="B323" s="176"/>
      <c r="C323" s="85"/>
      <c r="D323" s="175"/>
      <c r="E323" s="175"/>
      <c r="F323" s="85"/>
      <c r="G323" s="18">
        <f>C323</f>
        <v>0</v>
      </c>
      <c r="H323" s="85"/>
      <c r="I323" s="85"/>
      <c r="J323" s="174"/>
      <c r="K323" s="173"/>
      <c r="L323" s="102"/>
      <c r="M323" s="85"/>
      <c r="N323" s="85"/>
      <c r="O323" s="85"/>
      <c r="P323" s="85"/>
      <c r="Q323" s="85"/>
      <c r="R323" s="85"/>
      <c r="S323" s="85"/>
    </row>
    <row r="324" spans="1:19" ht="15.75">
      <c r="A324" s="174"/>
      <c r="B324" s="176"/>
      <c r="C324" s="85"/>
      <c r="D324" s="175"/>
      <c r="E324" s="175"/>
      <c r="F324" s="85"/>
      <c r="G324" s="18">
        <f>C324</f>
        <v>0</v>
      </c>
      <c r="H324" s="85"/>
      <c r="I324" s="85"/>
      <c r="J324" s="174"/>
      <c r="K324" s="173"/>
      <c r="L324" s="102"/>
      <c r="M324" s="85"/>
      <c r="N324" s="85"/>
      <c r="O324" s="85"/>
      <c r="P324" s="85"/>
      <c r="Q324" s="85"/>
      <c r="R324" s="85"/>
      <c r="S324" s="85"/>
    </row>
    <row r="325" spans="1:19" ht="15.75">
      <c r="A325" s="174"/>
      <c r="B325" s="176"/>
      <c r="C325" s="85"/>
      <c r="D325" s="175"/>
      <c r="E325" s="175"/>
      <c r="F325" s="85"/>
      <c r="G325" s="18">
        <f>C325</f>
        <v>0</v>
      </c>
      <c r="H325" s="85"/>
      <c r="I325" s="85"/>
      <c r="J325" s="174"/>
      <c r="K325" s="173"/>
      <c r="L325" s="102"/>
      <c r="M325" s="85"/>
      <c r="N325" s="85"/>
      <c r="O325" s="85"/>
      <c r="P325" s="85"/>
      <c r="Q325" s="85"/>
      <c r="R325" s="85"/>
      <c r="S325" s="85"/>
    </row>
    <row r="326" spans="1:19" ht="15.75">
      <c r="A326" s="174"/>
      <c r="B326" s="176"/>
      <c r="C326" s="85"/>
      <c r="D326" s="175"/>
      <c r="E326" s="175"/>
      <c r="F326" s="85"/>
      <c r="G326" s="18">
        <f>C326</f>
        <v>0</v>
      </c>
      <c r="H326" s="85"/>
      <c r="I326" s="85"/>
      <c r="J326" s="174"/>
      <c r="K326" s="173"/>
      <c r="L326" s="102"/>
      <c r="M326" s="85"/>
      <c r="N326" s="85"/>
      <c r="O326" s="85"/>
      <c r="P326" s="85"/>
      <c r="Q326" s="85"/>
      <c r="R326" s="85"/>
      <c r="S326" s="85"/>
    </row>
    <row r="327" spans="1:19" ht="15.75">
      <c r="A327" s="174"/>
      <c r="B327" s="176"/>
      <c r="C327" s="85"/>
      <c r="D327" s="175"/>
      <c r="E327" s="175"/>
      <c r="F327" s="85"/>
      <c r="G327" s="18">
        <f>C327</f>
        <v>0</v>
      </c>
      <c r="H327" s="85"/>
      <c r="I327" s="85"/>
      <c r="J327" s="174"/>
      <c r="K327" s="173"/>
      <c r="L327" s="102"/>
      <c r="M327" s="85"/>
      <c r="N327" s="85"/>
      <c r="O327" s="85"/>
      <c r="P327" s="85"/>
      <c r="Q327" s="85"/>
      <c r="R327" s="85"/>
      <c r="S327" s="85"/>
    </row>
    <row r="328" spans="1:19" ht="15.75">
      <c r="A328" s="174"/>
      <c r="B328" s="176"/>
      <c r="C328" s="85"/>
      <c r="D328" s="175"/>
      <c r="E328" s="175"/>
      <c r="F328" s="85"/>
      <c r="G328" s="18">
        <f>C328</f>
        <v>0</v>
      </c>
      <c r="H328" s="85"/>
      <c r="I328" s="85"/>
      <c r="J328" s="174"/>
      <c r="K328" s="173"/>
      <c r="L328" s="102"/>
      <c r="M328" s="85"/>
      <c r="N328" s="85"/>
      <c r="O328" s="85"/>
      <c r="P328" s="85"/>
      <c r="Q328" s="85"/>
      <c r="R328" s="85"/>
      <c r="S328" s="85"/>
    </row>
    <row r="329" spans="1:19" ht="15.75">
      <c r="A329" s="174"/>
      <c r="B329" s="176"/>
      <c r="C329" s="85"/>
      <c r="D329" s="175"/>
      <c r="E329" s="175"/>
      <c r="F329" s="85"/>
      <c r="G329" s="18">
        <f>C329</f>
        <v>0</v>
      </c>
      <c r="H329" s="85"/>
      <c r="I329" s="85"/>
      <c r="J329" s="174"/>
      <c r="K329" s="173"/>
      <c r="L329" s="102"/>
      <c r="M329" s="85"/>
      <c r="N329" s="85"/>
      <c r="O329" s="85"/>
      <c r="P329" s="85"/>
      <c r="Q329" s="85"/>
      <c r="R329" s="85"/>
      <c r="S329" s="85"/>
    </row>
    <row r="330" spans="1:19" ht="15.75">
      <c r="A330" s="174"/>
      <c r="B330" s="176"/>
      <c r="C330" s="85"/>
      <c r="D330" s="175"/>
      <c r="E330" s="175"/>
      <c r="F330" s="85"/>
      <c r="G330" s="18">
        <f>C330</f>
        <v>0</v>
      </c>
      <c r="H330" s="85"/>
      <c r="I330" s="85"/>
      <c r="J330" s="174"/>
      <c r="K330" s="173"/>
      <c r="L330" s="102"/>
      <c r="M330" s="85"/>
      <c r="N330" s="85"/>
      <c r="O330" s="85"/>
      <c r="P330" s="85"/>
      <c r="Q330" s="85"/>
      <c r="R330" s="85"/>
      <c r="S330" s="85"/>
    </row>
    <row r="331" spans="1:19" ht="15.75">
      <c r="A331" s="174"/>
      <c r="B331" s="176"/>
      <c r="C331" s="85"/>
      <c r="D331" s="175"/>
      <c r="E331" s="175"/>
      <c r="F331" s="85"/>
      <c r="G331" s="18">
        <f>C331</f>
        <v>0</v>
      </c>
      <c r="H331" s="85"/>
      <c r="I331" s="85"/>
      <c r="J331" s="174"/>
      <c r="K331" s="173"/>
      <c r="L331" s="102"/>
      <c r="M331" s="85"/>
      <c r="N331" s="85"/>
      <c r="O331" s="85"/>
      <c r="P331" s="85"/>
      <c r="Q331" s="85"/>
      <c r="R331" s="85"/>
      <c r="S331" s="85"/>
    </row>
    <row r="332" spans="1:19" ht="15.75">
      <c r="A332" s="174"/>
      <c r="B332" s="176"/>
      <c r="C332" s="85"/>
      <c r="D332" s="175"/>
      <c r="E332" s="175"/>
      <c r="F332" s="85"/>
      <c r="G332" s="18">
        <f>C332</f>
        <v>0</v>
      </c>
      <c r="H332" s="85"/>
      <c r="I332" s="85"/>
      <c r="J332" s="174"/>
      <c r="K332" s="173"/>
      <c r="L332" s="102"/>
      <c r="M332" s="85"/>
      <c r="N332" s="85"/>
      <c r="O332" s="85"/>
      <c r="P332" s="85"/>
      <c r="Q332" s="85"/>
      <c r="R332" s="85"/>
      <c r="S332" s="85"/>
    </row>
    <row r="333" spans="1:19" ht="15.75">
      <c r="A333" s="174"/>
      <c r="B333" s="176"/>
      <c r="C333" s="85"/>
      <c r="D333" s="175"/>
      <c r="E333" s="175"/>
      <c r="F333" s="85"/>
      <c r="G333" s="18">
        <f>C333</f>
        <v>0</v>
      </c>
      <c r="H333" s="85"/>
      <c r="I333" s="85"/>
      <c r="J333" s="174"/>
      <c r="K333" s="173"/>
      <c r="L333" s="102"/>
      <c r="M333" s="85"/>
      <c r="N333" s="85"/>
      <c r="O333" s="85"/>
      <c r="P333" s="85"/>
      <c r="Q333" s="85"/>
      <c r="R333" s="85"/>
      <c r="S333" s="85"/>
    </row>
    <row r="334" spans="1:19" ht="15.75">
      <c r="A334" s="174"/>
      <c r="B334" s="176"/>
      <c r="C334" s="85"/>
      <c r="D334" s="175"/>
      <c r="E334" s="175"/>
      <c r="F334" s="85"/>
      <c r="G334" s="18">
        <f>C334</f>
        <v>0</v>
      </c>
      <c r="H334" s="85"/>
      <c r="I334" s="85"/>
      <c r="J334" s="174"/>
      <c r="K334" s="173"/>
      <c r="L334" s="102"/>
      <c r="M334" s="85"/>
      <c r="N334" s="85"/>
      <c r="O334" s="85"/>
      <c r="P334" s="85"/>
      <c r="Q334" s="85"/>
      <c r="R334" s="85"/>
      <c r="S334" s="85"/>
    </row>
    <row r="335" spans="1:19" ht="15.75">
      <c r="A335" s="174"/>
      <c r="B335" s="176"/>
      <c r="C335" s="85"/>
      <c r="D335" s="175"/>
      <c r="E335" s="175"/>
      <c r="F335" s="85"/>
      <c r="G335" s="18">
        <f>C335</f>
        <v>0</v>
      </c>
      <c r="H335" s="85"/>
      <c r="I335" s="85"/>
      <c r="J335" s="174"/>
      <c r="K335" s="173"/>
      <c r="L335" s="102"/>
      <c r="M335" s="85"/>
      <c r="N335" s="85"/>
      <c r="O335" s="85"/>
      <c r="P335" s="85"/>
      <c r="Q335" s="85"/>
      <c r="R335" s="85"/>
      <c r="S335" s="85"/>
    </row>
    <row r="336" spans="1:19" ht="15.75">
      <c r="A336" s="174"/>
      <c r="B336" s="176"/>
      <c r="C336" s="85"/>
      <c r="D336" s="175"/>
      <c r="E336" s="175"/>
      <c r="F336" s="85"/>
      <c r="G336" s="18">
        <f>C336</f>
        <v>0</v>
      </c>
      <c r="H336" s="85"/>
      <c r="I336" s="85"/>
      <c r="J336" s="174"/>
      <c r="K336" s="173"/>
      <c r="L336" s="102"/>
      <c r="M336" s="85"/>
      <c r="N336" s="85"/>
      <c r="O336" s="85"/>
      <c r="P336" s="85"/>
      <c r="Q336" s="85"/>
      <c r="R336" s="85"/>
      <c r="S336" s="85"/>
    </row>
    <row r="337" spans="1:19" ht="15.75">
      <c r="A337" s="174"/>
      <c r="B337" s="176"/>
      <c r="C337" s="85"/>
      <c r="D337" s="175"/>
      <c r="E337" s="175"/>
      <c r="F337" s="85"/>
      <c r="G337" s="18">
        <f>C337</f>
        <v>0</v>
      </c>
      <c r="H337" s="85"/>
      <c r="I337" s="85"/>
      <c r="J337" s="174"/>
      <c r="K337" s="173"/>
      <c r="L337" s="102"/>
      <c r="M337" s="85"/>
      <c r="N337" s="85"/>
      <c r="O337" s="85"/>
      <c r="P337" s="85"/>
      <c r="Q337" s="85"/>
      <c r="R337" s="85"/>
      <c r="S337" s="85"/>
    </row>
    <row r="338" spans="1:19" ht="15.75">
      <c r="A338" s="174"/>
      <c r="B338" s="176"/>
      <c r="C338" s="85"/>
      <c r="D338" s="175"/>
      <c r="E338" s="175"/>
      <c r="F338" s="85"/>
      <c r="G338" s="18">
        <f>C338</f>
        <v>0</v>
      </c>
      <c r="H338" s="85"/>
      <c r="I338" s="85"/>
      <c r="J338" s="174"/>
      <c r="K338" s="173"/>
      <c r="L338" s="102"/>
      <c r="M338" s="85"/>
      <c r="N338" s="85"/>
      <c r="O338" s="85"/>
      <c r="P338" s="85"/>
      <c r="Q338" s="85"/>
      <c r="R338" s="85"/>
      <c r="S338" s="85"/>
    </row>
    <row r="339" spans="1:19" ht="15.75">
      <c r="A339" s="174"/>
      <c r="B339" s="176"/>
      <c r="C339" s="85"/>
      <c r="D339" s="175"/>
      <c r="E339" s="175"/>
      <c r="F339" s="85"/>
      <c r="G339" s="18">
        <f>C339</f>
        <v>0</v>
      </c>
      <c r="H339" s="85"/>
      <c r="I339" s="85"/>
      <c r="J339" s="174"/>
      <c r="K339" s="173"/>
      <c r="L339" s="102"/>
      <c r="M339" s="85"/>
      <c r="N339" s="85"/>
      <c r="O339" s="85"/>
      <c r="P339" s="85"/>
      <c r="Q339" s="85"/>
      <c r="R339" s="85"/>
      <c r="S339" s="85"/>
    </row>
    <row r="340" spans="1:19" ht="15.75">
      <c r="A340" s="174"/>
      <c r="B340" s="176"/>
      <c r="C340" s="85"/>
      <c r="D340" s="175"/>
      <c r="E340" s="175"/>
      <c r="F340" s="85"/>
      <c r="G340" s="18">
        <f>C340</f>
        <v>0</v>
      </c>
      <c r="H340" s="85"/>
      <c r="I340" s="85"/>
      <c r="J340" s="174"/>
      <c r="K340" s="173"/>
      <c r="L340" s="102"/>
      <c r="M340" s="85"/>
      <c r="N340" s="85"/>
      <c r="O340" s="85"/>
      <c r="P340" s="85"/>
      <c r="Q340" s="85"/>
      <c r="R340" s="85"/>
      <c r="S340" s="85"/>
    </row>
    <row r="341" spans="1:19" ht="15.75">
      <c r="A341" s="174"/>
      <c r="B341" s="176"/>
      <c r="C341" s="85"/>
      <c r="D341" s="175"/>
      <c r="E341" s="175"/>
      <c r="F341" s="85"/>
      <c r="G341" s="18">
        <f>C341</f>
        <v>0</v>
      </c>
      <c r="H341" s="85"/>
      <c r="I341" s="85"/>
      <c r="J341" s="174"/>
      <c r="K341" s="173"/>
      <c r="L341" s="102"/>
      <c r="M341" s="85"/>
      <c r="N341" s="85"/>
      <c r="O341" s="85"/>
      <c r="P341" s="85"/>
      <c r="Q341" s="85"/>
      <c r="R341" s="85"/>
      <c r="S341" s="85"/>
    </row>
    <row r="342" spans="1:19" ht="15.75">
      <c r="A342" s="174"/>
      <c r="B342" s="176"/>
      <c r="C342" s="85"/>
      <c r="D342" s="175"/>
      <c r="E342" s="175"/>
      <c r="F342" s="85"/>
      <c r="G342" s="18">
        <f>C342</f>
        <v>0</v>
      </c>
      <c r="H342" s="85"/>
      <c r="I342" s="85"/>
      <c r="J342" s="174"/>
      <c r="K342" s="173"/>
      <c r="L342" s="102"/>
      <c r="M342" s="85"/>
      <c r="N342" s="85"/>
      <c r="O342" s="85"/>
      <c r="P342" s="85"/>
      <c r="Q342" s="85"/>
      <c r="R342" s="85"/>
      <c r="S342" s="85"/>
    </row>
    <row r="343" spans="1:19" ht="15.75">
      <c r="A343" s="174"/>
      <c r="B343" s="176"/>
      <c r="C343" s="85"/>
      <c r="D343" s="175"/>
      <c r="E343" s="175"/>
      <c r="F343" s="85"/>
      <c r="G343" s="18">
        <f>C343</f>
        <v>0</v>
      </c>
      <c r="H343" s="85"/>
      <c r="I343" s="85"/>
      <c r="J343" s="174"/>
      <c r="K343" s="173"/>
      <c r="L343" s="102"/>
      <c r="M343" s="85"/>
      <c r="N343" s="85"/>
      <c r="O343" s="85"/>
      <c r="P343" s="85"/>
      <c r="Q343" s="85"/>
      <c r="R343" s="85"/>
      <c r="S343" s="85"/>
    </row>
    <row r="344" spans="1:19" ht="15.75">
      <c r="A344" s="174"/>
      <c r="B344" s="176"/>
      <c r="C344" s="85"/>
      <c r="D344" s="175"/>
      <c r="E344" s="175"/>
      <c r="F344" s="85"/>
      <c r="G344" s="18">
        <f>C344</f>
        <v>0</v>
      </c>
      <c r="H344" s="85"/>
      <c r="I344" s="85"/>
      <c r="J344" s="174"/>
      <c r="K344" s="173"/>
      <c r="L344" s="102"/>
      <c r="M344" s="85"/>
      <c r="N344" s="85"/>
      <c r="O344" s="85"/>
      <c r="P344" s="85"/>
      <c r="Q344" s="85"/>
      <c r="R344" s="85"/>
      <c r="S344" s="85"/>
    </row>
    <row r="345" spans="1:19" ht="15.75">
      <c r="A345" s="174"/>
      <c r="B345" s="176"/>
      <c r="C345" s="85"/>
      <c r="D345" s="175"/>
      <c r="E345" s="175"/>
      <c r="F345" s="85"/>
      <c r="G345" s="18">
        <f>C345</f>
        <v>0</v>
      </c>
      <c r="H345" s="85"/>
      <c r="I345" s="85"/>
      <c r="J345" s="174"/>
      <c r="K345" s="173"/>
      <c r="L345" s="102"/>
      <c r="M345" s="85"/>
      <c r="N345" s="85"/>
      <c r="O345" s="85"/>
      <c r="P345" s="85"/>
      <c r="Q345" s="85"/>
      <c r="R345" s="85"/>
      <c r="S345" s="85"/>
    </row>
    <row r="346" spans="1:19" ht="15.75">
      <c r="A346" s="174"/>
      <c r="B346" s="176"/>
      <c r="C346" s="85"/>
      <c r="D346" s="175"/>
      <c r="E346" s="175"/>
      <c r="F346" s="85"/>
      <c r="G346" s="18">
        <f>C346</f>
        <v>0</v>
      </c>
      <c r="H346" s="85"/>
      <c r="I346" s="85"/>
      <c r="J346" s="174"/>
      <c r="K346" s="173"/>
      <c r="L346" s="102"/>
      <c r="M346" s="85"/>
      <c r="N346" s="85"/>
      <c r="O346" s="85"/>
      <c r="P346" s="85"/>
      <c r="Q346" s="85"/>
      <c r="R346" s="85"/>
      <c r="S346" s="85"/>
    </row>
    <row r="347" spans="1:19" ht="15.75">
      <c r="A347" s="174"/>
      <c r="B347" s="176"/>
      <c r="C347" s="85"/>
      <c r="D347" s="175"/>
      <c r="E347" s="175"/>
      <c r="F347" s="85"/>
      <c r="G347" s="18">
        <f>C347</f>
        <v>0</v>
      </c>
      <c r="H347" s="85"/>
      <c r="I347" s="85"/>
      <c r="J347" s="174"/>
      <c r="K347" s="173"/>
      <c r="L347" s="102"/>
      <c r="M347" s="85"/>
      <c r="N347" s="85"/>
      <c r="O347" s="85"/>
      <c r="P347" s="85"/>
      <c r="Q347" s="85"/>
      <c r="R347" s="85"/>
      <c r="S347" s="85"/>
    </row>
    <row r="348" spans="1:19" ht="15.75">
      <c r="A348" s="174"/>
      <c r="B348" s="176"/>
      <c r="C348" s="85"/>
      <c r="D348" s="175"/>
      <c r="E348" s="175"/>
      <c r="F348" s="85"/>
      <c r="G348" s="18">
        <f>C348</f>
        <v>0</v>
      </c>
      <c r="H348" s="85"/>
      <c r="I348" s="85"/>
      <c r="J348" s="174"/>
      <c r="K348" s="173"/>
      <c r="L348" s="102"/>
      <c r="M348" s="85"/>
      <c r="N348" s="85"/>
      <c r="O348" s="85"/>
      <c r="P348" s="85"/>
      <c r="Q348" s="85"/>
      <c r="R348" s="85"/>
      <c r="S348" s="85"/>
    </row>
    <row r="349" spans="1:19" ht="15.75">
      <c r="A349" s="174"/>
      <c r="B349" s="176"/>
      <c r="C349" s="85"/>
      <c r="D349" s="175"/>
      <c r="E349" s="175"/>
      <c r="F349" s="85"/>
      <c r="G349" s="18">
        <f>C349</f>
        <v>0</v>
      </c>
      <c r="H349" s="85"/>
      <c r="I349" s="85"/>
      <c r="J349" s="174"/>
      <c r="K349" s="173"/>
      <c r="L349" s="102"/>
      <c r="M349" s="85"/>
      <c r="N349" s="85"/>
      <c r="O349" s="85"/>
      <c r="P349" s="85"/>
      <c r="Q349" s="85"/>
      <c r="R349" s="85"/>
      <c r="S349" s="85"/>
    </row>
    <row r="350" spans="1:19" ht="15.75">
      <c r="A350" s="174"/>
      <c r="B350" s="176"/>
      <c r="C350" s="85"/>
      <c r="D350" s="175"/>
      <c r="E350" s="175"/>
      <c r="F350" s="85"/>
      <c r="G350" s="18">
        <f>C350</f>
        <v>0</v>
      </c>
      <c r="H350" s="85"/>
      <c r="I350" s="85"/>
      <c r="J350" s="174"/>
      <c r="K350" s="173"/>
      <c r="L350" s="102"/>
      <c r="M350" s="85"/>
      <c r="N350" s="85"/>
      <c r="O350" s="85"/>
      <c r="P350" s="85"/>
      <c r="Q350" s="85"/>
      <c r="R350" s="85"/>
      <c r="S350" s="85"/>
    </row>
    <row r="351" spans="1:19" ht="15.75">
      <c r="A351" s="174"/>
      <c r="B351" s="176"/>
      <c r="C351" s="85"/>
      <c r="D351" s="175"/>
      <c r="E351" s="175"/>
      <c r="F351" s="85"/>
      <c r="G351" s="18">
        <f>C351</f>
        <v>0</v>
      </c>
      <c r="H351" s="85"/>
      <c r="I351" s="85"/>
      <c r="J351" s="174"/>
      <c r="K351" s="173"/>
      <c r="L351" s="102"/>
      <c r="M351" s="85"/>
      <c r="N351" s="85"/>
      <c r="O351" s="85"/>
      <c r="P351" s="85"/>
      <c r="Q351" s="85"/>
      <c r="R351" s="85"/>
      <c r="S351" s="85"/>
    </row>
    <row r="352" spans="1:19" ht="15.75">
      <c r="A352" s="174"/>
      <c r="B352" s="176"/>
      <c r="C352" s="85"/>
      <c r="D352" s="175"/>
      <c r="E352" s="175"/>
      <c r="F352" s="85"/>
      <c r="G352" s="18">
        <f>C352</f>
        <v>0</v>
      </c>
      <c r="H352" s="85"/>
      <c r="I352" s="85"/>
      <c r="J352" s="174"/>
      <c r="K352" s="173"/>
      <c r="L352" s="102"/>
      <c r="M352" s="85"/>
      <c r="N352" s="85"/>
      <c r="O352" s="85"/>
      <c r="P352" s="85"/>
      <c r="Q352" s="85"/>
      <c r="R352" s="85"/>
      <c r="S352" s="85"/>
    </row>
    <row r="353" spans="1:19" ht="15.75">
      <c r="A353" s="174"/>
      <c r="B353" s="176"/>
      <c r="C353" s="85"/>
      <c r="D353" s="175"/>
      <c r="E353" s="175"/>
      <c r="F353" s="85"/>
      <c r="G353" s="18">
        <f>C353</f>
        <v>0</v>
      </c>
      <c r="H353" s="85"/>
      <c r="I353" s="85"/>
      <c r="J353" s="174"/>
      <c r="K353" s="173"/>
      <c r="L353" s="102"/>
      <c r="M353" s="85"/>
      <c r="N353" s="85"/>
      <c r="O353" s="85"/>
      <c r="P353" s="85"/>
      <c r="Q353" s="85"/>
      <c r="R353" s="85"/>
      <c r="S353" s="85"/>
    </row>
    <row r="354" spans="1:19" ht="15.75">
      <c r="A354" s="174"/>
      <c r="B354" s="176"/>
      <c r="C354" s="85"/>
      <c r="D354" s="175"/>
      <c r="E354" s="175"/>
      <c r="F354" s="85"/>
      <c r="G354" s="18">
        <f>C354</f>
        <v>0</v>
      </c>
      <c r="H354" s="85"/>
      <c r="I354" s="85"/>
      <c r="J354" s="174"/>
      <c r="K354" s="173"/>
      <c r="L354" s="102"/>
      <c r="M354" s="85"/>
      <c r="N354" s="85"/>
      <c r="O354" s="85"/>
      <c r="P354" s="85"/>
      <c r="Q354" s="85"/>
      <c r="R354" s="85"/>
      <c r="S354" s="85"/>
    </row>
    <row r="355" spans="1:19" ht="15.75">
      <c r="A355" s="174"/>
      <c r="B355" s="176"/>
      <c r="C355" s="85"/>
      <c r="D355" s="175"/>
      <c r="E355" s="175"/>
      <c r="F355" s="85"/>
      <c r="G355" s="18">
        <f>C355</f>
        <v>0</v>
      </c>
      <c r="H355" s="85"/>
      <c r="I355" s="85"/>
      <c r="J355" s="174"/>
      <c r="K355" s="173"/>
      <c r="L355" s="102"/>
      <c r="M355" s="85"/>
      <c r="N355" s="85"/>
      <c r="O355" s="85"/>
      <c r="P355" s="85"/>
      <c r="Q355" s="85"/>
      <c r="R355" s="85"/>
      <c r="S355" s="85"/>
    </row>
    <row r="356" spans="1:19" ht="15.75">
      <c r="A356" s="174"/>
      <c r="B356" s="176"/>
      <c r="C356" s="85"/>
      <c r="D356" s="175"/>
      <c r="E356" s="175"/>
      <c r="F356" s="85"/>
      <c r="G356" s="18">
        <f>C356</f>
        <v>0</v>
      </c>
      <c r="H356" s="85"/>
      <c r="I356" s="85"/>
      <c r="J356" s="174"/>
      <c r="K356" s="173"/>
      <c r="L356" s="102"/>
      <c r="M356" s="85"/>
      <c r="N356" s="85"/>
      <c r="O356" s="85"/>
      <c r="P356" s="85"/>
      <c r="Q356" s="85"/>
      <c r="R356" s="85"/>
      <c r="S356" s="85"/>
    </row>
    <row r="357" spans="1:19" ht="15.75">
      <c r="A357" s="174"/>
      <c r="B357" s="176"/>
      <c r="C357" s="85"/>
      <c r="D357" s="175"/>
      <c r="E357" s="175"/>
      <c r="F357" s="85"/>
      <c r="G357" s="18">
        <f>C357</f>
        <v>0</v>
      </c>
      <c r="H357" s="85"/>
      <c r="I357" s="85"/>
      <c r="J357" s="174"/>
      <c r="K357" s="173"/>
      <c r="L357" s="102"/>
      <c r="M357" s="85"/>
      <c r="N357" s="85"/>
      <c r="O357" s="85"/>
      <c r="P357" s="85"/>
      <c r="Q357" s="85"/>
      <c r="R357" s="85"/>
      <c r="S357" s="85"/>
    </row>
    <row r="358" spans="1:19" ht="15.75">
      <c r="A358" s="174"/>
      <c r="B358" s="176"/>
      <c r="C358" s="85"/>
      <c r="D358" s="175"/>
      <c r="E358" s="175"/>
      <c r="F358" s="85"/>
      <c r="G358" s="18">
        <f>C358</f>
        <v>0</v>
      </c>
      <c r="H358" s="85"/>
      <c r="I358" s="85"/>
      <c r="J358" s="174"/>
      <c r="K358" s="173"/>
      <c r="L358" s="102"/>
      <c r="M358" s="85"/>
      <c r="N358" s="85"/>
      <c r="O358" s="85"/>
      <c r="P358" s="85"/>
      <c r="Q358" s="85"/>
      <c r="R358" s="85"/>
      <c r="S358" s="85"/>
    </row>
    <row r="359" spans="1:19" ht="15.75">
      <c r="A359" s="174"/>
      <c r="B359" s="176"/>
      <c r="C359" s="85"/>
      <c r="D359" s="175"/>
      <c r="E359" s="175"/>
      <c r="F359" s="85"/>
      <c r="G359" s="18">
        <f>C359</f>
        <v>0</v>
      </c>
      <c r="H359" s="85"/>
      <c r="I359" s="85"/>
      <c r="J359" s="174"/>
      <c r="K359" s="173"/>
      <c r="L359" s="102"/>
      <c r="M359" s="85"/>
      <c r="N359" s="85"/>
      <c r="O359" s="85"/>
      <c r="P359" s="85"/>
      <c r="Q359" s="85"/>
      <c r="R359" s="85"/>
      <c r="S359" s="85"/>
    </row>
    <row r="360" spans="1:19" ht="15.75">
      <c r="A360" s="174"/>
      <c r="B360" s="176"/>
      <c r="C360" s="85"/>
      <c r="D360" s="175"/>
      <c r="E360" s="175"/>
      <c r="F360" s="85"/>
      <c r="G360" s="18">
        <f>C360</f>
        <v>0</v>
      </c>
      <c r="H360" s="85"/>
      <c r="I360" s="85"/>
      <c r="J360" s="174"/>
      <c r="K360" s="173"/>
      <c r="L360" s="102"/>
      <c r="M360" s="85"/>
      <c r="N360" s="85"/>
      <c r="O360" s="85"/>
      <c r="P360" s="85"/>
      <c r="Q360" s="85"/>
      <c r="R360" s="85"/>
      <c r="S360" s="85"/>
    </row>
    <row r="361" spans="1:19" ht="15.75">
      <c r="A361" s="174"/>
      <c r="B361" s="176"/>
      <c r="C361" s="85"/>
      <c r="D361" s="175"/>
      <c r="E361" s="175"/>
      <c r="F361" s="85"/>
      <c r="G361" s="18">
        <f>C361</f>
        <v>0</v>
      </c>
      <c r="H361" s="85"/>
      <c r="I361" s="85"/>
      <c r="J361" s="174"/>
      <c r="K361" s="173"/>
      <c r="L361" s="102"/>
      <c r="M361" s="85"/>
      <c r="N361" s="85"/>
      <c r="O361" s="85"/>
      <c r="P361" s="85"/>
      <c r="Q361" s="85"/>
      <c r="R361" s="85"/>
      <c r="S361" s="85"/>
    </row>
    <row r="362" spans="1:19" ht="15.75">
      <c r="A362" s="174"/>
      <c r="B362" s="176"/>
      <c r="C362" s="85"/>
      <c r="D362" s="175"/>
      <c r="E362" s="175"/>
      <c r="F362" s="85"/>
      <c r="G362" s="18">
        <f>C362</f>
        <v>0</v>
      </c>
      <c r="H362" s="85"/>
      <c r="I362" s="85"/>
      <c r="J362" s="174"/>
      <c r="K362" s="173"/>
      <c r="L362" s="102"/>
      <c r="M362" s="85"/>
      <c r="N362" s="85"/>
      <c r="O362" s="85"/>
      <c r="P362" s="85"/>
      <c r="Q362" s="85"/>
      <c r="R362" s="85"/>
      <c r="S362" s="85"/>
    </row>
    <row r="363" spans="1:19" ht="15.75">
      <c r="A363" s="174"/>
      <c r="B363" s="176"/>
      <c r="C363" s="85"/>
      <c r="D363" s="175"/>
      <c r="E363" s="175"/>
      <c r="F363" s="85"/>
      <c r="G363" s="18">
        <f>C363</f>
        <v>0</v>
      </c>
      <c r="H363" s="85"/>
      <c r="I363" s="85"/>
      <c r="J363" s="174"/>
      <c r="K363" s="173"/>
      <c r="L363" s="102"/>
      <c r="M363" s="85"/>
      <c r="N363" s="85"/>
      <c r="O363" s="85"/>
      <c r="P363" s="85"/>
      <c r="Q363" s="85"/>
      <c r="R363" s="85"/>
      <c r="S363" s="85"/>
    </row>
    <row r="364" spans="1:19" ht="15.75">
      <c r="A364" s="174"/>
      <c r="B364" s="176"/>
      <c r="C364" s="85"/>
      <c r="D364" s="175"/>
      <c r="E364" s="175"/>
      <c r="F364" s="85"/>
      <c r="G364" s="18">
        <f>C364</f>
        <v>0</v>
      </c>
      <c r="H364" s="85"/>
      <c r="I364" s="85"/>
      <c r="J364" s="174"/>
      <c r="K364" s="173"/>
      <c r="L364" s="102"/>
      <c r="M364" s="85"/>
      <c r="N364" s="85"/>
      <c r="O364" s="85"/>
      <c r="P364" s="85"/>
      <c r="Q364" s="85"/>
      <c r="R364" s="85"/>
      <c r="S364" s="85"/>
    </row>
    <row r="365" spans="1:19" ht="15.75">
      <c r="A365" s="174"/>
      <c r="B365" s="176"/>
      <c r="C365" s="85"/>
      <c r="D365" s="175"/>
      <c r="E365" s="175"/>
      <c r="F365" s="85"/>
      <c r="G365" s="18">
        <f>C365</f>
        <v>0</v>
      </c>
      <c r="H365" s="85"/>
      <c r="I365" s="85"/>
      <c r="J365" s="174"/>
      <c r="K365" s="173"/>
      <c r="L365" s="102"/>
      <c r="M365" s="85"/>
      <c r="N365" s="85"/>
      <c r="O365" s="85"/>
      <c r="P365" s="85"/>
      <c r="Q365" s="85"/>
      <c r="R365" s="85"/>
      <c r="S365" s="85"/>
    </row>
    <row r="366" spans="1:19" ht="15.75">
      <c r="A366" s="174"/>
      <c r="B366" s="176"/>
      <c r="C366" s="85"/>
      <c r="D366" s="175"/>
      <c r="E366" s="175"/>
      <c r="F366" s="85"/>
      <c r="G366" s="18">
        <f>C366</f>
        <v>0</v>
      </c>
      <c r="H366" s="85"/>
      <c r="I366" s="85"/>
      <c r="J366" s="174"/>
      <c r="K366" s="173"/>
      <c r="L366" s="102"/>
      <c r="M366" s="85"/>
      <c r="N366" s="85"/>
      <c r="O366" s="85"/>
      <c r="P366" s="85"/>
      <c r="Q366" s="85"/>
      <c r="R366" s="85"/>
      <c r="S366" s="85"/>
    </row>
    <row r="367" spans="1:19" ht="15.75">
      <c r="A367" s="174"/>
      <c r="B367" s="176"/>
      <c r="C367" s="85"/>
      <c r="D367" s="175"/>
      <c r="E367" s="175"/>
      <c r="F367" s="85"/>
      <c r="G367" s="18">
        <f>C367</f>
        <v>0</v>
      </c>
      <c r="H367" s="85"/>
      <c r="I367" s="85"/>
      <c r="J367" s="174"/>
      <c r="K367" s="173"/>
      <c r="L367" s="102"/>
      <c r="M367" s="85"/>
      <c r="N367" s="85"/>
      <c r="O367" s="85"/>
      <c r="P367" s="85"/>
      <c r="Q367" s="85"/>
      <c r="R367" s="85"/>
      <c r="S367" s="85"/>
    </row>
    <row r="368" spans="1:19" ht="15.75">
      <c r="A368" s="174"/>
      <c r="B368" s="176"/>
      <c r="C368" s="85"/>
      <c r="D368" s="175"/>
      <c r="E368" s="175"/>
      <c r="F368" s="85"/>
      <c r="G368" s="18">
        <f>C368</f>
        <v>0</v>
      </c>
      <c r="H368" s="85"/>
      <c r="I368" s="85"/>
      <c r="J368" s="174"/>
      <c r="K368" s="173"/>
      <c r="L368" s="102"/>
      <c r="M368" s="85"/>
      <c r="N368" s="85"/>
      <c r="O368" s="85"/>
      <c r="P368" s="85"/>
      <c r="Q368" s="85"/>
      <c r="R368" s="85"/>
      <c r="S368" s="85"/>
    </row>
    <row r="369" spans="1:19" ht="15.75">
      <c r="A369" s="174"/>
      <c r="B369" s="176"/>
      <c r="C369" s="85"/>
      <c r="D369" s="175"/>
      <c r="E369" s="175"/>
      <c r="F369" s="85"/>
      <c r="G369" s="18">
        <f>C369</f>
        <v>0</v>
      </c>
      <c r="H369" s="85"/>
      <c r="I369" s="85"/>
      <c r="J369" s="174"/>
      <c r="K369" s="173"/>
      <c r="L369" s="102"/>
      <c r="M369" s="85"/>
      <c r="N369" s="85"/>
      <c r="O369" s="85"/>
      <c r="P369" s="85"/>
      <c r="Q369" s="85"/>
      <c r="R369" s="85"/>
      <c r="S369" s="85"/>
    </row>
    <row r="370" spans="1:19" ht="15.75">
      <c r="A370" s="174"/>
      <c r="B370" s="176"/>
      <c r="C370" s="85"/>
      <c r="D370" s="175"/>
      <c r="E370" s="175"/>
      <c r="F370" s="85"/>
      <c r="G370" s="18">
        <f>C370</f>
        <v>0</v>
      </c>
      <c r="H370" s="85"/>
      <c r="I370" s="85"/>
      <c r="J370" s="174"/>
      <c r="K370" s="173"/>
      <c r="L370" s="102"/>
      <c r="M370" s="85"/>
      <c r="N370" s="85"/>
      <c r="O370" s="85"/>
      <c r="P370" s="85"/>
      <c r="Q370" s="85"/>
      <c r="R370" s="85"/>
      <c r="S370" s="85"/>
    </row>
    <row r="371" spans="1:19" ht="15.75">
      <c r="A371" s="174"/>
      <c r="B371" s="176"/>
      <c r="C371" s="85"/>
      <c r="D371" s="175"/>
      <c r="E371" s="175"/>
      <c r="F371" s="85"/>
      <c r="G371" s="18">
        <f>C371</f>
        <v>0</v>
      </c>
      <c r="H371" s="85"/>
      <c r="I371" s="85"/>
      <c r="J371" s="174"/>
      <c r="K371" s="173"/>
      <c r="L371" s="102"/>
      <c r="M371" s="85"/>
      <c r="N371" s="85"/>
      <c r="O371" s="85"/>
      <c r="P371" s="85"/>
      <c r="Q371" s="85"/>
      <c r="R371" s="85"/>
      <c r="S371" s="85"/>
    </row>
    <row r="372" spans="1:19" ht="15.75">
      <c r="A372" s="174"/>
      <c r="B372" s="176"/>
      <c r="C372" s="85"/>
      <c r="D372" s="175"/>
      <c r="E372" s="175"/>
      <c r="F372" s="85"/>
      <c r="G372" s="18">
        <f>C372</f>
        <v>0</v>
      </c>
      <c r="H372" s="85"/>
      <c r="I372" s="85"/>
      <c r="J372" s="174"/>
      <c r="K372" s="173"/>
      <c r="L372" s="102"/>
      <c r="M372" s="85"/>
      <c r="N372" s="85"/>
      <c r="O372" s="85"/>
      <c r="P372" s="85"/>
      <c r="Q372" s="85"/>
      <c r="R372" s="85"/>
      <c r="S372" s="85"/>
    </row>
    <row r="373" spans="1:19" ht="15.75">
      <c r="A373" s="174"/>
      <c r="B373" s="176"/>
      <c r="C373" s="85"/>
      <c r="D373" s="175"/>
      <c r="E373" s="175"/>
      <c r="F373" s="85"/>
      <c r="G373" s="18">
        <f>C373</f>
        <v>0</v>
      </c>
      <c r="H373" s="85"/>
      <c r="I373" s="85"/>
      <c r="J373" s="174"/>
      <c r="K373" s="173"/>
      <c r="L373" s="102"/>
      <c r="M373" s="85"/>
      <c r="N373" s="85"/>
      <c r="O373" s="85"/>
      <c r="P373" s="85"/>
      <c r="Q373" s="85"/>
      <c r="R373" s="85"/>
      <c r="S373" s="85"/>
    </row>
    <row r="374" spans="1:19" ht="15.75">
      <c r="A374" s="174"/>
      <c r="B374" s="176"/>
      <c r="C374" s="85"/>
      <c r="D374" s="175"/>
      <c r="E374" s="175"/>
      <c r="F374" s="85"/>
      <c r="G374" s="18">
        <f>C374</f>
        <v>0</v>
      </c>
      <c r="H374" s="85"/>
      <c r="I374" s="85"/>
      <c r="J374" s="174"/>
      <c r="K374" s="173"/>
      <c r="L374" s="102"/>
      <c r="M374" s="85"/>
      <c r="N374" s="85"/>
      <c r="O374" s="85"/>
      <c r="P374" s="85"/>
      <c r="Q374" s="85"/>
      <c r="R374" s="85"/>
      <c r="S374" s="85"/>
    </row>
    <row r="375" spans="1:19" ht="15.75">
      <c r="A375" s="174"/>
      <c r="B375" s="176"/>
      <c r="C375" s="85"/>
      <c r="D375" s="175"/>
      <c r="E375" s="175"/>
      <c r="F375" s="85"/>
      <c r="G375" s="18">
        <f>C375</f>
        <v>0</v>
      </c>
      <c r="H375" s="85"/>
      <c r="I375" s="85"/>
      <c r="J375" s="174"/>
      <c r="K375" s="173"/>
      <c r="L375" s="102"/>
      <c r="M375" s="85"/>
      <c r="N375" s="85"/>
      <c r="O375" s="85"/>
      <c r="P375" s="85"/>
      <c r="Q375" s="85"/>
      <c r="R375" s="85"/>
      <c r="S375" s="85"/>
    </row>
    <row r="376" spans="1:19" ht="15.75">
      <c r="A376" s="174"/>
      <c r="B376" s="176"/>
      <c r="C376" s="85"/>
      <c r="D376" s="175"/>
      <c r="E376" s="175"/>
      <c r="F376" s="85"/>
      <c r="G376" s="18">
        <f>C376</f>
        <v>0</v>
      </c>
      <c r="H376" s="85"/>
      <c r="I376" s="85"/>
      <c r="J376" s="174"/>
      <c r="K376" s="173"/>
      <c r="L376" s="102"/>
      <c r="M376" s="85"/>
      <c r="N376" s="85"/>
      <c r="O376" s="85"/>
      <c r="P376" s="85"/>
      <c r="Q376" s="85"/>
      <c r="R376" s="85"/>
      <c r="S376" s="85"/>
    </row>
    <row r="377" spans="1:19" ht="15.75">
      <c r="A377" s="174"/>
      <c r="B377" s="176"/>
      <c r="C377" s="85"/>
      <c r="D377" s="175"/>
      <c r="E377" s="175"/>
      <c r="F377" s="85"/>
      <c r="G377" s="18">
        <f>C377</f>
        <v>0</v>
      </c>
      <c r="H377" s="85"/>
      <c r="I377" s="85"/>
      <c r="J377" s="174"/>
      <c r="K377" s="173"/>
      <c r="L377" s="102"/>
      <c r="M377" s="85"/>
      <c r="N377" s="85"/>
      <c r="O377" s="85"/>
      <c r="P377" s="85"/>
      <c r="Q377" s="85"/>
      <c r="R377" s="85"/>
      <c r="S377" s="85"/>
    </row>
    <row r="378" spans="1:19" ht="15.75">
      <c r="A378" s="174"/>
      <c r="B378" s="176"/>
      <c r="C378" s="85"/>
      <c r="D378" s="175"/>
      <c r="E378" s="175"/>
      <c r="F378" s="85"/>
      <c r="G378" s="18">
        <f>C378</f>
        <v>0</v>
      </c>
      <c r="H378" s="85"/>
      <c r="I378" s="85"/>
      <c r="J378" s="174"/>
      <c r="K378" s="173"/>
      <c r="L378" s="102"/>
      <c r="M378" s="85"/>
      <c r="N378" s="85"/>
      <c r="O378" s="85"/>
      <c r="P378" s="85"/>
      <c r="Q378" s="85"/>
      <c r="R378" s="85"/>
      <c r="S378" s="85"/>
    </row>
    <row r="379" spans="1:19" ht="15.75">
      <c r="A379" s="174"/>
      <c r="B379" s="176"/>
      <c r="C379" s="85"/>
      <c r="D379" s="175"/>
      <c r="E379" s="175"/>
      <c r="F379" s="85"/>
      <c r="G379" s="18">
        <f>C379</f>
        <v>0</v>
      </c>
      <c r="H379" s="85"/>
      <c r="I379" s="85"/>
      <c r="J379" s="174"/>
      <c r="K379" s="173"/>
      <c r="L379" s="102"/>
      <c r="M379" s="85"/>
      <c r="N379" s="85"/>
      <c r="O379" s="85"/>
      <c r="P379" s="85"/>
      <c r="Q379" s="85"/>
      <c r="R379" s="85"/>
      <c r="S379" s="85"/>
    </row>
    <row r="380" spans="1:19" ht="15.75">
      <c r="A380" s="174"/>
      <c r="B380" s="176"/>
      <c r="C380" s="85"/>
      <c r="D380" s="175"/>
      <c r="E380" s="175"/>
      <c r="F380" s="85"/>
      <c r="G380" s="18">
        <f>C380</f>
        <v>0</v>
      </c>
      <c r="H380" s="85"/>
      <c r="I380" s="85"/>
      <c r="J380" s="174"/>
      <c r="K380" s="173"/>
      <c r="L380" s="102"/>
      <c r="M380" s="85"/>
      <c r="N380" s="85"/>
      <c r="O380" s="85"/>
      <c r="P380" s="85"/>
      <c r="Q380" s="85"/>
      <c r="R380" s="85"/>
      <c r="S380" s="85"/>
    </row>
    <row r="381" spans="1:19" ht="15.75">
      <c r="A381" s="174"/>
      <c r="B381" s="176"/>
      <c r="C381" s="85"/>
      <c r="D381" s="175"/>
      <c r="E381" s="175"/>
      <c r="F381" s="85"/>
      <c r="G381" s="18">
        <f>C381</f>
        <v>0</v>
      </c>
      <c r="H381" s="85"/>
      <c r="I381" s="85"/>
      <c r="J381" s="174"/>
      <c r="K381" s="173"/>
      <c r="L381" s="102"/>
      <c r="M381" s="85"/>
      <c r="N381" s="85"/>
      <c r="O381" s="85"/>
      <c r="P381" s="85"/>
      <c r="Q381" s="85"/>
      <c r="R381" s="85"/>
      <c r="S381" s="85"/>
    </row>
    <row r="382" spans="1:19" ht="15.75">
      <c r="A382" s="174"/>
      <c r="B382" s="176"/>
      <c r="C382" s="85"/>
      <c r="D382" s="175"/>
      <c r="E382" s="175"/>
      <c r="F382" s="85"/>
      <c r="G382" s="18">
        <f>C382</f>
        <v>0</v>
      </c>
      <c r="H382" s="85"/>
      <c r="I382" s="85"/>
      <c r="J382" s="174"/>
      <c r="K382" s="173"/>
      <c r="L382" s="102"/>
      <c r="M382" s="85"/>
      <c r="N382" s="85"/>
      <c r="O382" s="85"/>
      <c r="P382" s="85"/>
      <c r="Q382" s="85"/>
      <c r="R382" s="85"/>
      <c r="S382" s="85"/>
    </row>
    <row r="383" spans="1:19" ht="15.75">
      <c r="A383" s="174"/>
      <c r="B383" s="176"/>
      <c r="C383" s="85"/>
      <c r="D383" s="175"/>
      <c r="E383" s="175"/>
      <c r="F383" s="85"/>
      <c r="G383" s="18">
        <f>C383</f>
        <v>0</v>
      </c>
      <c r="H383" s="85"/>
      <c r="I383" s="85"/>
      <c r="J383" s="174"/>
      <c r="K383" s="173"/>
      <c r="L383" s="102"/>
      <c r="M383" s="85"/>
      <c r="N383" s="85"/>
      <c r="O383" s="85"/>
      <c r="P383" s="85"/>
      <c r="Q383" s="85"/>
      <c r="R383" s="85"/>
      <c r="S383" s="85"/>
    </row>
    <row r="384" spans="1:19" ht="15.75">
      <c r="A384" s="174"/>
      <c r="B384" s="176"/>
      <c r="C384" s="85"/>
      <c r="D384" s="175"/>
      <c r="E384" s="175"/>
      <c r="F384" s="85"/>
      <c r="G384" s="18">
        <f>C384</f>
        <v>0</v>
      </c>
      <c r="H384" s="85"/>
      <c r="I384" s="85"/>
      <c r="J384" s="174"/>
      <c r="K384" s="173"/>
      <c r="L384" s="102"/>
      <c r="M384" s="85"/>
      <c r="N384" s="85"/>
      <c r="O384" s="85"/>
      <c r="P384" s="85"/>
      <c r="Q384" s="85"/>
      <c r="R384" s="85"/>
      <c r="S384" s="85"/>
    </row>
    <row r="385" spans="1:19" ht="15.75">
      <c r="A385" s="174"/>
      <c r="B385" s="176"/>
      <c r="C385" s="85"/>
      <c r="D385" s="175"/>
      <c r="E385" s="175"/>
      <c r="F385" s="85"/>
      <c r="G385" s="18">
        <f>C385</f>
        <v>0</v>
      </c>
      <c r="H385" s="85"/>
      <c r="I385" s="85"/>
      <c r="J385" s="174"/>
      <c r="K385" s="173"/>
      <c r="L385" s="102"/>
      <c r="M385" s="85"/>
      <c r="N385" s="85"/>
      <c r="O385" s="85"/>
      <c r="P385" s="85"/>
      <c r="Q385" s="85"/>
      <c r="R385" s="85"/>
      <c r="S385" s="85"/>
    </row>
    <row r="386" spans="1:19" ht="15.75">
      <c r="A386" s="174"/>
      <c r="B386" s="176"/>
      <c r="C386" s="85"/>
      <c r="D386" s="175"/>
      <c r="E386" s="175"/>
      <c r="F386" s="85"/>
      <c r="G386" s="18">
        <f>C386</f>
        <v>0</v>
      </c>
      <c r="H386" s="85"/>
      <c r="I386" s="85"/>
      <c r="J386" s="174"/>
      <c r="K386" s="173"/>
      <c r="L386" s="102"/>
      <c r="M386" s="85"/>
      <c r="N386" s="85"/>
      <c r="O386" s="85"/>
      <c r="P386" s="85"/>
      <c r="Q386" s="85"/>
      <c r="R386" s="85"/>
      <c r="S386" s="85"/>
    </row>
    <row r="387" spans="1:19" ht="15.75">
      <c r="A387" s="174"/>
      <c r="B387" s="176"/>
      <c r="C387" s="85"/>
      <c r="D387" s="175"/>
      <c r="E387" s="175"/>
      <c r="F387" s="85"/>
      <c r="G387" s="18">
        <f>C387</f>
        <v>0</v>
      </c>
      <c r="H387" s="85"/>
      <c r="I387" s="85"/>
      <c r="J387" s="174"/>
      <c r="K387" s="173"/>
      <c r="L387" s="102"/>
      <c r="M387" s="85"/>
      <c r="N387" s="85"/>
      <c r="O387" s="85"/>
      <c r="P387" s="85"/>
      <c r="Q387" s="85"/>
      <c r="R387" s="85"/>
      <c r="S387" s="85"/>
    </row>
    <row r="388" spans="1:19" ht="15.75">
      <c r="A388" s="174"/>
      <c r="B388" s="176"/>
      <c r="C388" s="85"/>
      <c r="D388" s="175"/>
      <c r="E388" s="175"/>
      <c r="F388" s="85"/>
      <c r="G388" s="18">
        <f>C388</f>
        <v>0</v>
      </c>
      <c r="H388" s="85"/>
      <c r="I388" s="85"/>
      <c r="J388" s="174"/>
      <c r="K388" s="173"/>
      <c r="L388" s="102"/>
      <c r="M388" s="85"/>
      <c r="N388" s="85"/>
      <c r="O388" s="85"/>
      <c r="P388" s="85"/>
      <c r="Q388" s="85"/>
      <c r="R388" s="85"/>
      <c r="S388" s="85"/>
    </row>
    <row r="389" spans="1:19" ht="15.75">
      <c r="A389" s="174"/>
      <c r="B389" s="176"/>
      <c r="C389" s="85"/>
      <c r="D389" s="175"/>
      <c r="E389" s="175"/>
      <c r="F389" s="85"/>
      <c r="G389" s="18">
        <f>C389</f>
        <v>0</v>
      </c>
      <c r="H389" s="85"/>
      <c r="I389" s="85"/>
      <c r="J389" s="174"/>
      <c r="K389" s="173"/>
      <c r="L389" s="102"/>
      <c r="M389" s="85"/>
      <c r="N389" s="85"/>
      <c r="O389" s="85"/>
      <c r="P389" s="85"/>
      <c r="Q389" s="85"/>
      <c r="R389" s="85"/>
      <c r="S389" s="85"/>
    </row>
    <row r="390" spans="1:19" ht="15.75">
      <c r="A390" s="174"/>
      <c r="B390" s="176"/>
      <c r="C390" s="85"/>
      <c r="D390" s="175"/>
      <c r="E390" s="175"/>
      <c r="F390" s="85"/>
      <c r="G390" s="18">
        <f>C390</f>
        <v>0</v>
      </c>
      <c r="H390" s="85"/>
      <c r="I390" s="85"/>
      <c r="J390" s="174"/>
      <c r="K390" s="173"/>
      <c r="L390" s="102"/>
      <c r="M390" s="85"/>
      <c r="N390" s="85"/>
      <c r="O390" s="85"/>
      <c r="P390" s="85"/>
      <c r="Q390" s="85"/>
      <c r="R390" s="85"/>
      <c r="S390" s="85"/>
    </row>
    <row r="391" spans="1:19" ht="15.75">
      <c r="A391" s="174"/>
      <c r="B391" s="176"/>
      <c r="C391" s="85"/>
      <c r="D391" s="175"/>
      <c r="E391" s="175"/>
      <c r="F391" s="85"/>
      <c r="G391" s="18">
        <f>C391</f>
        <v>0</v>
      </c>
      <c r="H391" s="85"/>
      <c r="I391" s="85"/>
      <c r="J391" s="174"/>
      <c r="K391" s="173"/>
      <c r="L391" s="102"/>
      <c r="M391" s="85"/>
      <c r="N391" s="85"/>
      <c r="O391" s="85"/>
      <c r="P391" s="85"/>
      <c r="Q391" s="85"/>
      <c r="R391" s="85"/>
      <c r="S391" s="85"/>
    </row>
    <row r="392" spans="1:19" ht="15.75">
      <c r="A392" s="174"/>
      <c r="B392" s="176"/>
      <c r="C392" s="85"/>
      <c r="D392" s="175"/>
      <c r="E392" s="175"/>
      <c r="F392" s="85"/>
      <c r="G392" s="18">
        <f>C392</f>
        <v>0</v>
      </c>
      <c r="H392" s="85"/>
      <c r="I392" s="85"/>
      <c r="J392" s="174"/>
      <c r="K392" s="173"/>
      <c r="L392" s="102"/>
      <c r="M392" s="85"/>
      <c r="N392" s="85"/>
      <c r="O392" s="85"/>
      <c r="P392" s="85"/>
      <c r="Q392" s="85"/>
      <c r="R392" s="85"/>
      <c r="S392" s="85"/>
    </row>
    <row r="393" spans="1:19" ht="15.75">
      <c r="A393" s="174"/>
      <c r="B393" s="176"/>
      <c r="C393" s="85"/>
      <c r="D393" s="175"/>
      <c r="E393" s="175"/>
      <c r="F393" s="85"/>
      <c r="G393" s="18">
        <f>C393</f>
        <v>0</v>
      </c>
      <c r="H393" s="85"/>
      <c r="I393" s="85"/>
      <c r="J393" s="174"/>
      <c r="K393" s="173"/>
      <c r="L393" s="102"/>
      <c r="M393" s="85"/>
      <c r="N393" s="85"/>
      <c r="O393" s="85"/>
      <c r="P393" s="85"/>
      <c r="Q393" s="85"/>
      <c r="R393" s="85"/>
      <c r="S393" s="85"/>
    </row>
    <row r="394" spans="1:19" ht="15.75">
      <c r="A394" s="174"/>
      <c r="B394" s="176"/>
      <c r="C394" s="85"/>
      <c r="D394" s="175"/>
      <c r="E394" s="175"/>
      <c r="F394" s="85"/>
      <c r="G394" s="18">
        <f>C394</f>
        <v>0</v>
      </c>
      <c r="H394" s="85"/>
      <c r="I394" s="85"/>
      <c r="J394" s="174"/>
      <c r="K394" s="173"/>
      <c r="L394" s="102"/>
      <c r="M394" s="85"/>
      <c r="N394" s="85"/>
      <c r="O394" s="85"/>
      <c r="P394" s="85"/>
      <c r="Q394" s="85"/>
      <c r="R394" s="85"/>
      <c r="S394" s="85"/>
    </row>
    <row r="395" spans="1:19" ht="15.75">
      <c r="A395" s="174"/>
      <c r="B395" s="176"/>
      <c r="C395" s="85"/>
      <c r="D395" s="175"/>
      <c r="E395" s="175"/>
      <c r="F395" s="85"/>
      <c r="G395" s="18">
        <f>C395</f>
        <v>0</v>
      </c>
      <c r="H395" s="85"/>
      <c r="I395" s="85"/>
      <c r="J395" s="174"/>
      <c r="K395" s="173"/>
      <c r="L395" s="102"/>
      <c r="M395" s="85"/>
      <c r="N395" s="85"/>
      <c r="O395" s="85"/>
      <c r="P395" s="85"/>
      <c r="Q395" s="85"/>
      <c r="R395" s="85"/>
      <c r="S395" s="85"/>
    </row>
    <row r="396" spans="1:19" ht="15.75">
      <c r="A396" s="174"/>
      <c r="B396" s="176"/>
      <c r="C396" s="85"/>
      <c r="D396" s="175"/>
      <c r="E396" s="175"/>
      <c r="F396" s="85"/>
      <c r="G396" s="18">
        <f>C396</f>
        <v>0</v>
      </c>
      <c r="H396" s="85"/>
      <c r="I396" s="85"/>
      <c r="J396" s="174"/>
      <c r="K396" s="173"/>
      <c r="L396" s="102"/>
      <c r="M396" s="85"/>
      <c r="N396" s="85"/>
      <c r="O396" s="85"/>
      <c r="P396" s="85"/>
      <c r="Q396" s="85"/>
      <c r="R396" s="85"/>
      <c r="S396" s="85"/>
    </row>
    <row r="397" spans="1:19" ht="15.75">
      <c r="A397" s="174"/>
      <c r="B397" s="176"/>
      <c r="C397" s="85"/>
      <c r="D397" s="175"/>
      <c r="E397" s="175"/>
      <c r="F397" s="85"/>
      <c r="G397" s="18">
        <f>C397</f>
        <v>0</v>
      </c>
      <c r="H397" s="85"/>
      <c r="I397" s="85"/>
      <c r="J397" s="174"/>
      <c r="K397" s="173"/>
      <c r="L397" s="102"/>
      <c r="M397" s="85"/>
      <c r="N397" s="85"/>
      <c r="O397" s="85"/>
      <c r="P397" s="85"/>
      <c r="Q397" s="85"/>
      <c r="R397" s="85"/>
      <c r="S397" s="85"/>
    </row>
    <row r="398" spans="1:19" ht="15.75">
      <c r="A398" s="174"/>
      <c r="B398" s="176"/>
      <c r="C398" s="85"/>
      <c r="D398" s="175"/>
      <c r="E398" s="175"/>
      <c r="F398" s="85"/>
      <c r="G398" s="18">
        <f>C398</f>
        <v>0</v>
      </c>
      <c r="H398" s="85"/>
      <c r="I398" s="85"/>
      <c r="J398" s="174"/>
      <c r="K398" s="173"/>
      <c r="L398" s="102"/>
      <c r="M398" s="85"/>
      <c r="N398" s="85"/>
      <c r="O398" s="85"/>
      <c r="P398" s="85"/>
      <c r="Q398" s="85"/>
      <c r="R398" s="85"/>
      <c r="S398" s="85"/>
    </row>
    <row r="399" spans="1:19" ht="15.75">
      <c r="A399" s="174"/>
      <c r="B399" s="176"/>
      <c r="C399" s="85"/>
      <c r="D399" s="175"/>
      <c r="E399" s="175"/>
      <c r="F399" s="85"/>
      <c r="G399" s="18">
        <f>C399</f>
        <v>0</v>
      </c>
      <c r="H399" s="85"/>
      <c r="I399" s="85"/>
      <c r="J399" s="174"/>
      <c r="K399" s="173"/>
      <c r="L399" s="102"/>
      <c r="M399" s="85"/>
      <c r="N399" s="85"/>
      <c r="O399" s="85"/>
      <c r="P399" s="85"/>
      <c r="Q399" s="85"/>
      <c r="R399" s="85"/>
      <c r="S399" s="85"/>
    </row>
    <row r="400" spans="1:19" ht="15.75">
      <c r="A400" s="174"/>
      <c r="B400" s="176"/>
      <c r="C400" s="85"/>
      <c r="D400" s="175"/>
      <c r="E400" s="175"/>
      <c r="F400" s="85"/>
      <c r="G400" s="18">
        <f>C400</f>
        <v>0</v>
      </c>
      <c r="H400" s="85"/>
      <c r="I400" s="85"/>
      <c r="J400" s="174"/>
      <c r="K400" s="173"/>
      <c r="L400" s="102"/>
      <c r="M400" s="85"/>
      <c r="N400" s="85"/>
      <c r="O400" s="85"/>
      <c r="P400" s="85"/>
      <c r="Q400" s="85"/>
      <c r="R400" s="85"/>
      <c r="S400" s="85"/>
    </row>
    <row r="401" spans="1:19" ht="15.75">
      <c r="A401" s="174"/>
      <c r="B401" s="176"/>
      <c r="C401" s="85"/>
      <c r="D401" s="175"/>
      <c r="E401" s="175"/>
      <c r="F401" s="85"/>
      <c r="G401" s="18">
        <f>C401</f>
        <v>0</v>
      </c>
      <c r="H401" s="85"/>
      <c r="I401" s="85"/>
      <c r="J401" s="174"/>
      <c r="K401" s="173"/>
      <c r="L401" s="102"/>
      <c r="M401" s="85"/>
      <c r="N401" s="85"/>
      <c r="O401" s="85"/>
      <c r="P401" s="85"/>
      <c r="Q401" s="85"/>
      <c r="R401" s="85"/>
      <c r="S401" s="85"/>
    </row>
    <row r="402" spans="1:19" ht="15.75">
      <c r="A402" s="174"/>
      <c r="B402" s="176"/>
      <c r="C402" s="85"/>
      <c r="D402" s="175"/>
      <c r="E402" s="175"/>
      <c r="F402" s="85"/>
      <c r="G402" s="18">
        <f>C402</f>
        <v>0</v>
      </c>
      <c r="H402" s="85"/>
      <c r="I402" s="85"/>
      <c r="J402" s="174"/>
      <c r="K402" s="173"/>
      <c r="L402" s="102"/>
      <c r="M402" s="85"/>
      <c r="N402" s="85"/>
      <c r="O402" s="85"/>
      <c r="P402" s="85"/>
      <c r="Q402" s="85"/>
      <c r="R402" s="85"/>
      <c r="S402" s="85"/>
    </row>
    <row r="403" spans="1:19" ht="15.75">
      <c r="A403" s="174"/>
      <c r="B403" s="176"/>
      <c r="C403" s="85"/>
      <c r="D403" s="175"/>
      <c r="E403" s="175"/>
      <c r="F403" s="85"/>
      <c r="G403" s="18">
        <f>C403</f>
        <v>0</v>
      </c>
      <c r="H403" s="85"/>
      <c r="I403" s="85"/>
      <c r="J403" s="174"/>
      <c r="K403" s="173"/>
      <c r="L403" s="102"/>
      <c r="M403" s="85"/>
      <c r="N403" s="85"/>
      <c r="O403" s="85"/>
      <c r="P403" s="85"/>
      <c r="Q403" s="85"/>
      <c r="R403" s="85"/>
      <c r="S403" s="85"/>
    </row>
    <row r="404" spans="1:19" ht="15.75">
      <c r="A404" s="174"/>
      <c r="B404" s="176"/>
      <c r="C404" s="85"/>
      <c r="D404" s="175"/>
      <c r="E404" s="175"/>
      <c r="F404" s="85"/>
      <c r="G404" s="18">
        <f>C404</f>
        <v>0</v>
      </c>
      <c r="H404" s="85"/>
      <c r="I404" s="85"/>
      <c r="J404" s="174"/>
      <c r="K404" s="173"/>
      <c r="L404" s="102"/>
      <c r="M404" s="85"/>
      <c r="N404" s="85"/>
      <c r="O404" s="85"/>
      <c r="P404" s="85"/>
      <c r="Q404" s="85"/>
      <c r="R404" s="85"/>
      <c r="S404" s="85"/>
    </row>
    <row r="405" spans="1:19" ht="15.75">
      <c r="A405" s="174"/>
      <c r="B405" s="176"/>
      <c r="C405" s="85"/>
      <c r="D405" s="175"/>
      <c r="E405" s="175"/>
      <c r="F405" s="85"/>
      <c r="G405" s="18">
        <f>C405</f>
        <v>0</v>
      </c>
      <c r="H405" s="85"/>
      <c r="I405" s="85"/>
      <c r="J405" s="174"/>
      <c r="K405" s="173"/>
      <c r="L405" s="102"/>
      <c r="M405" s="85"/>
      <c r="N405" s="85"/>
      <c r="O405" s="85"/>
      <c r="P405" s="85"/>
      <c r="Q405" s="85"/>
      <c r="R405" s="85"/>
      <c r="S405" s="85"/>
    </row>
    <row r="406" spans="1:19" ht="15.75">
      <c r="A406" s="174"/>
      <c r="B406" s="176"/>
      <c r="C406" s="85"/>
      <c r="D406" s="175"/>
      <c r="E406" s="175"/>
      <c r="F406" s="85"/>
      <c r="G406" s="18">
        <f>C406</f>
        <v>0</v>
      </c>
      <c r="H406" s="85"/>
      <c r="I406" s="85"/>
      <c r="J406" s="174"/>
      <c r="K406" s="173"/>
      <c r="L406" s="102"/>
      <c r="M406" s="85"/>
      <c r="N406" s="85"/>
      <c r="O406" s="85"/>
      <c r="P406" s="85"/>
      <c r="Q406" s="85"/>
      <c r="R406" s="85"/>
      <c r="S406" s="85"/>
    </row>
    <row r="407" spans="1:19" ht="15.75">
      <c r="A407" s="174"/>
      <c r="B407" s="176"/>
      <c r="C407" s="85"/>
      <c r="D407" s="175"/>
      <c r="E407" s="175"/>
      <c r="F407" s="85"/>
      <c r="G407" s="18">
        <f>C407</f>
        <v>0</v>
      </c>
      <c r="H407" s="85"/>
      <c r="I407" s="85"/>
      <c r="J407" s="174"/>
      <c r="K407" s="173"/>
      <c r="L407" s="102"/>
      <c r="M407" s="85"/>
      <c r="N407" s="85"/>
      <c r="O407" s="85"/>
      <c r="P407" s="85"/>
      <c r="Q407" s="85"/>
      <c r="R407" s="85"/>
      <c r="S407" s="85"/>
    </row>
    <row r="408" spans="1:19" ht="15.75">
      <c r="A408" s="174"/>
      <c r="B408" s="176"/>
      <c r="C408" s="85"/>
      <c r="D408" s="175"/>
      <c r="E408" s="175"/>
      <c r="F408" s="85"/>
      <c r="G408" s="18">
        <f>C408</f>
        <v>0</v>
      </c>
      <c r="H408" s="85"/>
      <c r="I408" s="85"/>
      <c r="J408" s="174"/>
      <c r="K408" s="173"/>
      <c r="L408" s="102"/>
      <c r="M408" s="85"/>
      <c r="N408" s="85"/>
      <c r="O408" s="85"/>
      <c r="P408" s="85"/>
      <c r="Q408" s="85"/>
      <c r="R408" s="85"/>
      <c r="S408" s="85"/>
    </row>
    <row r="409" spans="1:19" ht="15.75">
      <c r="A409" s="174"/>
      <c r="B409" s="176"/>
      <c r="C409" s="85"/>
      <c r="D409" s="175"/>
      <c r="E409" s="175"/>
      <c r="F409" s="85"/>
      <c r="G409" s="18">
        <f>C409</f>
        <v>0</v>
      </c>
      <c r="H409" s="85"/>
      <c r="I409" s="85"/>
      <c r="J409" s="174"/>
      <c r="K409" s="173"/>
      <c r="L409" s="102"/>
      <c r="M409" s="85"/>
      <c r="N409" s="85"/>
      <c r="O409" s="85"/>
      <c r="P409" s="85"/>
      <c r="Q409" s="85"/>
      <c r="R409" s="85"/>
      <c r="S409" s="85"/>
    </row>
    <row r="410" spans="1:19" ht="15.75">
      <c r="A410" s="174"/>
      <c r="B410" s="176"/>
      <c r="C410" s="85"/>
      <c r="D410" s="175"/>
      <c r="E410" s="175"/>
      <c r="F410" s="85"/>
      <c r="G410" s="18">
        <f>C410</f>
        <v>0</v>
      </c>
      <c r="H410" s="85"/>
      <c r="I410" s="85"/>
      <c r="J410" s="174"/>
      <c r="K410" s="173"/>
      <c r="L410" s="102"/>
      <c r="M410" s="85"/>
      <c r="N410" s="85"/>
      <c r="O410" s="85"/>
      <c r="P410" s="85"/>
      <c r="Q410" s="85"/>
      <c r="R410" s="85"/>
      <c r="S410" s="85"/>
    </row>
    <row r="411" spans="1:19" ht="15.75">
      <c r="A411" s="174"/>
      <c r="B411" s="176"/>
      <c r="C411" s="85"/>
      <c r="D411" s="175"/>
      <c r="E411" s="175"/>
      <c r="F411" s="85"/>
      <c r="G411" s="18">
        <f>C411</f>
        <v>0</v>
      </c>
      <c r="H411" s="85"/>
      <c r="I411" s="85"/>
      <c r="J411" s="174"/>
      <c r="K411" s="173"/>
      <c r="L411" s="102"/>
      <c r="M411" s="85"/>
      <c r="N411" s="85"/>
      <c r="O411" s="85"/>
      <c r="P411" s="85"/>
      <c r="Q411" s="85"/>
      <c r="R411" s="85"/>
      <c r="S411" s="85"/>
    </row>
    <row r="412" spans="1:19" ht="15.75">
      <c r="A412" s="174"/>
      <c r="B412" s="176"/>
      <c r="C412" s="85"/>
      <c r="D412" s="175"/>
      <c r="E412" s="175"/>
      <c r="F412" s="85"/>
      <c r="G412" s="18">
        <f>C412</f>
        <v>0</v>
      </c>
      <c r="H412" s="85"/>
      <c r="I412" s="85"/>
      <c r="J412" s="174"/>
      <c r="K412" s="173"/>
      <c r="L412" s="102"/>
      <c r="M412" s="85"/>
      <c r="N412" s="85"/>
      <c r="O412" s="85"/>
      <c r="P412" s="85"/>
      <c r="Q412" s="85"/>
      <c r="R412" s="85"/>
      <c r="S412" s="85"/>
    </row>
    <row r="413" spans="1:19" ht="15.75">
      <c r="A413" s="174"/>
      <c r="B413" s="176"/>
      <c r="C413" s="85"/>
      <c r="D413" s="175"/>
      <c r="E413" s="175"/>
      <c r="F413" s="85"/>
      <c r="G413" s="18">
        <f>C413</f>
        <v>0</v>
      </c>
      <c r="H413" s="85"/>
      <c r="I413" s="85"/>
      <c r="J413" s="174"/>
      <c r="K413" s="173"/>
      <c r="L413" s="102"/>
      <c r="M413" s="85"/>
      <c r="N413" s="85"/>
      <c r="O413" s="85"/>
      <c r="P413" s="85"/>
      <c r="Q413" s="85"/>
      <c r="R413" s="85"/>
      <c r="S413" s="85"/>
    </row>
    <row r="414" spans="1:19" ht="15.75">
      <c r="A414" s="174"/>
      <c r="B414" s="176"/>
      <c r="C414" s="85"/>
      <c r="D414" s="175"/>
      <c r="E414" s="175"/>
      <c r="F414" s="85"/>
      <c r="G414" s="18">
        <f>C414</f>
        <v>0</v>
      </c>
      <c r="H414" s="85"/>
      <c r="I414" s="85"/>
      <c r="J414" s="174"/>
      <c r="K414" s="173"/>
      <c r="L414" s="102"/>
      <c r="M414" s="85"/>
      <c r="N414" s="85"/>
      <c r="O414" s="85"/>
      <c r="P414" s="85"/>
      <c r="Q414" s="85"/>
      <c r="R414" s="85"/>
      <c r="S414" s="85"/>
    </row>
    <row r="415" spans="1:19" ht="15.75">
      <c r="A415" s="174"/>
      <c r="B415" s="176"/>
      <c r="C415" s="85"/>
      <c r="D415" s="175"/>
      <c r="E415" s="175"/>
      <c r="F415" s="85"/>
      <c r="G415" s="18">
        <f>C415</f>
        <v>0</v>
      </c>
      <c r="H415" s="85"/>
      <c r="I415" s="85"/>
      <c r="J415" s="174"/>
      <c r="K415" s="173"/>
      <c r="L415" s="102"/>
      <c r="M415" s="85"/>
      <c r="N415" s="85"/>
      <c r="O415" s="85"/>
      <c r="P415" s="85"/>
      <c r="Q415" s="85"/>
      <c r="R415" s="85"/>
      <c r="S415" s="85"/>
    </row>
    <row r="416" spans="1:19" ht="15.75">
      <c r="A416" s="174"/>
      <c r="B416" s="176"/>
      <c r="C416" s="85"/>
      <c r="D416" s="175"/>
      <c r="E416" s="175"/>
      <c r="F416" s="85"/>
      <c r="G416" s="18">
        <f>C416</f>
        <v>0</v>
      </c>
      <c r="H416" s="85"/>
      <c r="I416" s="85"/>
      <c r="J416" s="174"/>
      <c r="K416" s="173"/>
      <c r="L416" s="102"/>
      <c r="M416" s="85"/>
      <c r="N416" s="85"/>
      <c r="O416" s="85"/>
      <c r="P416" s="85"/>
      <c r="Q416" s="85"/>
      <c r="R416" s="85"/>
      <c r="S416" s="85"/>
    </row>
    <row r="417" spans="1:19" ht="15.75">
      <c r="A417" s="174"/>
      <c r="B417" s="176"/>
      <c r="C417" s="85"/>
      <c r="D417" s="175"/>
      <c r="E417" s="175"/>
      <c r="F417" s="85"/>
      <c r="G417" s="18">
        <f>C417</f>
        <v>0</v>
      </c>
      <c r="H417" s="85"/>
      <c r="I417" s="85"/>
      <c r="J417" s="174"/>
      <c r="K417" s="173"/>
      <c r="L417" s="102"/>
      <c r="M417" s="85"/>
      <c r="N417" s="85"/>
      <c r="O417" s="85"/>
      <c r="P417" s="85"/>
      <c r="Q417" s="85"/>
      <c r="R417" s="85"/>
      <c r="S417" s="85"/>
    </row>
    <row r="418" spans="1:19" ht="15.75">
      <c r="A418" s="174"/>
      <c r="B418" s="176"/>
      <c r="C418" s="85"/>
      <c r="D418" s="175"/>
      <c r="E418" s="175"/>
      <c r="F418" s="85"/>
      <c r="G418" s="18">
        <f>C418</f>
        <v>0</v>
      </c>
      <c r="H418" s="85"/>
      <c r="I418" s="85"/>
      <c r="J418" s="174"/>
      <c r="K418" s="173"/>
      <c r="L418" s="102"/>
      <c r="M418" s="85"/>
      <c r="N418" s="85"/>
      <c r="O418" s="85"/>
      <c r="P418" s="85"/>
      <c r="Q418" s="85"/>
      <c r="R418" s="85"/>
      <c r="S418" s="85"/>
    </row>
    <row r="419" spans="1:19" ht="15.75">
      <c r="A419" s="174"/>
      <c r="B419" s="176"/>
      <c r="C419" s="85"/>
      <c r="D419" s="175"/>
      <c r="E419" s="175"/>
      <c r="F419" s="85"/>
      <c r="G419" s="18">
        <f>C419</f>
        <v>0</v>
      </c>
      <c r="H419" s="85"/>
      <c r="I419" s="85"/>
      <c r="J419" s="174"/>
      <c r="K419" s="173"/>
      <c r="L419" s="102"/>
      <c r="M419" s="85"/>
      <c r="N419" s="85"/>
      <c r="O419" s="85"/>
      <c r="P419" s="85"/>
      <c r="Q419" s="85"/>
      <c r="R419" s="85"/>
      <c r="S419" s="85"/>
    </row>
    <row r="420" spans="1:19" ht="15.75">
      <c r="A420" s="174"/>
      <c r="B420" s="176"/>
      <c r="C420" s="85"/>
      <c r="D420" s="175"/>
      <c r="E420" s="175"/>
      <c r="F420" s="85"/>
      <c r="G420" s="18">
        <f>C420</f>
        <v>0</v>
      </c>
      <c r="H420" s="85"/>
      <c r="I420" s="85"/>
      <c r="J420" s="174"/>
      <c r="K420" s="173"/>
      <c r="L420" s="102"/>
      <c r="M420" s="85"/>
      <c r="N420" s="85"/>
      <c r="O420" s="85"/>
      <c r="P420" s="85"/>
      <c r="Q420" s="85"/>
      <c r="R420" s="85"/>
      <c r="S420" s="85"/>
    </row>
    <row r="421" spans="1:19" ht="15.75">
      <c r="A421" s="174"/>
      <c r="B421" s="176"/>
      <c r="C421" s="85"/>
      <c r="D421" s="175"/>
      <c r="E421" s="175"/>
      <c r="F421" s="85"/>
      <c r="G421" s="18">
        <f>C421</f>
        <v>0</v>
      </c>
      <c r="H421" s="85"/>
      <c r="I421" s="85"/>
      <c r="J421" s="174"/>
      <c r="K421" s="173"/>
      <c r="L421" s="102"/>
      <c r="M421" s="85"/>
      <c r="N421" s="85"/>
      <c r="O421" s="85"/>
      <c r="P421" s="85"/>
      <c r="Q421" s="85"/>
      <c r="R421" s="85"/>
      <c r="S421" s="85"/>
    </row>
    <row r="422" spans="1:19" ht="15.75">
      <c r="A422" s="174"/>
      <c r="B422" s="176"/>
      <c r="C422" s="85"/>
      <c r="D422" s="175"/>
      <c r="E422" s="175"/>
      <c r="F422" s="85"/>
      <c r="G422" s="18">
        <f>C422</f>
        <v>0</v>
      </c>
      <c r="H422" s="85"/>
      <c r="I422" s="85"/>
      <c r="J422" s="174"/>
      <c r="K422" s="173"/>
      <c r="L422" s="102"/>
      <c r="M422" s="85"/>
      <c r="N422" s="85"/>
      <c r="O422" s="85"/>
      <c r="P422" s="85"/>
      <c r="Q422" s="85"/>
      <c r="R422" s="85"/>
      <c r="S422" s="85"/>
    </row>
    <row r="423" spans="1:19" ht="15.75">
      <c r="A423" s="174"/>
      <c r="B423" s="176"/>
      <c r="C423" s="85"/>
      <c r="D423" s="175"/>
      <c r="E423" s="175"/>
      <c r="F423" s="85"/>
      <c r="G423" s="18">
        <f>C423</f>
        <v>0</v>
      </c>
      <c r="H423" s="85"/>
      <c r="I423" s="85"/>
      <c r="J423" s="174"/>
      <c r="K423" s="173"/>
      <c r="L423" s="102"/>
      <c r="M423" s="85"/>
      <c r="N423" s="85"/>
      <c r="O423" s="85"/>
      <c r="P423" s="85"/>
      <c r="Q423" s="85"/>
      <c r="R423" s="85"/>
      <c r="S423" s="85"/>
    </row>
    <row r="424" spans="1:19" ht="15.75">
      <c r="A424" s="174"/>
      <c r="B424" s="176"/>
      <c r="C424" s="85"/>
      <c r="D424" s="175"/>
      <c r="E424" s="175"/>
      <c r="F424" s="85"/>
      <c r="G424" s="18">
        <f>C424</f>
        <v>0</v>
      </c>
      <c r="H424" s="85"/>
      <c r="I424" s="85"/>
      <c r="J424" s="174"/>
      <c r="K424" s="173"/>
      <c r="L424" s="102"/>
      <c r="M424" s="85"/>
      <c r="N424" s="85"/>
      <c r="O424" s="85"/>
      <c r="P424" s="85"/>
      <c r="Q424" s="85"/>
      <c r="R424" s="85"/>
      <c r="S424" s="85"/>
    </row>
    <row r="425" spans="1:19" ht="15.75">
      <c r="A425" s="174"/>
      <c r="B425" s="176"/>
      <c r="C425" s="85"/>
      <c r="D425" s="175"/>
      <c r="E425" s="175"/>
      <c r="F425" s="85"/>
      <c r="G425" s="18">
        <f>C425</f>
        <v>0</v>
      </c>
      <c r="H425" s="85"/>
      <c r="I425" s="85"/>
      <c r="J425" s="174"/>
      <c r="K425" s="173"/>
      <c r="L425" s="102"/>
      <c r="M425" s="85"/>
      <c r="N425" s="85"/>
      <c r="O425" s="85"/>
      <c r="P425" s="85"/>
      <c r="Q425" s="85"/>
      <c r="R425" s="85"/>
      <c r="S425" s="85"/>
    </row>
    <row r="426" spans="1:19" ht="15.75">
      <c r="A426" s="174"/>
      <c r="B426" s="176"/>
      <c r="C426" s="85"/>
      <c r="D426" s="175"/>
      <c r="E426" s="175"/>
      <c r="F426" s="85"/>
      <c r="G426" s="18">
        <f>C426</f>
        <v>0</v>
      </c>
      <c r="H426" s="85"/>
      <c r="I426" s="85"/>
      <c r="J426" s="174"/>
      <c r="K426" s="173"/>
      <c r="L426" s="102"/>
      <c r="M426" s="85"/>
      <c r="N426" s="85"/>
      <c r="O426" s="85"/>
      <c r="P426" s="85"/>
      <c r="Q426" s="85"/>
      <c r="R426" s="85"/>
      <c r="S426" s="85"/>
    </row>
    <row r="427" spans="1:19" ht="15.75">
      <c r="A427" s="174"/>
      <c r="B427" s="176"/>
      <c r="C427" s="85"/>
      <c r="D427" s="175"/>
      <c r="E427" s="175"/>
      <c r="F427" s="85"/>
      <c r="G427" s="18">
        <f>C427</f>
        <v>0</v>
      </c>
      <c r="H427" s="85"/>
      <c r="I427" s="85"/>
      <c r="J427" s="174"/>
      <c r="K427" s="173"/>
      <c r="L427" s="102"/>
      <c r="M427" s="85"/>
      <c r="N427" s="85"/>
      <c r="O427" s="85"/>
      <c r="P427" s="85"/>
      <c r="Q427" s="85"/>
      <c r="R427" s="85"/>
      <c r="S427" s="85"/>
    </row>
    <row r="428" spans="1:19" ht="15.75">
      <c r="A428" s="174"/>
      <c r="B428" s="176"/>
      <c r="C428" s="85"/>
      <c r="D428" s="175"/>
      <c r="E428" s="175"/>
      <c r="F428" s="85"/>
      <c r="G428" s="18">
        <f>C428</f>
        <v>0</v>
      </c>
      <c r="H428" s="85"/>
      <c r="I428" s="85"/>
      <c r="J428" s="174"/>
      <c r="K428" s="173"/>
      <c r="L428" s="102"/>
      <c r="M428" s="85"/>
      <c r="N428" s="85"/>
      <c r="O428" s="85"/>
      <c r="P428" s="85"/>
      <c r="Q428" s="85"/>
      <c r="R428" s="85"/>
      <c r="S428" s="85"/>
    </row>
    <row r="429" spans="1:19" ht="15.75">
      <c r="A429" s="174"/>
      <c r="B429" s="176"/>
      <c r="C429" s="85"/>
      <c r="D429" s="175"/>
      <c r="E429" s="175"/>
      <c r="F429" s="85"/>
      <c r="G429" s="18">
        <f>C429</f>
        <v>0</v>
      </c>
      <c r="H429" s="85"/>
      <c r="I429" s="85"/>
      <c r="J429" s="174"/>
      <c r="K429" s="173"/>
      <c r="L429" s="102"/>
      <c r="M429" s="85"/>
      <c r="N429" s="85"/>
      <c r="O429" s="85"/>
      <c r="P429" s="85"/>
      <c r="Q429" s="85"/>
      <c r="R429" s="85"/>
      <c r="S429" s="85"/>
    </row>
    <row r="430" spans="1:19" ht="15.75">
      <c r="A430" s="174"/>
      <c r="B430" s="176"/>
      <c r="C430" s="85"/>
      <c r="D430" s="175"/>
      <c r="E430" s="175"/>
      <c r="F430" s="85"/>
      <c r="G430" s="18">
        <f>C430</f>
        <v>0</v>
      </c>
      <c r="H430" s="85"/>
      <c r="I430" s="85"/>
      <c r="J430" s="174"/>
      <c r="K430" s="173"/>
      <c r="L430" s="102"/>
      <c r="M430" s="85"/>
      <c r="N430" s="85"/>
      <c r="O430" s="85"/>
      <c r="P430" s="85"/>
      <c r="Q430" s="85"/>
      <c r="R430" s="85"/>
      <c r="S430" s="85"/>
    </row>
    <row r="431" spans="1:19" ht="15.75">
      <c r="A431" s="174"/>
      <c r="B431" s="176"/>
      <c r="C431" s="85"/>
      <c r="D431" s="175"/>
      <c r="E431" s="175"/>
      <c r="F431" s="85"/>
      <c r="G431" s="18">
        <f>C431</f>
        <v>0</v>
      </c>
      <c r="H431" s="85"/>
      <c r="I431" s="85"/>
      <c r="J431" s="174"/>
      <c r="K431" s="173"/>
      <c r="L431" s="102"/>
      <c r="M431" s="85"/>
      <c r="N431" s="85"/>
      <c r="O431" s="85"/>
      <c r="P431" s="85"/>
      <c r="Q431" s="85"/>
      <c r="R431" s="85"/>
      <c r="S431" s="85"/>
    </row>
    <row r="432" spans="1:19" ht="15.75">
      <c r="A432" s="174"/>
      <c r="B432" s="176"/>
      <c r="C432" s="85"/>
      <c r="D432" s="175"/>
      <c r="E432" s="175"/>
      <c r="F432" s="85"/>
      <c r="G432" s="18">
        <f>C432</f>
        <v>0</v>
      </c>
      <c r="H432" s="85"/>
      <c r="I432" s="85"/>
      <c r="J432" s="174"/>
      <c r="K432" s="173"/>
      <c r="L432" s="102"/>
      <c r="M432" s="85"/>
      <c r="N432" s="85"/>
      <c r="O432" s="85"/>
      <c r="P432" s="85"/>
      <c r="Q432" s="85"/>
      <c r="R432" s="85"/>
      <c r="S432" s="85"/>
    </row>
    <row r="433" spans="1:19" ht="15.75">
      <c r="A433" s="174"/>
      <c r="B433" s="176"/>
      <c r="C433" s="85"/>
      <c r="D433" s="175"/>
      <c r="E433" s="175"/>
      <c r="F433" s="85"/>
      <c r="G433" s="18">
        <f>C433</f>
        <v>0</v>
      </c>
      <c r="H433" s="85"/>
      <c r="I433" s="85"/>
      <c r="J433" s="174"/>
      <c r="K433" s="173"/>
      <c r="L433" s="102"/>
      <c r="M433" s="85"/>
      <c r="N433" s="85"/>
      <c r="O433" s="85"/>
      <c r="P433" s="85"/>
      <c r="Q433" s="85"/>
      <c r="R433" s="85"/>
      <c r="S433" s="85"/>
    </row>
    <row r="434" spans="1:19" ht="15.75">
      <c r="A434" s="174"/>
      <c r="B434" s="176"/>
      <c r="C434" s="85"/>
      <c r="D434" s="175"/>
      <c r="E434" s="175"/>
      <c r="F434" s="85"/>
      <c r="G434" s="18">
        <f>C434</f>
        <v>0</v>
      </c>
      <c r="H434" s="85"/>
      <c r="I434" s="85"/>
      <c r="J434" s="174"/>
      <c r="K434" s="173"/>
      <c r="L434" s="102"/>
      <c r="M434" s="85"/>
      <c r="N434" s="85"/>
      <c r="O434" s="85"/>
      <c r="P434" s="85"/>
      <c r="Q434" s="85"/>
      <c r="R434" s="85"/>
      <c r="S434" s="85"/>
    </row>
    <row r="435" spans="1:19" ht="15.75">
      <c r="A435" s="174"/>
      <c r="B435" s="176"/>
      <c r="C435" s="85"/>
      <c r="D435" s="175"/>
      <c r="E435" s="175"/>
      <c r="F435" s="85"/>
      <c r="G435" s="18">
        <f>C435</f>
        <v>0</v>
      </c>
      <c r="H435" s="85"/>
      <c r="I435" s="85"/>
      <c r="J435" s="174"/>
      <c r="K435" s="173"/>
      <c r="L435" s="102"/>
      <c r="M435" s="85"/>
      <c r="N435" s="85"/>
      <c r="O435" s="85"/>
      <c r="P435" s="85"/>
      <c r="Q435" s="85"/>
      <c r="R435" s="85"/>
      <c r="S435" s="85"/>
    </row>
    <row r="436" spans="1:19" ht="15.75">
      <c r="A436" s="174"/>
      <c r="B436" s="176"/>
      <c r="C436" s="85"/>
      <c r="D436" s="175"/>
      <c r="E436" s="175"/>
      <c r="F436" s="85"/>
      <c r="G436" s="18">
        <f>C436</f>
        <v>0</v>
      </c>
      <c r="H436" s="85"/>
      <c r="I436" s="85"/>
      <c r="J436" s="174"/>
      <c r="K436" s="173"/>
      <c r="L436" s="102"/>
      <c r="M436" s="85"/>
      <c r="N436" s="85"/>
      <c r="O436" s="85"/>
      <c r="P436" s="85"/>
      <c r="Q436" s="85"/>
      <c r="R436" s="85"/>
      <c r="S436" s="85"/>
    </row>
    <row r="437" spans="1:19" ht="15.75">
      <c r="A437" s="174"/>
      <c r="B437" s="176"/>
      <c r="C437" s="85"/>
      <c r="D437" s="175"/>
      <c r="E437" s="175"/>
      <c r="F437" s="85"/>
      <c r="G437" s="18">
        <f>C437</f>
        <v>0</v>
      </c>
      <c r="H437" s="85"/>
      <c r="I437" s="85"/>
      <c r="J437" s="174"/>
      <c r="K437" s="173"/>
      <c r="L437" s="102"/>
      <c r="M437" s="85"/>
      <c r="N437" s="85"/>
      <c r="O437" s="85"/>
      <c r="P437" s="85"/>
      <c r="Q437" s="85"/>
      <c r="R437" s="85"/>
      <c r="S437" s="85"/>
    </row>
    <row r="438" spans="1:19" ht="15.75">
      <c r="A438" s="174"/>
      <c r="B438" s="176"/>
      <c r="C438" s="85"/>
      <c r="D438" s="175"/>
      <c r="E438" s="175"/>
      <c r="F438" s="85"/>
      <c r="G438" s="18">
        <f>C438</f>
        <v>0</v>
      </c>
      <c r="H438" s="85"/>
      <c r="I438" s="85"/>
      <c r="J438" s="174"/>
      <c r="K438" s="173"/>
      <c r="L438" s="102"/>
      <c r="M438" s="85"/>
      <c r="N438" s="85"/>
      <c r="O438" s="85"/>
      <c r="P438" s="85"/>
      <c r="Q438" s="85"/>
      <c r="R438" s="85"/>
      <c r="S438" s="85"/>
    </row>
    <row r="439" spans="1:19" ht="15.75">
      <c r="A439" s="174"/>
      <c r="B439" s="176"/>
      <c r="C439" s="85"/>
      <c r="D439" s="175"/>
      <c r="E439" s="175"/>
      <c r="F439" s="85"/>
      <c r="G439" s="18">
        <f>C439</f>
        <v>0</v>
      </c>
      <c r="H439" s="85"/>
      <c r="I439" s="85"/>
      <c r="J439" s="174"/>
      <c r="K439" s="173"/>
      <c r="L439" s="102"/>
      <c r="M439" s="85"/>
      <c r="N439" s="85"/>
      <c r="O439" s="85"/>
      <c r="P439" s="85"/>
      <c r="Q439" s="85"/>
      <c r="R439" s="85"/>
      <c r="S439" s="85"/>
    </row>
    <row r="440" spans="1:19" ht="15.75">
      <c r="A440" s="174"/>
      <c r="B440" s="176"/>
      <c r="C440" s="85"/>
      <c r="D440" s="175"/>
      <c r="E440" s="175"/>
      <c r="F440" s="85"/>
      <c r="G440" s="18">
        <f>C440</f>
        <v>0</v>
      </c>
      <c r="H440" s="85"/>
      <c r="I440" s="85"/>
      <c r="J440" s="174"/>
      <c r="K440" s="173"/>
      <c r="L440" s="102"/>
      <c r="M440" s="85"/>
      <c r="N440" s="85"/>
      <c r="O440" s="85"/>
      <c r="P440" s="85"/>
      <c r="Q440" s="85"/>
      <c r="R440" s="85"/>
      <c r="S440" s="85"/>
    </row>
    <row r="441" spans="1:19" ht="15.75">
      <c r="A441" s="174"/>
      <c r="B441" s="176"/>
      <c r="C441" s="85"/>
      <c r="D441" s="175"/>
      <c r="E441" s="175"/>
      <c r="F441" s="85"/>
      <c r="G441" s="18">
        <f>C441</f>
        <v>0</v>
      </c>
      <c r="H441" s="85"/>
      <c r="I441" s="85"/>
      <c r="J441" s="174"/>
      <c r="K441" s="173"/>
      <c r="L441" s="102"/>
      <c r="M441" s="85"/>
      <c r="N441" s="85"/>
      <c r="O441" s="85"/>
      <c r="P441" s="85"/>
      <c r="Q441" s="85"/>
      <c r="R441" s="85"/>
      <c r="S441" s="85"/>
    </row>
    <row r="442" spans="1:19" ht="15.75">
      <c r="A442" s="174"/>
      <c r="B442" s="176"/>
      <c r="C442" s="85"/>
      <c r="D442" s="175"/>
      <c r="E442" s="175"/>
      <c r="F442" s="85"/>
      <c r="G442" s="18">
        <f>C442</f>
        <v>0</v>
      </c>
      <c r="H442" s="85"/>
      <c r="I442" s="85"/>
      <c r="J442" s="174"/>
      <c r="K442" s="173"/>
      <c r="L442" s="102"/>
      <c r="M442" s="85"/>
      <c r="N442" s="85"/>
      <c r="O442" s="85"/>
      <c r="P442" s="85"/>
      <c r="Q442" s="85"/>
      <c r="R442" s="85"/>
      <c r="S442" s="85"/>
    </row>
    <row r="443" spans="1:19" ht="15.75">
      <c r="A443" s="174"/>
      <c r="B443" s="176"/>
      <c r="C443" s="85"/>
      <c r="D443" s="175"/>
      <c r="E443" s="175"/>
      <c r="F443" s="85"/>
      <c r="G443" s="18">
        <f>C443</f>
        <v>0</v>
      </c>
      <c r="H443" s="85"/>
      <c r="I443" s="85"/>
      <c r="J443" s="174"/>
      <c r="K443" s="173"/>
      <c r="L443" s="102"/>
      <c r="M443" s="85"/>
      <c r="N443" s="85"/>
      <c r="O443" s="85"/>
      <c r="P443" s="85"/>
      <c r="Q443" s="85"/>
      <c r="R443" s="85"/>
      <c r="S443" s="85"/>
    </row>
    <row r="444" spans="1:19" ht="15.75">
      <c r="A444" s="174"/>
      <c r="B444" s="176"/>
      <c r="C444" s="85"/>
      <c r="D444" s="175"/>
      <c r="E444" s="175"/>
      <c r="F444" s="85"/>
      <c r="G444" s="18">
        <f>C444</f>
        <v>0</v>
      </c>
      <c r="H444" s="85"/>
      <c r="I444" s="85"/>
      <c r="J444" s="174"/>
      <c r="K444" s="173"/>
      <c r="L444" s="102"/>
      <c r="M444" s="85"/>
      <c r="N444" s="85"/>
      <c r="O444" s="85"/>
      <c r="P444" s="85"/>
      <c r="Q444" s="85"/>
      <c r="R444" s="85"/>
      <c r="S444" s="85"/>
    </row>
    <row r="445" spans="1:19" ht="15.75">
      <c r="A445" s="174"/>
      <c r="B445" s="176"/>
      <c r="C445" s="85"/>
      <c r="D445" s="175"/>
      <c r="E445" s="175"/>
      <c r="F445" s="85"/>
      <c r="G445" s="18">
        <f>C445</f>
        <v>0</v>
      </c>
      <c r="H445" s="85"/>
      <c r="I445" s="85"/>
      <c r="J445" s="174"/>
      <c r="K445" s="173"/>
      <c r="L445" s="102"/>
      <c r="M445" s="85"/>
      <c r="N445" s="85"/>
      <c r="O445" s="85"/>
      <c r="P445" s="85"/>
      <c r="Q445" s="85"/>
      <c r="R445" s="85"/>
      <c r="S445" s="85"/>
    </row>
    <row r="446" spans="1:19" ht="15.75">
      <c r="A446" s="174"/>
      <c r="B446" s="176"/>
      <c r="C446" s="85"/>
      <c r="D446" s="175"/>
      <c r="E446" s="175"/>
      <c r="F446" s="85"/>
      <c r="G446" s="18">
        <f>C446</f>
        <v>0</v>
      </c>
      <c r="H446" s="85"/>
      <c r="I446" s="85"/>
      <c r="J446" s="174"/>
      <c r="K446" s="173"/>
      <c r="L446" s="102"/>
      <c r="M446" s="85"/>
      <c r="N446" s="85"/>
      <c r="O446" s="85"/>
      <c r="P446" s="85"/>
      <c r="Q446" s="85"/>
      <c r="R446" s="85"/>
      <c r="S446" s="85"/>
    </row>
    <row r="447" spans="1:19" ht="15.75">
      <c r="A447" s="174"/>
      <c r="B447" s="176"/>
      <c r="C447" s="85"/>
      <c r="D447" s="175"/>
      <c r="E447" s="175"/>
      <c r="F447" s="85"/>
      <c r="G447" s="18">
        <f>C447</f>
        <v>0</v>
      </c>
      <c r="H447" s="85"/>
      <c r="I447" s="85"/>
      <c r="J447" s="174"/>
      <c r="K447" s="173"/>
      <c r="L447" s="102"/>
      <c r="M447" s="85"/>
      <c r="N447" s="85"/>
      <c r="O447" s="85"/>
      <c r="P447" s="85"/>
      <c r="Q447" s="85"/>
      <c r="R447" s="85"/>
      <c r="S447" s="85"/>
    </row>
    <row r="448" spans="1:19" ht="15.75">
      <c r="A448" s="174"/>
      <c r="B448" s="176"/>
      <c r="C448" s="85"/>
      <c r="D448" s="175"/>
      <c r="E448" s="175"/>
      <c r="F448" s="85"/>
      <c r="G448" s="18">
        <f>C448</f>
        <v>0</v>
      </c>
      <c r="H448" s="85"/>
      <c r="I448" s="85"/>
      <c r="J448" s="174"/>
      <c r="K448" s="173"/>
      <c r="L448" s="102"/>
      <c r="M448" s="85"/>
      <c r="N448" s="85"/>
      <c r="O448" s="85"/>
      <c r="P448" s="85"/>
      <c r="Q448" s="85"/>
      <c r="R448" s="85"/>
      <c r="S448" s="85"/>
    </row>
    <row r="449" spans="1:19" ht="15.75">
      <c r="A449" s="174"/>
      <c r="B449" s="176"/>
      <c r="C449" s="85"/>
      <c r="D449" s="175"/>
      <c r="E449" s="175"/>
      <c r="F449" s="85"/>
      <c r="G449" s="18">
        <f>C449</f>
        <v>0</v>
      </c>
      <c r="H449" s="85"/>
      <c r="I449" s="85"/>
      <c r="J449" s="174"/>
      <c r="K449" s="173"/>
      <c r="L449" s="102"/>
      <c r="M449" s="85"/>
      <c r="N449" s="85"/>
      <c r="O449" s="85"/>
      <c r="P449" s="85"/>
      <c r="Q449" s="85"/>
      <c r="R449" s="85"/>
      <c r="S449" s="85"/>
    </row>
    <row r="450" spans="1:19" ht="15.75">
      <c r="A450" s="174"/>
      <c r="B450" s="176"/>
      <c r="C450" s="85"/>
      <c r="D450" s="175"/>
      <c r="E450" s="175"/>
      <c r="F450" s="85"/>
      <c r="G450" s="18">
        <f>C450</f>
        <v>0</v>
      </c>
      <c r="H450" s="85"/>
      <c r="I450" s="85"/>
      <c r="J450" s="174"/>
      <c r="K450" s="173"/>
      <c r="L450" s="102"/>
      <c r="M450" s="85"/>
      <c r="N450" s="85"/>
      <c r="O450" s="85"/>
      <c r="P450" s="85"/>
      <c r="Q450" s="85"/>
      <c r="R450" s="85"/>
      <c r="S450" s="85"/>
    </row>
    <row r="451" spans="1:19" ht="15.75">
      <c r="A451" s="174"/>
      <c r="B451" s="176"/>
      <c r="C451" s="85"/>
      <c r="D451" s="175"/>
      <c r="E451" s="175"/>
      <c r="F451" s="85"/>
      <c r="G451" s="18">
        <f>C451</f>
        <v>0</v>
      </c>
      <c r="H451" s="85"/>
      <c r="I451" s="85"/>
      <c r="J451" s="174"/>
      <c r="K451" s="173"/>
      <c r="L451" s="102"/>
      <c r="M451" s="85"/>
      <c r="N451" s="85"/>
      <c r="O451" s="85"/>
      <c r="P451" s="85"/>
      <c r="Q451" s="85"/>
      <c r="R451" s="85"/>
      <c r="S451" s="85"/>
    </row>
    <row r="452" spans="1:19" ht="15.75">
      <c r="A452" s="174"/>
      <c r="B452" s="176"/>
      <c r="C452" s="85"/>
      <c r="D452" s="175"/>
      <c r="E452" s="175"/>
      <c r="F452" s="85"/>
      <c r="G452" s="18">
        <f>C452</f>
        <v>0</v>
      </c>
      <c r="H452" s="85"/>
      <c r="I452" s="85"/>
      <c r="J452" s="174"/>
      <c r="K452" s="173"/>
      <c r="L452" s="102"/>
      <c r="M452" s="85"/>
      <c r="N452" s="85"/>
      <c r="O452" s="85"/>
      <c r="P452" s="85"/>
      <c r="Q452" s="85"/>
      <c r="R452" s="85"/>
      <c r="S452" s="85"/>
    </row>
    <row r="453" spans="1:19" ht="15.75">
      <c r="A453" s="174"/>
      <c r="B453" s="176"/>
      <c r="C453" s="85"/>
      <c r="D453" s="175"/>
      <c r="E453" s="175"/>
      <c r="F453" s="85"/>
      <c r="G453" s="18">
        <f>C453</f>
        <v>0</v>
      </c>
      <c r="H453" s="85"/>
      <c r="I453" s="85"/>
      <c r="J453" s="174"/>
      <c r="K453" s="173"/>
      <c r="L453" s="102"/>
      <c r="M453" s="85"/>
      <c r="N453" s="85"/>
      <c r="O453" s="85"/>
      <c r="P453" s="85"/>
      <c r="Q453" s="85"/>
      <c r="R453" s="85"/>
      <c r="S453" s="85"/>
    </row>
    <row r="454" spans="1:19" ht="15.75">
      <c r="A454" s="174"/>
      <c r="B454" s="176"/>
      <c r="C454" s="85"/>
      <c r="D454" s="175"/>
      <c r="E454" s="175"/>
      <c r="F454" s="85"/>
      <c r="G454" s="18">
        <f>C454</f>
        <v>0</v>
      </c>
      <c r="H454" s="85"/>
      <c r="I454" s="85"/>
      <c r="J454" s="174"/>
      <c r="K454" s="173"/>
      <c r="L454" s="102"/>
      <c r="M454" s="85"/>
      <c r="N454" s="85"/>
      <c r="O454" s="85"/>
      <c r="P454" s="85"/>
      <c r="Q454" s="85"/>
      <c r="R454" s="85"/>
      <c r="S454" s="85"/>
    </row>
    <row r="455" spans="1:19" ht="15.75">
      <c r="A455" s="174"/>
      <c r="B455" s="176"/>
      <c r="C455" s="85"/>
      <c r="D455" s="175"/>
      <c r="E455" s="175"/>
      <c r="F455" s="85"/>
      <c r="G455" s="18">
        <f>C455</f>
        <v>0</v>
      </c>
      <c r="H455" s="85"/>
      <c r="I455" s="85"/>
      <c r="J455" s="174"/>
      <c r="K455" s="173"/>
      <c r="L455" s="102"/>
      <c r="M455" s="85"/>
      <c r="N455" s="85"/>
      <c r="O455" s="85"/>
      <c r="P455" s="85"/>
      <c r="Q455" s="85"/>
      <c r="R455" s="85"/>
      <c r="S455" s="85"/>
    </row>
    <row r="456" spans="1:19" ht="15.75">
      <c r="A456" s="174"/>
      <c r="B456" s="176"/>
      <c r="C456" s="85"/>
      <c r="D456" s="175"/>
      <c r="E456" s="175"/>
      <c r="F456" s="85"/>
      <c r="G456" s="18">
        <f>C456</f>
        <v>0</v>
      </c>
      <c r="H456" s="85"/>
      <c r="I456" s="85"/>
      <c r="J456" s="174"/>
      <c r="K456" s="173"/>
      <c r="L456" s="102"/>
      <c r="M456" s="85"/>
      <c r="N456" s="85"/>
      <c r="O456" s="85"/>
      <c r="P456" s="85"/>
      <c r="Q456" s="85"/>
      <c r="R456" s="85"/>
      <c r="S456" s="85"/>
    </row>
    <row r="457" spans="1:19" ht="15.75">
      <c r="A457" s="174"/>
      <c r="B457" s="176"/>
      <c r="C457" s="85"/>
      <c r="D457" s="175"/>
      <c r="E457" s="175"/>
      <c r="F457" s="85"/>
      <c r="G457" s="18">
        <f>C457</f>
        <v>0</v>
      </c>
      <c r="H457" s="85"/>
      <c r="I457" s="85"/>
      <c r="J457" s="174"/>
      <c r="K457" s="173"/>
      <c r="L457" s="102"/>
      <c r="M457" s="85"/>
      <c r="N457" s="85"/>
      <c r="O457" s="85"/>
      <c r="P457" s="85"/>
      <c r="Q457" s="85"/>
      <c r="R457" s="85"/>
      <c r="S457" s="85"/>
    </row>
    <row r="458" spans="1:19" ht="15.75">
      <c r="A458" s="174"/>
      <c r="B458" s="176"/>
      <c r="C458" s="85"/>
      <c r="D458" s="175"/>
      <c r="E458" s="175"/>
      <c r="F458" s="85"/>
      <c r="G458" s="18">
        <f>C458</f>
        <v>0</v>
      </c>
      <c r="H458" s="85"/>
      <c r="I458" s="85"/>
      <c r="J458" s="174"/>
      <c r="K458" s="173"/>
      <c r="L458" s="102"/>
      <c r="M458" s="85"/>
      <c r="N458" s="85"/>
      <c r="O458" s="85"/>
      <c r="P458" s="85"/>
      <c r="Q458" s="85"/>
      <c r="R458" s="85"/>
      <c r="S458" s="85"/>
    </row>
    <row r="459" spans="1:19" ht="15.75">
      <c r="A459" s="174"/>
      <c r="B459" s="176"/>
      <c r="C459" s="85"/>
      <c r="D459" s="175"/>
      <c r="E459" s="175"/>
      <c r="F459" s="85"/>
      <c r="G459" s="18">
        <f>C459</f>
        <v>0</v>
      </c>
      <c r="H459" s="85"/>
      <c r="I459" s="85"/>
      <c r="J459" s="174"/>
      <c r="K459" s="173"/>
      <c r="L459" s="102"/>
      <c r="M459" s="85"/>
      <c r="N459" s="85"/>
      <c r="O459" s="85"/>
      <c r="P459" s="85"/>
      <c r="Q459" s="85"/>
      <c r="R459" s="85"/>
      <c r="S459" s="85"/>
    </row>
    <row r="460" spans="1:19" ht="15.75">
      <c r="A460" s="174"/>
      <c r="B460" s="176"/>
      <c r="C460" s="85"/>
      <c r="D460" s="175"/>
      <c r="E460" s="175"/>
      <c r="F460" s="85"/>
      <c r="G460" s="18">
        <f>C460</f>
        <v>0</v>
      </c>
      <c r="H460" s="85"/>
      <c r="I460" s="85"/>
      <c r="J460" s="174"/>
      <c r="K460" s="173"/>
      <c r="L460" s="102"/>
      <c r="M460" s="85"/>
      <c r="N460" s="85"/>
      <c r="O460" s="85"/>
      <c r="P460" s="85"/>
      <c r="Q460" s="85"/>
      <c r="R460" s="85"/>
      <c r="S460" s="85"/>
    </row>
    <row r="461" spans="1:19" ht="15.75">
      <c r="A461" s="174"/>
      <c r="B461" s="176"/>
      <c r="C461" s="85"/>
      <c r="D461" s="175"/>
      <c r="E461" s="175"/>
      <c r="F461" s="85"/>
      <c r="G461" s="18">
        <f>C461</f>
        <v>0</v>
      </c>
      <c r="H461" s="85"/>
      <c r="I461" s="85"/>
      <c r="J461" s="174"/>
      <c r="K461" s="173"/>
      <c r="L461" s="102"/>
      <c r="M461" s="85"/>
      <c r="N461" s="85"/>
      <c r="O461" s="85"/>
      <c r="P461" s="85"/>
      <c r="Q461" s="85"/>
      <c r="R461" s="85"/>
      <c r="S461" s="85"/>
    </row>
    <row r="462" spans="1:19" ht="15.75">
      <c r="A462" s="174"/>
      <c r="B462" s="176"/>
      <c r="C462" s="85"/>
      <c r="D462" s="175"/>
      <c r="E462" s="175"/>
      <c r="F462" s="85"/>
      <c r="G462" s="18">
        <f>C462</f>
        <v>0</v>
      </c>
      <c r="H462" s="85"/>
      <c r="I462" s="85"/>
      <c r="J462" s="174"/>
      <c r="K462" s="173"/>
      <c r="L462" s="102"/>
      <c r="M462" s="85"/>
      <c r="N462" s="85"/>
      <c r="O462" s="85"/>
      <c r="P462" s="85"/>
      <c r="Q462" s="85"/>
      <c r="R462" s="85"/>
      <c r="S462" s="85"/>
    </row>
    <row r="463" spans="1:19" ht="15.75">
      <c r="A463" s="174"/>
      <c r="B463" s="176"/>
      <c r="C463" s="85"/>
      <c r="D463" s="175"/>
      <c r="E463" s="175"/>
      <c r="F463" s="85"/>
      <c r="G463" s="18">
        <f>C463</f>
        <v>0</v>
      </c>
      <c r="H463" s="85"/>
      <c r="I463" s="85"/>
      <c r="J463" s="174"/>
      <c r="K463" s="173"/>
      <c r="L463" s="102"/>
      <c r="M463" s="85"/>
      <c r="N463" s="85"/>
      <c r="O463" s="85"/>
      <c r="P463" s="85"/>
      <c r="Q463" s="85"/>
      <c r="R463" s="85"/>
      <c r="S463" s="85"/>
    </row>
    <row r="464" spans="1:19" ht="15.75">
      <c r="A464" s="174"/>
      <c r="B464" s="176"/>
      <c r="C464" s="85"/>
      <c r="D464" s="175"/>
      <c r="E464" s="175"/>
      <c r="F464" s="85"/>
      <c r="G464" s="18">
        <f>C464</f>
        <v>0</v>
      </c>
      <c r="H464" s="85"/>
      <c r="I464" s="85"/>
      <c r="J464" s="174"/>
      <c r="K464" s="173"/>
      <c r="L464" s="102"/>
      <c r="M464" s="85"/>
      <c r="N464" s="85"/>
      <c r="O464" s="85"/>
      <c r="P464" s="85"/>
      <c r="Q464" s="85"/>
      <c r="R464" s="85"/>
      <c r="S464" s="85"/>
    </row>
    <row r="465" spans="1:19" ht="15.75">
      <c r="A465" s="174"/>
      <c r="B465" s="176"/>
      <c r="C465" s="85"/>
      <c r="D465" s="175"/>
      <c r="E465" s="175"/>
      <c r="F465" s="85"/>
      <c r="G465" s="18">
        <f>C465</f>
        <v>0</v>
      </c>
      <c r="H465" s="85"/>
      <c r="I465" s="85"/>
      <c r="J465" s="174"/>
      <c r="K465" s="173"/>
      <c r="L465" s="102"/>
      <c r="M465" s="85"/>
      <c r="N465" s="85"/>
      <c r="O465" s="85"/>
      <c r="P465" s="85"/>
      <c r="Q465" s="85"/>
      <c r="R465" s="85"/>
      <c r="S465" s="85"/>
    </row>
    <row r="466" spans="1:19" ht="15.75">
      <c r="A466" s="174"/>
      <c r="B466" s="176"/>
      <c r="C466" s="85"/>
      <c r="D466" s="175"/>
      <c r="E466" s="175"/>
      <c r="F466" s="85"/>
      <c r="G466" s="18">
        <f>C466</f>
        <v>0</v>
      </c>
      <c r="H466" s="85"/>
      <c r="I466" s="85"/>
      <c r="J466" s="174"/>
      <c r="K466" s="173"/>
      <c r="L466" s="102"/>
      <c r="M466" s="85"/>
      <c r="N466" s="85"/>
      <c r="O466" s="85"/>
      <c r="P466" s="85"/>
      <c r="Q466" s="85"/>
      <c r="R466" s="85"/>
      <c r="S466" s="85"/>
    </row>
    <row r="467" spans="1:19" ht="15.75">
      <c r="A467" s="174"/>
      <c r="B467" s="176"/>
      <c r="C467" s="85"/>
      <c r="D467" s="175"/>
      <c r="E467" s="175"/>
      <c r="F467" s="85"/>
      <c r="G467" s="18">
        <f>C467</f>
        <v>0</v>
      </c>
      <c r="H467" s="85"/>
      <c r="I467" s="85"/>
      <c r="J467" s="174"/>
      <c r="K467" s="173"/>
      <c r="L467" s="102"/>
      <c r="M467" s="85"/>
      <c r="N467" s="85"/>
      <c r="O467" s="85"/>
      <c r="P467" s="85"/>
      <c r="Q467" s="85"/>
      <c r="R467" s="85"/>
      <c r="S467" s="85"/>
    </row>
    <row r="468" spans="1:19" ht="15.75">
      <c r="A468" s="174"/>
      <c r="B468" s="176"/>
      <c r="C468" s="85"/>
      <c r="D468" s="175"/>
      <c r="E468" s="175"/>
      <c r="F468" s="85"/>
      <c r="G468" s="18">
        <f>C468</f>
        <v>0</v>
      </c>
      <c r="H468" s="85"/>
      <c r="I468" s="85"/>
      <c r="J468" s="174"/>
      <c r="K468" s="173"/>
      <c r="L468" s="102"/>
      <c r="M468" s="85"/>
      <c r="N468" s="85"/>
      <c r="O468" s="85"/>
      <c r="P468" s="85"/>
      <c r="Q468" s="85"/>
      <c r="R468" s="85"/>
      <c r="S468" s="85"/>
    </row>
    <row r="469" spans="1:19" ht="15.75">
      <c r="A469" s="174"/>
      <c r="B469" s="176"/>
      <c r="C469" s="85"/>
      <c r="D469" s="175"/>
      <c r="E469" s="175"/>
      <c r="F469" s="85"/>
      <c r="G469" s="18">
        <f>C469</f>
        <v>0</v>
      </c>
      <c r="H469" s="85"/>
      <c r="I469" s="85"/>
      <c r="J469" s="174"/>
      <c r="K469" s="173"/>
      <c r="L469" s="102"/>
      <c r="M469" s="85"/>
      <c r="N469" s="85"/>
      <c r="O469" s="85"/>
      <c r="P469" s="85"/>
      <c r="Q469" s="85"/>
      <c r="R469" s="85"/>
      <c r="S469" s="85"/>
    </row>
    <row r="470" spans="1:19" ht="15.75">
      <c r="A470" s="174"/>
      <c r="B470" s="176"/>
      <c r="C470" s="85"/>
      <c r="D470" s="175"/>
      <c r="E470" s="175"/>
      <c r="F470" s="85"/>
      <c r="G470" s="18">
        <f>C470</f>
        <v>0</v>
      </c>
      <c r="H470" s="85"/>
      <c r="I470" s="85"/>
      <c r="J470" s="174"/>
      <c r="K470" s="173"/>
      <c r="L470" s="102"/>
      <c r="M470" s="85"/>
      <c r="N470" s="85"/>
      <c r="O470" s="85"/>
      <c r="P470" s="85"/>
      <c r="Q470" s="85"/>
      <c r="R470" s="85"/>
      <c r="S470" s="85"/>
    </row>
    <row r="471" spans="1:19" ht="15.75">
      <c r="A471" s="174"/>
      <c r="B471" s="176"/>
      <c r="C471" s="85"/>
      <c r="D471" s="175"/>
      <c r="E471" s="175"/>
      <c r="F471" s="85"/>
      <c r="G471" s="18">
        <f>C471</f>
        <v>0</v>
      </c>
      <c r="H471" s="85"/>
      <c r="I471" s="85"/>
      <c r="J471" s="174"/>
      <c r="K471" s="173"/>
      <c r="L471" s="102"/>
      <c r="M471" s="85"/>
      <c r="N471" s="85"/>
      <c r="O471" s="85"/>
      <c r="P471" s="85"/>
      <c r="Q471" s="85"/>
      <c r="R471" s="85"/>
      <c r="S471" s="85"/>
    </row>
    <row r="472" spans="1:19" ht="15.75">
      <c r="A472" s="174"/>
      <c r="B472" s="176"/>
      <c r="C472" s="85"/>
      <c r="D472" s="175"/>
      <c r="E472" s="175"/>
      <c r="F472" s="85"/>
      <c r="G472" s="18">
        <f>C472</f>
        <v>0</v>
      </c>
      <c r="H472" s="85"/>
      <c r="I472" s="85"/>
      <c r="J472" s="174"/>
      <c r="K472" s="173"/>
      <c r="L472" s="102"/>
      <c r="M472" s="85"/>
      <c r="N472" s="85"/>
      <c r="O472" s="85"/>
      <c r="P472" s="85"/>
      <c r="Q472" s="85"/>
      <c r="R472" s="85"/>
      <c r="S472" s="85"/>
    </row>
    <row r="473" spans="1:19" ht="15.75">
      <c r="A473" s="174"/>
      <c r="B473" s="176"/>
      <c r="C473" s="85"/>
      <c r="D473" s="175"/>
      <c r="E473" s="175"/>
      <c r="F473" s="85"/>
      <c r="G473" s="18">
        <f>C473</f>
        <v>0</v>
      </c>
      <c r="H473" s="85"/>
      <c r="I473" s="85"/>
      <c r="J473" s="174"/>
      <c r="K473" s="173"/>
      <c r="L473" s="102"/>
      <c r="M473" s="85"/>
      <c r="N473" s="85"/>
      <c r="O473" s="85"/>
      <c r="P473" s="85"/>
      <c r="Q473" s="85"/>
      <c r="R473" s="85"/>
      <c r="S473" s="85"/>
    </row>
    <row r="474" spans="1:19" ht="15.75">
      <c r="A474" s="174"/>
      <c r="B474" s="176"/>
      <c r="C474" s="85"/>
      <c r="D474" s="175"/>
      <c r="E474" s="175"/>
      <c r="F474" s="85"/>
      <c r="G474" s="18">
        <f>C474</f>
        <v>0</v>
      </c>
      <c r="H474" s="85"/>
      <c r="I474" s="85"/>
      <c r="J474" s="174"/>
      <c r="K474" s="173"/>
      <c r="L474" s="102"/>
      <c r="M474" s="85"/>
      <c r="N474" s="85"/>
      <c r="O474" s="85"/>
      <c r="P474" s="85"/>
      <c r="Q474" s="85"/>
      <c r="R474" s="85"/>
      <c r="S474" s="85"/>
    </row>
    <row r="475" spans="1:19" ht="15.75">
      <c r="A475" s="174"/>
      <c r="B475" s="176"/>
      <c r="C475" s="85"/>
      <c r="D475" s="175"/>
      <c r="E475" s="175"/>
      <c r="F475" s="85"/>
      <c r="G475" s="18">
        <f>C475</f>
        <v>0</v>
      </c>
      <c r="H475" s="85"/>
      <c r="I475" s="85"/>
      <c r="J475" s="174"/>
      <c r="K475" s="173"/>
      <c r="L475" s="102"/>
      <c r="M475" s="85"/>
      <c r="N475" s="85"/>
      <c r="O475" s="85"/>
      <c r="P475" s="85"/>
      <c r="Q475" s="85"/>
      <c r="R475" s="85"/>
      <c r="S475" s="85"/>
    </row>
    <row r="476" spans="1:19" ht="15.75">
      <c r="A476" s="174"/>
      <c r="B476" s="176"/>
      <c r="C476" s="85"/>
      <c r="D476" s="175"/>
      <c r="E476" s="175"/>
      <c r="F476" s="85"/>
      <c r="G476" s="18">
        <f>C476</f>
        <v>0</v>
      </c>
      <c r="H476" s="85"/>
      <c r="I476" s="85"/>
      <c r="J476" s="174"/>
      <c r="K476" s="173"/>
      <c r="L476" s="102"/>
      <c r="M476" s="85"/>
      <c r="N476" s="85"/>
      <c r="O476" s="85"/>
      <c r="P476" s="85"/>
      <c r="Q476" s="85"/>
      <c r="R476" s="85"/>
      <c r="S476" s="85"/>
    </row>
    <row r="477" spans="1:19" ht="15.75">
      <c r="A477" s="174"/>
      <c r="B477" s="176"/>
      <c r="C477" s="85"/>
      <c r="D477" s="175"/>
      <c r="E477" s="175"/>
      <c r="F477" s="85"/>
      <c r="G477" s="18">
        <f>C477</f>
        <v>0</v>
      </c>
      <c r="H477" s="85"/>
      <c r="I477" s="85"/>
      <c r="J477" s="174"/>
      <c r="K477" s="173"/>
      <c r="L477" s="102"/>
      <c r="M477" s="85"/>
      <c r="N477" s="85"/>
      <c r="O477" s="85"/>
      <c r="P477" s="85"/>
      <c r="Q477" s="85"/>
      <c r="R477" s="85"/>
      <c r="S477" s="85"/>
    </row>
    <row r="478" spans="1:19" ht="15.75">
      <c r="A478" s="174"/>
      <c r="B478" s="176"/>
      <c r="C478" s="85"/>
      <c r="D478" s="175"/>
      <c r="E478" s="175"/>
      <c r="F478" s="85"/>
      <c r="G478" s="18">
        <f>C478</f>
        <v>0</v>
      </c>
      <c r="H478" s="85"/>
      <c r="I478" s="85"/>
      <c r="J478" s="174"/>
      <c r="K478" s="173"/>
      <c r="L478" s="102"/>
      <c r="M478" s="85"/>
      <c r="N478" s="85"/>
      <c r="O478" s="85"/>
      <c r="P478" s="85"/>
      <c r="Q478" s="85"/>
      <c r="R478" s="85"/>
      <c r="S478" s="85"/>
    </row>
    <row r="479" spans="1:19" ht="15.75">
      <c r="A479" s="174"/>
      <c r="B479" s="176"/>
      <c r="C479" s="85"/>
      <c r="D479" s="175"/>
      <c r="E479" s="175"/>
      <c r="F479" s="85"/>
      <c r="G479" s="18">
        <f>C479</f>
        <v>0</v>
      </c>
      <c r="H479" s="85"/>
      <c r="I479" s="85"/>
      <c r="J479" s="174"/>
      <c r="K479" s="173"/>
      <c r="L479" s="102"/>
      <c r="M479" s="85"/>
      <c r="N479" s="85"/>
      <c r="O479" s="85"/>
      <c r="P479" s="85"/>
      <c r="Q479" s="85"/>
      <c r="R479" s="85"/>
      <c r="S479" s="85"/>
    </row>
    <row r="480" spans="1:19" ht="15.75">
      <c r="A480" s="174"/>
      <c r="B480" s="176"/>
      <c r="C480" s="85"/>
      <c r="D480" s="175"/>
      <c r="E480" s="175"/>
      <c r="F480" s="85"/>
      <c r="G480" s="18">
        <f>C480</f>
        <v>0</v>
      </c>
      <c r="H480" s="85"/>
      <c r="I480" s="85"/>
      <c r="J480" s="174"/>
      <c r="K480" s="173"/>
      <c r="L480" s="102"/>
      <c r="M480" s="85"/>
      <c r="N480" s="85"/>
      <c r="O480" s="85"/>
      <c r="P480" s="85"/>
      <c r="Q480" s="85"/>
      <c r="R480" s="85"/>
      <c r="S480" s="85"/>
    </row>
    <row r="481" spans="1:19" ht="15.75">
      <c r="A481" s="174"/>
      <c r="B481" s="176"/>
      <c r="C481" s="85"/>
      <c r="D481" s="175"/>
      <c r="E481" s="175"/>
      <c r="F481" s="85"/>
      <c r="G481" s="18">
        <f>C481</f>
        <v>0</v>
      </c>
      <c r="H481" s="85"/>
      <c r="I481" s="85"/>
      <c r="J481" s="174"/>
      <c r="K481" s="173"/>
      <c r="L481" s="102"/>
      <c r="M481" s="85"/>
      <c r="N481" s="85"/>
      <c r="O481" s="85"/>
      <c r="P481" s="85"/>
      <c r="Q481" s="85"/>
      <c r="R481" s="85"/>
      <c r="S481" s="85"/>
    </row>
    <row r="482" spans="1:19" ht="15.75">
      <c r="A482" s="174"/>
      <c r="B482" s="176"/>
      <c r="C482" s="85"/>
      <c r="D482" s="175"/>
      <c r="E482" s="175"/>
      <c r="F482" s="85"/>
      <c r="G482" s="18">
        <f>C482</f>
        <v>0</v>
      </c>
      <c r="H482" s="85"/>
      <c r="I482" s="85"/>
      <c r="J482" s="174"/>
      <c r="K482" s="173"/>
      <c r="L482" s="102"/>
      <c r="M482" s="85"/>
      <c r="N482" s="85"/>
      <c r="O482" s="85"/>
      <c r="P482" s="85"/>
      <c r="Q482" s="85"/>
      <c r="R482" s="85"/>
      <c r="S482" s="85"/>
    </row>
    <row r="483" spans="1:19" ht="15.75">
      <c r="A483" s="174"/>
      <c r="B483" s="176"/>
      <c r="C483" s="85"/>
      <c r="D483" s="175"/>
      <c r="E483" s="175"/>
      <c r="F483" s="85"/>
      <c r="G483" s="18">
        <f>C483</f>
        <v>0</v>
      </c>
      <c r="H483" s="85"/>
      <c r="I483" s="85"/>
      <c r="J483" s="174"/>
      <c r="K483" s="173"/>
      <c r="L483" s="102"/>
      <c r="M483" s="85"/>
      <c r="N483" s="85"/>
      <c r="O483" s="85"/>
      <c r="P483" s="85"/>
      <c r="Q483" s="85"/>
      <c r="R483" s="85"/>
      <c r="S483" s="85"/>
    </row>
    <row r="484" spans="1:19" ht="15.75">
      <c r="A484" s="174"/>
      <c r="B484" s="176"/>
      <c r="C484" s="85"/>
      <c r="D484" s="175"/>
      <c r="E484" s="175"/>
      <c r="F484" s="85"/>
      <c r="G484" s="18">
        <f>C484</f>
        <v>0</v>
      </c>
      <c r="H484" s="85"/>
      <c r="I484" s="85"/>
      <c r="J484" s="174"/>
      <c r="K484" s="173"/>
      <c r="L484" s="102"/>
      <c r="M484" s="85"/>
      <c r="N484" s="85"/>
      <c r="O484" s="85"/>
      <c r="P484" s="85"/>
      <c r="Q484" s="85"/>
      <c r="R484" s="85"/>
      <c r="S484" s="85"/>
    </row>
    <row r="485" spans="1:19" ht="15.75">
      <c r="A485" s="174"/>
      <c r="B485" s="176"/>
      <c r="C485" s="85"/>
      <c r="D485" s="175"/>
      <c r="E485" s="175"/>
      <c r="F485" s="85"/>
      <c r="G485" s="18">
        <f>C485</f>
        <v>0</v>
      </c>
      <c r="H485" s="85"/>
      <c r="I485" s="85"/>
      <c r="J485" s="174"/>
      <c r="K485" s="173"/>
      <c r="L485" s="102"/>
      <c r="M485" s="85"/>
      <c r="N485" s="85"/>
      <c r="O485" s="85"/>
      <c r="P485" s="85"/>
      <c r="Q485" s="85"/>
      <c r="R485" s="85"/>
      <c r="S485" s="85"/>
    </row>
    <row r="486" spans="1:19" ht="15.75">
      <c r="A486" s="174"/>
      <c r="B486" s="176"/>
      <c r="C486" s="85"/>
      <c r="D486" s="175"/>
      <c r="E486" s="175"/>
      <c r="F486" s="85"/>
      <c r="G486" s="18">
        <f>C486</f>
        <v>0</v>
      </c>
      <c r="H486" s="85"/>
      <c r="I486" s="85"/>
      <c r="J486" s="174"/>
      <c r="K486" s="173"/>
      <c r="L486" s="102"/>
      <c r="M486" s="85"/>
      <c r="N486" s="85"/>
      <c r="O486" s="85"/>
      <c r="P486" s="85"/>
      <c r="Q486" s="85"/>
      <c r="R486" s="85"/>
      <c r="S486" s="85"/>
    </row>
    <row r="487" spans="1:19" ht="15.75">
      <c r="A487" s="174"/>
      <c r="B487" s="176"/>
      <c r="C487" s="85"/>
      <c r="D487" s="175"/>
      <c r="E487" s="175"/>
      <c r="F487" s="85"/>
      <c r="G487" s="18">
        <f>C487</f>
        <v>0</v>
      </c>
      <c r="H487" s="85"/>
      <c r="I487" s="85"/>
      <c r="J487" s="174"/>
      <c r="K487" s="173"/>
      <c r="L487" s="102"/>
      <c r="M487" s="85"/>
      <c r="N487" s="85"/>
      <c r="O487" s="85"/>
      <c r="P487" s="85"/>
      <c r="Q487" s="85"/>
      <c r="R487" s="85"/>
      <c r="S487" s="85"/>
    </row>
    <row r="488" spans="1:19" ht="15.75">
      <c r="A488" s="174"/>
      <c r="B488" s="176"/>
      <c r="C488" s="85"/>
      <c r="D488" s="175"/>
      <c r="E488" s="175"/>
      <c r="F488" s="85"/>
      <c r="G488" s="18">
        <f>C488</f>
        <v>0</v>
      </c>
      <c r="H488" s="85"/>
      <c r="I488" s="85"/>
      <c r="J488" s="174"/>
      <c r="K488" s="173"/>
      <c r="L488" s="102"/>
      <c r="M488" s="85"/>
      <c r="N488" s="85"/>
      <c r="O488" s="85"/>
      <c r="P488" s="85"/>
      <c r="Q488" s="85"/>
      <c r="R488" s="85"/>
      <c r="S488" s="85"/>
    </row>
    <row r="489" spans="1:19" ht="15.75">
      <c r="A489" s="174"/>
      <c r="B489" s="176"/>
      <c r="C489" s="85"/>
      <c r="D489" s="175"/>
      <c r="E489" s="175"/>
      <c r="F489" s="85"/>
      <c r="G489" s="18">
        <f>C489</f>
        <v>0</v>
      </c>
      <c r="H489" s="85"/>
      <c r="I489" s="85"/>
      <c r="J489" s="174"/>
      <c r="K489" s="173"/>
      <c r="L489" s="102"/>
      <c r="M489" s="85"/>
      <c r="N489" s="85"/>
      <c r="O489" s="85"/>
      <c r="P489" s="85"/>
      <c r="Q489" s="85"/>
      <c r="R489" s="85"/>
      <c r="S489" s="85"/>
    </row>
    <row r="490" spans="1:19" ht="15.75">
      <c r="A490" s="174"/>
      <c r="B490" s="176"/>
      <c r="C490" s="85"/>
      <c r="D490" s="175"/>
      <c r="E490" s="175"/>
      <c r="F490" s="85"/>
      <c r="G490" s="18">
        <f>C490</f>
        <v>0</v>
      </c>
      <c r="H490" s="85"/>
      <c r="I490" s="85"/>
      <c r="J490" s="174"/>
      <c r="K490" s="173"/>
      <c r="L490" s="102"/>
      <c r="M490" s="85"/>
      <c r="N490" s="85"/>
      <c r="O490" s="85"/>
      <c r="P490" s="85"/>
      <c r="Q490" s="85"/>
      <c r="R490" s="85"/>
      <c r="S490" s="85"/>
    </row>
    <row r="491" spans="1:19" ht="15.75">
      <c r="A491" s="174"/>
      <c r="B491" s="176"/>
      <c r="C491" s="85"/>
      <c r="D491" s="175"/>
      <c r="E491" s="175"/>
      <c r="F491" s="85"/>
      <c r="G491" s="18">
        <f>C491</f>
        <v>0</v>
      </c>
      <c r="H491" s="85"/>
      <c r="I491" s="85"/>
      <c r="J491" s="174"/>
      <c r="K491" s="173"/>
      <c r="L491" s="102"/>
      <c r="M491" s="85"/>
      <c r="N491" s="85"/>
      <c r="O491" s="85"/>
      <c r="P491" s="85"/>
      <c r="Q491" s="85"/>
      <c r="R491" s="85"/>
      <c r="S491" s="85"/>
    </row>
    <row r="492" spans="1:19" ht="15.75">
      <c r="A492" s="174"/>
      <c r="B492" s="176"/>
      <c r="C492" s="85"/>
      <c r="D492" s="175"/>
      <c r="E492" s="175"/>
      <c r="F492" s="85"/>
      <c r="G492" s="18">
        <f>C492</f>
        <v>0</v>
      </c>
      <c r="H492" s="85"/>
      <c r="I492" s="85"/>
      <c r="J492" s="174"/>
      <c r="K492" s="173"/>
      <c r="L492" s="102"/>
      <c r="M492" s="85"/>
      <c r="N492" s="85"/>
      <c r="O492" s="85"/>
      <c r="P492" s="85"/>
      <c r="Q492" s="85"/>
      <c r="R492" s="85"/>
      <c r="S492" s="85"/>
    </row>
    <row r="493" spans="1:19" ht="15.75">
      <c r="A493" s="174"/>
      <c r="B493" s="176"/>
      <c r="C493" s="85"/>
      <c r="D493" s="175"/>
      <c r="E493" s="175"/>
      <c r="F493" s="85"/>
      <c r="G493" s="18">
        <f>C493</f>
        <v>0</v>
      </c>
      <c r="H493" s="85"/>
      <c r="I493" s="85"/>
      <c r="J493" s="174"/>
      <c r="K493" s="173"/>
      <c r="L493" s="102"/>
      <c r="M493" s="85"/>
      <c r="N493" s="85"/>
      <c r="O493" s="85"/>
      <c r="P493" s="85"/>
      <c r="Q493" s="85"/>
      <c r="R493" s="85"/>
      <c r="S493" s="85"/>
    </row>
    <row r="494" spans="1:19" ht="15.75">
      <c r="A494" s="174"/>
      <c r="B494" s="176"/>
      <c r="C494" s="85"/>
      <c r="D494" s="175"/>
      <c r="E494" s="175"/>
      <c r="F494" s="85"/>
      <c r="G494" s="18">
        <f>C494</f>
        <v>0</v>
      </c>
      <c r="H494" s="85"/>
      <c r="I494" s="85"/>
      <c r="J494" s="174"/>
      <c r="K494" s="173"/>
      <c r="L494" s="102"/>
      <c r="M494" s="85"/>
      <c r="N494" s="85"/>
      <c r="O494" s="85"/>
      <c r="P494" s="85"/>
      <c r="Q494" s="85"/>
      <c r="R494" s="85"/>
      <c r="S494" s="85"/>
    </row>
    <row r="495" spans="1:19" ht="15.75">
      <c r="A495" s="174"/>
      <c r="B495" s="176"/>
      <c r="C495" s="85"/>
      <c r="D495" s="175"/>
      <c r="E495" s="175"/>
      <c r="F495" s="85"/>
      <c r="G495" s="18">
        <f>C495</f>
        <v>0</v>
      </c>
      <c r="H495" s="85"/>
      <c r="I495" s="85"/>
      <c r="J495" s="174"/>
      <c r="K495" s="173"/>
      <c r="L495" s="102"/>
      <c r="M495" s="85"/>
      <c r="N495" s="85"/>
      <c r="O495" s="85"/>
      <c r="P495" s="85"/>
      <c r="Q495" s="85"/>
      <c r="R495" s="85"/>
      <c r="S495" s="85"/>
    </row>
    <row r="496" spans="1:19" ht="15.75">
      <c r="A496" s="174"/>
      <c r="B496" s="176"/>
      <c r="C496" s="85"/>
      <c r="D496" s="175"/>
      <c r="E496" s="175"/>
      <c r="F496" s="85"/>
      <c r="G496" s="18">
        <f>C496</f>
        <v>0</v>
      </c>
      <c r="H496" s="85"/>
      <c r="I496" s="85"/>
      <c r="J496" s="174"/>
      <c r="K496" s="173"/>
      <c r="L496" s="102"/>
      <c r="M496" s="85"/>
      <c r="N496" s="85"/>
      <c r="O496" s="85"/>
      <c r="P496" s="85"/>
      <c r="Q496" s="85"/>
      <c r="R496" s="85"/>
      <c r="S496" s="85"/>
    </row>
    <row r="497" spans="1:19" ht="15.75">
      <c r="A497" s="174"/>
      <c r="B497" s="176"/>
      <c r="C497" s="85"/>
      <c r="D497" s="175"/>
      <c r="E497" s="175"/>
      <c r="F497" s="85"/>
      <c r="G497" s="18">
        <f>C497</f>
        <v>0</v>
      </c>
      <c r="H497" s="85"/>
      <c r="I497" s="85"/>
      <c r="J497" s="174"/>
      <c r="K497" s="173"/>
      <c r="L497" s="102"/>
      <c r="M497" s="85"/>
      <c r="N497" s="85"/>
      <c r="O497" s="85"/>
      <c r="P497" s="85"/>
      <c r="Q497" s="85"/>
      <c r="R497" s="85"/>
      <c r="S497" s="85"/>
    </row>
    <row r="498" spans="1:19" ht="15.75">
      <c r="A498" s="174"/>
      <c r="B498" s="176"/>
      <c r="C498" s="85"/>
      <c r="D498" s="175"/>
      <c r="E498" s="175"/>
      <c r="F498" s="85"/>
      <c r="G498" s="18">
        <f>C498</f>
        <v>0</v>
      </c>
      <c r="H498" s="85"/>
      <c r="I498" s="85"/>
      <c r="J498" s="174"/>
      <c r="K498" s="173"/>
      <c r="L498" s="102"/>
      <c r="M498" s="85"/>
      <c r="N498" s="85"/>
      <c r="O498" s="85"/>
      <c r="P498" s="85"/>
      <c r="Q498" s="85"/>
      <c r="R498" s="85"/>
      <c r="S498" s="85"/>
    </row>
    <row r="499" spans="1:19" ht="15.75">
      <c r="A499" s="174"/>
      <c r="B499" s="176"/>
      <c r="C499" s="85"/>
      <c r="D499" s="175"/>
      <c r="E499" s="175"/>
      <c r="F499" s="85"/>
      <c r="G499" s="18">
        <f>C499</f>
        <v>0</v>
      </c>
      <c r="H499" s="85"/>
      <c r="I499" s="85"/>
      <c r="J499" s="174"/>
      <c r="K499" s="173"/>
      <c r="L499" s="102"/>
      <c r="M499" s="85"/>
      <c r="N499" s="85"/>
      <c r="O499" s="85"/>
      <c r="P499" s="85"/>
      <c r="Q499" s="85"/>
      <c r="R499" s="85"/>
      <c r="S499" s="85"/>
    </row>
    <row r="500" spans="1:19" ht="15.75">
      <c r="A500" s="174"/>
      <c r="B500" s="176"/>
      <c r="C500" s="85"/>
      <c r="D500" s="175"/>
      <c r="E500" s="175"/>
      <c r="F500" s="85"/>
      <c r="G500" s="18">
        <f>C500</f>
        <v>0</v>
      </c>
      <c r="H500" s="85"/>
      <c r="I500" s="85"/>
      <c r="J500" s="174"/>
      <c r="K500" s="173"/>
      <c r="L500" s="102"/>
      <c r="M500" s="85"/>
      <c r="N500" s="85"/>
      <c r="O500" s="85"/>
      <c r="P500" s="85"/>
      <c r="Q500" s="85"/>
      <c r="R500" s="85"/>
      <c r="S500" s="85"/>
    </row>
    <row r="501" spans="1:19" ht="15.75">
      <c r="A501" s="174"/>
      <c r="B501" s="176"/>
      <c r="C501" s="85"/>
      <c r="D501" s="175"/>
      <c r="E501" s="175"/>
      <c r="F501" s="85"/>
      <c r="G501" s="18">
        <f>C501</f>
        <v>0</v>
      </c>
      <c r="H501" s="85"/>
      <c r="I501" s="85"/>
      <c r="J501" s="174"/>
      <c r="K501" s="173"/>
      <c r="L501" s="102"/>
      <c r="M501" s="85"/>
      <c r="N501" s="85"/>
      <c r="O501" s="85"/>
      <c r="P501" s="85"/>
      <c r="Q501" s="85"/>
      <c r="R501" s="85"/>
      <c r="S501" s="85"/>
    </row>
    <row r="502" spans="1:19" ht="15.75">
      <c r="A502" s="174"/>
      <c r="B502" s="176"/>
      <c r="C502" s="85"/>
      <c r="D502" s="175"/>
      <c r="E502" s="175"/>
      <c r="F502" s="85"/>
      <c r="G502" s="18">
        <f>C502</f>
        <v>0</v>
      </c>
      <c r="H502" s="85"/>
      <c r="I502" s="85"/>
      <c r="J502" s="174"/>
      <c r="K502" s="173"/>
      <c r="L502" s="102"/>
      <c r="M502" s="85"/>
      <c r="N502" s="85"/>
      <c r="O502" s="85"/>
      <c r="P502" s="85"/>
      <c r="Q502" s="85"/>
      <c r="R502" s="85"/>
      <c r="S502" s="85"/>
    </row>
    <row r="503" spans="1:19" ht="15.75">
      <c r="A503" s="174"/>
      <c r="B503" s="176"/>
      <c r="C503" s="85"/>
      <c r="D503" s="175"/>
      <c r="E503" s="175"/>
      <c r="F503" s="85"/>
      <c r="G503" s="18">
        <f>C503</f>
        <v>0</v>
      </c>
      <c r="H503" s="85"/>
      <c r="I503" s="85"/>
      <c r="J503" s="174"/>
      <c r="K503" s="173"/>
      <c r="L503" s="102"/>
      <c r="M503" s="85"/>
      <c r="N503" s="85"/>
      <c r="O503" s="85"/>
      <c r="P503" s="85"/>
      <c r="Q503" s="85"/>
      <c r="R503" s="85"/>
      <c r="S503" s="85"/>
    </row>
    <row r="504" spans="1:19" ht="15.75">
      <c r="A504" s="174"/>
      <c r="B504" s="176"/>
      <c r="C504" s="85"/>
      <c r="D504" s="175"/>
      <c r="E504" s="175"/>
      <c r="F504" s="85"/>
      <c r="G504" s="18">
        <f>C504</f>
        <v>0</v>
      </c>
      <c r="H504" s="85"/>
      <c r="I504" s="85"/>
      <c r="J504" s="174"/>
      <c r="K504" s="173"/>
      <c r="L504" s="102"/>
      <c r="M504" s="85"/>
      <c r="N504" s="85"/>
      <c r="O504" s="85"/>
      <c r="P504" s="85"/>
      <c r="Q504" s="85"/>
      <c r="R504" s="85"/>
      <c r="S504" s="85"/>
    </row>
    <row r="505" spans="1:19" ht="15.75">
      <c r="A505" s="174"/>
      <c r="B505" s="176"/>
      <c r="C505" s="85"/>
      <c r="D505" s="175"/>
      <c r="E505" s="175"/>
      <c r="F505" s="85"/>
      <c r="G505" s="18">
        <f>C505</f>
        <v>0</v>
      </c>
      <c r="H505" s="85"/>
      <c r="I505" s="85"/>
      <c r="J505" s="174"/>
      <c r="K505" s="173"/>
      <c r="L505" s="102"/>
      <c r="M505" s="85"/>
      <c r="N505" s="85"/>
      <c r="O505" s="85"/>
      <c r="P505" s="85"/>
      <c r="Q505" s="85"/>
      <c r="R505" s="85"/>
      <c r="S505" s="85"/>
    </row>
    <row r="506" spans="1:19" ht="15.75">
      <c r="A506" s="174"/>
      <c r="B506" s="176"/>
      <c r="C506" s="85"/>
      <c r="D506" s="175"/>
      <c r="E506" s="175"/>
      <c r="F506" s="85"/>
      <c r="G506" s="18">
        <f>C506</f>
        <v>0</v>
      </c>
      <c r="H506" s="85"/>
      <c r="I506" s="85"/>
      <c r="J506" s="174"/>
      <c r="K506" s="173"/>
      <c r="L506" s="102"/>
      <c r="M506" s="85"/>
      <c r="N506" s="85"/>
      <c r="O506" s="85"/>
      <c r="P506" s="85"/>
      <c r="Q506" s="85"/>
      <c r="R506" s="85"/>
      <c r="S506" s="85"/>
    </row>
    <row r="507" spans="1:19" ht="15.75">
      <c r="A507" s="174"/>
      <c r="B507" s="176"/>
      <c r="C507" s="85"/>
      <c r="D507" s="175"/>
      <c r="E507" s="175"/>
      <c r="F507" s="85"/>
      <c r="G507" s="18">
        <f>C507</f>
        <v>0</v>
      </c>
      <c r="H507" s="85"/>
      <c r="I507" s="85"/>
      <c r="J507" s="174"/>
      <c r="K507" s="173"/>
      <c r="L507" s="102"/>
      <c r="M507" s="85"/>
      <c r="N507" s="85"/>
      <c r="O507" s="85"/>
      <c r="P507" s="85"/>
      <c r="Q507" s="85"/>
      <c r="R507" s="85"/>
      <c r="S507" s="85"/>
    </row>
    <row r="508" spans="1:19" ht="15.75">
      <c r="A508" s="174"/>
      <c r="B508" s="176"/>
      <c r="C508" s="85"/>
      <c r="D508" s="175"/>
      <c r="E508" s="175"/>
      <c r="F508" s="85"/>
      <c r="G508" s="18">
        <f>C508</f>
        <v>0</v>
      </c>
      <c r="H508" s="85"/>
      <c r="I508" s="85"/>
      <c r="J508" s="174"/>
      <c r="K508" s="173"/>
      <c r="L508" s="102"/>
      <c r="M508" s="85"/>
      <c r="N508" s="85"/>
      <c r="O508" s="85"/>
      <c r="P508" s="85"/>
      <c r="Q508" s="85"/>
      <c r="R508" s="85"/>
      <c r="S508" s="85"/>
    </row>
    <row r="509" spans="1:19" ht="15.75">
      <c r="A509" s="174"/>
      <c r="B509" s="176"/>
      <c r="C509" s="85"/>
      <c r="D509" s="175"/>
      <c r="E509" s="175"/>
      <c r="F509" s="85"/>
      <c r="G509" s="18">
        <f>C509</f>
        <v>0</v>
      </c>
      <c r="H509" s="85"/>
      <c r="I509" s="85"/>
      <c r="J509" s="174"/>
      <c r="K509" s="173"/>
      <c r="L509" s="102"/>
      <c r="M509" s="85"/>
      <c r="N509" s="85"/>
      <c r="O509" s="85"/>
      <c r="P509" s="85"/>
      <c r="Q509" s="85"/>
      <c r="R509" s="85"/>
      <c r="S509" s="85"/>
    </row>
    <row r="510" spans="1:19" ht="15.75">
      <c r="A510" s="174"/>
      <c r="B510" s="176"/>
      <c r="C510" s="85"/>
      <c r="D510" s="175"/>
      <c r="E510" s="175"/>
      <c r="F510" s="85"/>
      <c r="G510" s="18">
        <f>C510</f>
        <v>0</v>
      </c>
      <c r="H510" s="85"/>
      <c r="I510" s="85"/>
      <c r="J510" s="174"/>
      <c r="K510" s="173"/>
      <c r="L510" s="102"/>
      <c r="M510" s="85"/>
      <c r="N510" s="85"/>
      <c r="O510" s="85"/>
      <c r="P510" s="85"/>
      <c r="Q510" s="85"/>
      <c r="R510" s="85"/>
      <c r="S510" s="85"/>
    </row>
    <row r="511" spans="1:19" ht="15.75">
      <c r="A511" s="174"/>
      <c r="B511" s="176"/>
      <c r="C511" s="85"/>
      <c r="D511" s="175"/>
      <c r="E511" s="175"/>
      <c r="F511" s="85"/>
      <c r="G511" s="18">
        <f>C511</f>
        <v>0</v>
      </c>
      <c r="H511" s="85"/>
      <c r="I511" s="85"/>
      <c r="J511" s="174"/>
      <c r="K511" s="173"/>
      <c r="L511" s="102"/>
      <c r="M511" s="85"/>
      <c r="N511" s="85"/>
      <c r="O511" s="85"/>
      <c r="P511" s="85"/>
      <c r="Q511" s="85"/>
      <c r="R511" s="85"/>
      <c r="S511" s="85"/>
    </row>
    <row r="512" spans="1:19" ht="15.75">
      <c r="A512" s="174"/>
      <c r="B512" s="176"/>
      <c r="C512" s="85"/>
      <c r="D512" s="175"/>
      <c r="E512" s="175"/>
      <c r="F512" s="85"/>
      <c r="G512" s="18">
        <f>C512</f>
        <v>0</v>
      </c>
      <c r="H512" s="85"/>
      <c r="I512" s="85"/>
      <c r="J512" s="174"/>
      <c r="K512" s="173"/>
      <c r="L512" s="102"/>
      <c r="M512" s="85"/>
      <c r="N512" s="85"/>
      <c r="O512" s="85"/>
      <c r="P512" s="85"/>
      <c r="Q512" s="85"/>
      <c r="R512" s="85"/>
      <c r="S512" s="85"/>
    </row>
    <row r="513" spans="1:19" ht="15.75">
      <c r="A513" s="174"/>
      <c r="B513" s="176"/>
      <c r="C513" s="85"/>
      <c r="D513" s="175"/>
      <c r="E513" s="175"/>
      <c r="F513" s="85"/>
      <c r="G513" s="18">
        <f>C513</f>
        <v>0</v>
      </c>
      <c r="H513" s="85"/>
      <c r="I513" s="85"/>
      <c r="J513" s="174"/>
      <c r="K513" s="173"/>
      <c r="L513" s="102"/>
      <c r="M513" s="85"/>
      <c r="N513" s="85"/>
      <c r="O513" s="85"/>
      <c r="P513" s="85"/>
      <c r="Q513" s="85"/>
      <c r="R513" s="85"/>
      <c r="S513" s="85"/>
    </row>
    <row r="514" spans="1:19" ht="15.75">
      <c r="A514" s="174"/>
      <c r="B514" s="176"/>
      <c r="C514" s="85"/>
      <c r="D514" s="175"/>
      <c r="E514" s="175"/>
      <c r="F514" s="85"/>
      <c r="G514" s="18">
        <f>C514</f>
        <v>0</v>
      </c>
      <c r="H514" s="85"/>
      <c r="I514" s="85"/>
      <c r="J514" s="174"/>
      <c r="K514" s="173"/>
      <c r="L514" s="102"/>
      <c r="M514" s="85"/>
      <c r="N514" s="85"/>
      <c r="O514" s="85"/>
      <c r="P514" s="85"/>
      <c r="Q514" s="85"/>
      <c r="R514" s="85"/>
      <c r="S514" s="85"/>
    </row>
    <row r="515" spans="1:19" ht="15.75">
      <c r="A515" s="174"/>
      <c r="B515" s="176"/>
      <c r="C515" s="85"/>
      <c r="D515" s="175"/>
      <c r="E515" s="175"/>
      <c r="F515" s="85"/>
      <c r="G515" s="18">
        <f>C515</f>
        <v>0</v>
      </c>
      <c r="H515" s="85"/>
      <c r="I515" s="85"/>
      <c r="J515" s="174"/>
      <c r="K515" s="173"/>
      <c r="L515" s="102"/>
      <c r="M515" s="85"/>
      <c r="N515" s="85"/>
      <c r="O515" s="85"/>
      <c r="P515" s="85"/>
      <c r="Q515" s="85"/>
      <c r="R515" s="85"/>
      <c r="S515" s="85"/>
    </row>
    <row r="516" spans="1:19" ht="15.75">
      <c r="A516" s="174"/>
      <c r="B516" s="176"/>
      <c r="C516" s="85"/>
      <c r="D516" s="175"/>
      <c r="E516" s="175"/>
      <c r="F516" s="85"/>
      <c r="G516" s="18">
        <f>C516</f>
        <v>0</v>
      </c>
      <c r="H516" s="85"/>
      <c r="I516" s="85"/>
      <c r="J516" s="174"/>
      <c r="K516" s="173"/>
      <c r="L516" s="102"/>
      <c r="M516" s="85"/>
      <c r="N516" s="85"/>
      <c r="O516" s="85"/>
      <c r="P516" s="85"/>
      <c r="Q516" s="85"/>
      <c r="R516" s="85"/>
      <c r="S516" s="85"/>
    </row>
    <row r="517" spans="1:19" ht="15.75">
      <c r="A517" s="174"/>
      <c r="B517" s="176"/>
      <c r="C517" s="85"/>
      <c r="D517" s="175"/>
      <c r="E517" s="175"/>
      <c r="F517" s="85"/>
      <c r="G517" s="18">
        <f>C517</f>
        <v>0</v>
      </c>
      <c r="H517" s="85"/>
      <c r="I517" s="85"/>
      <c r="J517" s="174"/>
      <c r="K517" s="173"/>
      <c r="L517" s="102"/>
      <c r="M517" s="85"/>
      <c r="N517" s="85"/>
      <c r="O517" s="85"/>
      <c r="P517" s="85"/>
      <c r="Q517" s="85"/>
      <c r="R517" s="85"/>
      <c r="S517" s="85"/>
    </row>
    <row r="518" spans="1:19" ht="15.75">
      <c r="A518" s="174"/>
      <c r="B518" s="176"/>
      <c r="C518" s="85"/>
      <c r="D518" s="175"/>
      <c r="E518" s="175"/>
      <c r="F518" s="85"/>
      <c r="G518" s="18">
        <f>C518</f>
        <v>0</v>
      </c>
      <c r="H518" s="85"/>
      <c r="I518" s="85"/>
      <c r="J518" s="174"/>
      <c r="K518" s="173"/>
      <c r="L518" s="102"/>
      <c r="M518" s="85"/>
      <c r="N518" s="85"/>
      <c r="O518" s="85"/>
      <c r="P518" s="85"/>
      <c r="Q518" s="85"/>
      <c r="R518" s="85"/>
      <c r="S518" s="85"/>
    </row>
    <row r="519" spans="1:19" ht="15.75">
      <c r="A519" s="174"/>
      <c r="B519" s="176"/>
      <c r="C519" s="85"/>
      <c r="D519" s="175"/>
      <c r="E519" s="175"/>
      <c r="F519" s="85"/>
      <c r="G519" s="18">
        <f>C519</f>
        <v>0</v>
      </c>
      <c r="H519" s="85"/>
      <c r="I519" s="85"/>
      <c r="J519" s="174"/>
      <c r="K519" s="173"/>
      <c r="L519" s="102"/>
      <c r="M519" s="85"/>
      <c r="N519" s="85"/>
      <c r="O519" s="85"/>
      <c r="P519" s="85"/>
      <c r="Q519" s="85"/>
      <c r="R519" s="85"/>
      <c r="S519" s="85"/>
    </row>
    <row r="520" spans="1:19" ht="15.75">
      <c r="A520" s="174"/>
      <c r="B520" s="176"/>
      <c r="C520" s="85"/>
      <c r="D520" s="175"/>
      <c r="E520" s="175"/>
      <c r="F520" s="85"/>
      <c r="G520" s="18">
        <f>C520</f>
        <v>0</v>
      </c>
      <c r="H520" s="85"/>
      <c r="I520" s="85"/>
      <c r="J520" s="174"/>
      <c r="K520" s="173"/>
      <c r="L520" s="102"/>
      <c r="M520" s="85"/>
      <c r="N520" s="85"/>
      <c r="O520" s="85"/>
      <c r="P520" s="85"/>
      <c r="Q520" s="85"/>
      <c r="R520" s="85"/>
      <c r="S520" s="85"/>
    </row>
    <row r="521" spans="1:19" ht="15.75">
      <c r="A521" s="174"/>
      <c r="B521" s="176"/>
      <c r="C521" s="85"/>
      <c r="D521" s="175"/>
      <c r="E521" s="175"/>
      <c r="F521" s="85"/>
      <c r="G521" s="18">
        <f>C521</f>
        <v>0</v>
      </c>
      <c r="H521" s="85"/>
      <c r="I521" s="85"/>
      <c r="J521" s="174"/>
      <c r="K521" s="173"/>
      <c r="L521" s="102"/>
      <c r="M521" s="85"/>
      <c r="N521" s="85"/>
      <c r="O521" s="85"/>
      <c r="P521" s="85"/>
      <c r="Q521" s="85"/>
      <c r="R521" s="85"/>
      <c r="S521" s="85"/>
    </row>
    <row r="522" spans="1:19" ht="15.75">
      <c r="A522" s="174"/>
      <c r="B522" s="176"/>
      <c r="C522" s="85"/>
      <c r="D522" s="175"/>
      <c r="E522" s="175"/>
      <c r="F522" s="85"/>
      <c r="G522" s="18">
        <f>C522</f>
        <v>0</v>
      </c>
      <c r="H522" s="85"/>
      <c r="I522" s="85"/>
      <c r="J522" s="174"/>
      <c r="K522" s="173"/>
      <c r="L522" s="102"/>
      <c r="M522" s="85"/>
      <c r="N522" s="85"/>
      <c r="O522" s="85"/>
      <c r="P522" s="85"/>
      <c r="Q522" s="85"/>
      <c r="R522" s="85"/>
      <c r="S522" s="85"/>
    </row>
    <row r="523" spans="1:19" ht="15.75">
      <c r="A523" s="174"/>
      <c r="B523" s="176"/>
      <c r="C523" s="85"/>
      <c r="D523" s="175"/>
      <c r="E523" s="175"/>
      <c r="F523" s="85"/>
      <c r="G523" s="18">
        <f>C523</f>
        <v>0</v>
      </c>
      <c r="H523" s="85"/>
      <c r="I523" s="85"/>
      <c r="J523" s="174"/>
      <c r="K523" s="173"/>
      <c r="L523" s="102"/>
      <c r="M523" s="85"/>
      <c r="N523" s="85"/>
      <c r="O523" s="85"/>
      <c r="P523" s="85"/>
      <c r="Q523" s="85"/>
      <c r="R523" s="85"/>
      <c r="S523" s="85"/>
    </row>
    <row r="524" spans="1:19" ht="15.75">
      <c r="A524" s="174"/>
      <c r="B524" s="176"/>
      <c r="C524" s="85"/>
      <c r="D524" s="175"/>
      <c r="E524" s="175"/>
      <c r="F524" s="85"/>
      <c r="G524" s="18">
        <f>C524</f>
        <v>0</v>
      </c>
      <c r="H524" s="85"/>
      <c r="I524" s="85"/>
      <c r="J524" s="174"/>
      <c r="K524" s="173"/>
      <c r="L524" s="102"/>
      <c r="M524" s="85"/>
      <c r="N524" s="85"/>
      <c r="O524" s="85"/>
      <c r="P524" s="85"/>
      <c r="Q524" s="85"/>
      <c r="R524" s="85"/>
      <c r="S524" s="85"/>
    </row>
    <row r="525" spans="1:19" ht="15.75">
      <c r="A525" s="174"/>
      <c r="B525" s="176"/>
      <c r="C525" s="85"/>
      <c r="D525" s="175"/>
      <c r="E525" s="175"/>
      <c r="F525" s="85"/>
      <c r="G525" s="18">
        <f>C525</f>
        <v>0</v>
      </c>
      <c r="H525" s="85"/>
      <c r="I525" s="85"/>
      <c r="J525" s="174"/>
      <c r="K525" s="173"/>
      <c r="L525" s="102"/>
      <c r="M525" s="85"/>
      <c r="N525" s="85"/>
      <c r="O525" s="85"/>
      <c r="P525" s="85"/>
      <c r="Q525" s="85"/>
      <c r="R525" s="85"/>
      <c r="S525" s="85"/>
    </row>
    <row r="526" spans="1:19" ht="15.75">
      <c r="A526" s="174"/>
      <c r="B526" s="176"/>
      <c r="C526" s="85"/>
      <c r="D526" s="175"/>
      <c r="E526" s="175"/>
      <c r="F526" s="85"/>
      <c r="G526" s="18">
        <f>C526</f>
        <v>0</v>
      </c>
      <c r="H526" s="85"/>
      <c r="I526" s="85"/>
      <c r="J526" s="174"/>
      <c r="K526" s="173"/>
      <c r="L526" s="102"/>
      <c r="M526" s="85"/>
      <c r="N526" s="85"/>
      <c r="O526" s="85"/>
      <c r="P526" s="85"/>
      <c r="Q526" s="85"/>
      <c r="R526" s="85"/>
      <c r="S526" s="85"/>
    </row>
    <row r="527" spans="1:19" ht="15.75">
      <c r="A527" s="174"/>
      <c r="B527" s="176"/>
      <c r="C527" s="85"/>
      <c r="D527" s="175"/>
      <c r="E527" s="175"/>
      <c r="F527" s="85"/>
      <c r="G527" s="18">
        <f>C527</f>
        <v>0</v>
      </c>
      <c r="H527" s="85"/>
      <c r="I527" s="85"/>
      <c r="J527" s="174"/>
      <c r="K527" s="173"/>
      <c r="L527" s="102"/>
      <c r="M527" s="85"/>
      <c r="N527" s="85"/>
      <c r="O527" s="85"/>
      <c r="P527" s="85"/>
      <c r="Q527" s="85"/>
      <c r="R527" s="85"/>
      <c r="S527" s="85"/>
    </row>
    <row r="528" spans="1:19" ht="15.75">
      <c r="A528" s="174"/>
      <c r="B528" s="176"/>
      <c r="C528" s="85"/>
      <c r="D528" s="175"/>
      <c r="E528" s="175"/>
      <c r="F528" s="85"/>
      <c r="G528" s="18">
        <f>C528</f>
        <v>0</v>
      </c>
      <c r="H528" s="85"/>
      <c r="I528" s="85"/>
      <c r="J528" s="174"/>
      <c r="K528" s="173"/>
      <c r="L528" s="102"/>
      <c r="M528" s="85"/>
      <c r="N528" s="85"/>
      <c r="O528" s="85"/>
      <c r="P528" s="85"/>
      <c r="Q528" s="85"/>
      <c r="R528" s="85"/>
      <c r="S528" s="85"/>
    </row>
    <row r="529" spans="1:19" ht="15.75">
      <c r="A529" s="174"/>
      <c r="B529" s="176"/>
      <c r="C529" s="85"/>
      <c r="D529" s="175"/>
      <c r="E529" s="175"/>
      <c r="F529" s="85"/>
      <c r="G529" s="18">
        <f>C529</f>
        <v>0</v>
      </c>
      <c r="H529" s="85"/>
      <c r="I529" s="85"/>
      <c r="J529" s="174"/>
      <c r="K529" s="173"/>
      <c r="L529" s="102"/>
      <c r="M529" s="85"/>
      <c r="N529" s="85"/>
      <c r="O529" s="85"/>
      <c r="P529" s="85"/>
      <c r="Q529" s="85"/>
      <c r="R529" s="85"/>
      <c r="S529" s="85"/>
    </row>
    <row r="530" spans="1:19" ht="15.75">
      <c r="A530" s="174"/>
      <c r="B530" s="176"/>
      <c r="C530" s="85"/>
      <c r="D530" s="175"/>
      <c r="E530" s="175"/>
      <c r="F530" s="85"/>
      <c r="G530" s="18">
        <f>C530</f>
        <v>0</v>
      </c>
      <c r="H530" s="85"/>
      <c r="I530" s="85"/>
      <c r="J530" s="174"/>
      <c r="K530" s="173"/>
      <c r="L530" s="102"/>
      <c r="M530" s="85"/>
      <c r="N530" s="85"/>
      <c r="O530" s="85"/>
      <c r="P530" s="85"/>
      <c r="Q530" s="85"/>
      <c r="R530" s="85"/>
      <c r="S530" s="85"/>
    </row>
    <row r="531" spans="1:19" ht="15.75">
      <c r="A531" s="174"/>
      <c r="B531" s="176"/>
      <c r="C531" s="85"/>
      <c r="D531" s="175"/>
      <c r="E531" s="175"/>
      <c r="F531" s="85"/>
      <c r="G531" s="18">
        <f>C531</f>
        <v>0</v>
      </c>
      <c r="H531" s="85"/>
      <c r="I531" s="85"/>
      <c r="J531" s="174"/>
      <c r="K531" s="173"/>
      <c r="L531" s="102"/>
      <c r="M531" s="85"/>
      <c r="N531" s="85"/>
      <c r="O531" s="85"/>
      <c r="P531" s="85"/>
      <c r="Q531" s="85"/>
      <c r="R531" s="85"/>
      <c r="S531" s="85"/>
    </row>
    <row r="532" spans="1:19" ht="15.75">
      <c r="A532" s="174"/>
      <c r="B532" s="176"/>
      <c r="C532" s="85"/>
      <c r="D532" s="175"/>
      <c r="E532" s="175"/>
      <c r="F532" s="85"/>
      <c r="G532" s="18">
        <f>C532</f>
        <v>0</v>
      </c>
      <c r="H532" s="85"/>
      <c r="I532" s="85"/>
      <c r="J532" s="174"/>
      <c r="K532" s="173"/>
      <c r="L532" s="102"/>
      <c r="M532" s="85"/>
      <c r="N532" s="85"/>
      <c r="O532" s="85"/>
      <c r="P532" s="85"/>
      <c r="Q532" s="85"/>
      <c r="R532" s="85"/>
      <c r="S532" s="85"/>
    </row>
    <row r="533" spans="1:19" ht="15.75">
      <c r="A533" s="174"/>
      <c r="B533" s="176"/>
      <c r="C533" s="85"/>
      <c r="D533" s="175"/>
      <c r="E533" s="175"/>
      <c r="F533" s="85"/>
      <c r="G533" s="18">
        <f>C533</f>
        <v>0</v>
      </c>
      <c r="H533" s="85"/>
      <c r="I533" s="85"/>
      <c r="J533" s="174"/>
      <c r="K533" s="173"/>
      <c r="L533" s="102"/>
      <c r="M533" s="85"/>
      <c r="N533" s="85"/>
      <c r="O533" s="85"/>
      <c r="P533" s="85"/>
      <c r="Q533" s="85"/>
      <c r="R533" s="85"/>
      <c r="S533" s="85"/>
    </row>
    <row r="534" spans="1:19" ht="15.75">
      <c r="A534" s="174"/>
      <c r="B534" s="176"/>
      <c r="C534" s="85"/>
      <c r="D534" s="175"/>
      <c r="E534" s="175"/>
      <c r="F534" s="85"/>
      <c r="G534" s="18">
        <f>C534</f>
        <v>0</v>
      </c>
      <c r="H534" s="85"/>
      <c r="I534" s="85"/>
      <c r="J534" s="174"/>
      <c r="K534" s="173"/>
      <c r="L534" s="102"/>
      <c r="M534" s="85"/>
      <c r="N534" s="85"/>
      <c r="O534" s="85"/>
      <c r="P534" s="85"/>
      <c r="Q534" s="85"/>
      <c r="R534" s="85"/>
      <c r="S534" s="85"/>
    </row>
    <row r="535" spans="1:19" ht="15.75">
      <c r="A535" s="174"/>
      <c r="B535" s="176"/>
      <c r="C535" s="85"/>
      <c r="D535" s="175"/>
      <c r="E535" s="175"/>
      <c r="F535" s="85"/>
      <c r="G535" s="18">
        <f>C535</f>
        <v>0</v>
      </c>
      <c r="H535" s="85"/>
      <c r="I535" s="85"/>
      <c r="J535" s="174"/>
      <c r="K535" s="173"/>
      <c r="L535" s="102"/>
      <c r="M535" s="85"/>
      <c r="N535" s="85"/>
      <c r="O535" s="85"/>
      <c r="P535" s="85"/>
      <c r="Q535" s="85"/>
      <c r="R535" s="85"/>
      <c r="S535" s="85"/>
    </row>
    <row r="536" spans="1:19" ht="15.75">
      <c r="A536" s="174"/>
      <c r="B536" s="176"/>
      <c r="C536" s="85"/>
      <c r="D536" s="175"/>
      <c r="E536" s="175"/>
      <c r="F536" s="85"/>
      <c r="G536" s="18">
        <f>C536</f>
        <v>0</v>
      </c>
      <c r="H536" s="85"/>
      <c r="I536" s="85"/>
      <c r="J536" s="174"/>
      <c r="K536" s="173"/>
      <c r="L536" s="102"/>
      <c r="M536" s="85"/>
      <c r="N536" s="85"/>
      <c r="O536" s="85"/>
      <c r="P536" s="85"/>
      <c r="Q536" s="85"/>
      <c r="R536" s="85"/>
      <c r="S536" s="85"/>
    </row>
    <row r="537" spans="1:19" ht="15.75">
      <c r="A537" s="174"/>
      <c r="B537" s="176"/>
      <c r="C537" s="85"/>
      <c r="D537" s="175"/>
      <c r="E537" s="175"/>
      <c r="F537" s="85"/>
      <c r="G537" s="18">
        <f>C537</f>
        <v>0</v>
      </c>
      <c r="H537" s="85"/>
      <c r="I537" s="85"/>
      <c r="J537" s="174"/>
      <c r="K537" s="173"/>
      <c r="L537" s="102"/>
      <c r="M537" s="85"/>
      <c r="N537" s="85"/>
      <c r="O537" s="85"/>
      <c r="P537" s="85"/>
      <c r="Q537" s="85"/>
      <c r="R537" s="85"/>
      <c r="S537" s="85"/>
    </row>
    <row r="538" spans="1:19" ht="15.75">
      <c r="A538" s="174"/>
      <c r="B538" s="176"/>
      <c r="C538" s="85"/>
      <c r="D538" s="175"/>
      <c r="E538" s="175"/>
      <c r="F538" s="85"/>
      <c r="G538" s="18">
        <f>C538</f>
        <v>0</v>
      </c>
      <c r="H538" s="85"/>
      <c r="I538" s="85"/>
      <c r="J538" s="174"/>
      <c r="K538" s="173"/>
      <c r="L538" s="102"/>
      <c r="M538" s="85"/>
      <c r="N538" s="85"/>
      <c r="O538" s="85"/>
      <c r="P538" s="85"/>
      <c r="Q538" s="85"/>
      <c r="R538" s="85"/>
      <c r="S538" s="85"/>
    </row>
    <row r="539" spans="1:19" ht="15.75">
      <c r="A539" s="174"/>
      <c r="B539" s="176"/>
      <c r="C539" s="85"/>
      <c r="D539" s="175"/>
      <c r="E539" s="175"/>
      <c r="F539" s="85"/>
      <c r="G539" s="18">
        <f>C539</f>
        <v>0</v>
      </c>
      <c r="H539" s="85"/>
      <c r="I539" s="85"/>
      <c r="J539" s="174"/>
      <c r="K539" s="173"/>
      <c r="L539" s="102"/>
      <c r="M539" s="85"/>
      <c r="N539" s="85"/>
      <c r="O539" s="85"/>
      <c r="P539" s="85"/>
      <c r="Q539" s="85"/>
      <c r="R539" s="85"/>
      <c r="S539" s="85"/>
    </row>
    <row r="540" spans="1:19" ht="15.75">
      <c r="A540" s="174"/>
      <c r="B540" s="176"/>
      <c r="C540" s="85"/>
      <c r="D540" s="175"/>
      <c r="E540" s="175"/>
      <c r="F540" s="85"/>
      <c r="G540" s="18">
        <f>C540</f>
        <v>0</v>
      </c>
      <c r="H540" s="85"/>
      <c r="I540" s="85"/>
      <c r="J540" s="174"/>
      <c r="K540" s="173"/>
      <c r="L540" s="102"/>
      <c r="M540" s="85"/>
      <c r="N540" s="85"/>
      <c r="O540" s="85"/>
      <c r="P540" s="85"/>
      <c r="Q540" s="85"/>
      <c r="R540" s="85"/>
      <c r="S540" s="85"/>
    </row>
    <row r="541" spans="1:19" ht="15.75">
      <c r="A541" s="174"/>
      <c r="B541" s="176"/>
      <c r="C541" s="85"/>
      <c r="D541" s="175"/>
      <c r="E541" s="175"/>
      <c r="F541" s="85"/>
      <c r="G541" s="18">
        <f>C541</f>
        <v>0</v>
      </c>
      <c r="H541" s="85"/>
      <c r="I541" s="85"/>
      <c r="J541" s="174"/>
      <c r="K541" s="173"/>
      <c r="L541" s="102"/>
      <c r="M541" s="85"/>
      <c r="N541" s="85"/>
      <c r="O541" s="85"/>
      <c r="P541" s="85"/>
      <c r="Q541" s="85"/>
      <c r="R541" s="85"/>
      <c r="S541" s="85"/>
    </row>
    <row r="542" spans="1:19" ht="15.75">
      <c r="A542" s="174"/>
      <c r="B542" s="176"/>
      <c r="C542" s="85"/>
      <c r="D542" s="175"/>
      <c r="E542" s="175"/>
      <c r="F542" s="85"/>
      <c r="G542" s="18">
        <f>C542</f>
        <v>0</v>
      </c>
      <c r="H542" s="85"/>
      <c r="I542" s="85"/>
      <c r="J542" s="174"/>
      <c r="K542" s="173"/>
      <c r="L542" s="102"/>
      <c r="M542" s="85"/>
      <c r="N542" s="85"/>
      <c r="O542" s="85"/>
      <c r="P542" s="85"/>
      <c r="Q542" s="85"/>
      <c r="R542" s="85"/>
      <c r="S542" s="85"/>
    </row>
    <row r="543" spans="1:19" ht="15.75">
      <c r="A543" s="174"/>
      <c r="B543" s="176"/>
      <c r="C543" s="85"/>
      <c r="D543" s="175"/>
      <c r="E543" s="175"/>
      <c r="F543" s="85"/>
      <c r="G543" s="18">
        <f>C543</f>
        <v>0</v>
      </c>
      <c r="H543" s="85"/>
      <c r="I543" s="85"/>
      <c r="J543" s="174"/>
      <c r="K543" s="173"/>
      <c r="L543" s="102"/>
      <c r="M543" s="85"/>
      <c r="N543" s="85"/>
      <c r="O543" s="85"/>
      <c r="P543" s="85"/>
      <c r="Q543" s="85"/>
      <c r="R543" s="85"/>
      <c r="S543" s="85"/>
    </row>
    <row r="544" spans="1:19" ht="15.75">
      <c r="A544" s="174"/>
      <c r="B544" s="176"/>
      <c r="C544" s="85"/>
      <c r="D544" s="175"/>
      <c r="E544" s="175"/>
      <c r="F544" s="85"/>
      <c r="G544" s="18">
        <f>C544</f>
        <v>0</v>
      </c>
      <c r="H544" s="85"/>
      <c r="I544" s="85"/>
      <c r="J544" s="174"/>
      <c r="K544" s="173"/>
      <c r="L544" s="102"/>
      <c r="M544" s="85"/>
      <c r="N544" s="85"/>
      <c r="O544" s="85"/>
      <c r="P544" s="85"/>
      <c r="Q544" s="85"/>
      <c r="R544" s="85"/>
      <c r="S544" s="85"/>
    </row>
    <row r="545" spans="1:19" ht="15.75">
      <c r="A545" s="174"/>
      <c r="B545" s="176"/>
      <c r="C545" s="85"/>
      <c r="D545" s="175"/>
      <c r="E545" s="175"/>
      <c r="F545" s="85"/>
      <c r="G545" s="18">
        <f>C545</f>
        <v>0</v>
      </c>
      <c r="H545" s="85"/>
      <c r="I545" s="85"/>
      <c r="J545" s="174"/>
      <c r="K545" s="173"/>
      <c r="L545" s="102"/>
      <c r="M545" s="85"/>
      <c r="N545" s="85"/>
      <c r="O545" s="85"/>
      <c r="P545" s="85"/>
      <c r="Q545" s="85"/>
      <c r="R545" s="85"/>
      <c r="S545" s="85"/>
    </row>
    <row r="546" spans="1:19" ht="15.75">
      <c r="A546" s="174"/>
      <c r="B546" s="176"/>
      <c r="C546" s="85"/>
      <c r="D546" s="175"/>
      <c r="E546" s="175"/>
      <c r="F546" s="85"/>
      <c r="G546" s="18">
        <f>C546</f>
        <v>0</v>
      </c>
      <c r="H546" s="85"/>
      <c r="I546" s="85"/>
      <c r="J546" s="174"/>
      <c r="K546" s="173"/>
      <c r="L546" s="102"/>
      <c r="M546" s="85"/>
      <c r="N546" s="85"/>
      <c r="O546" s="85"/>
      <c r="P546" s="85"/>
      <c r="Q546" s="85"/>
      <c r="R546" s="85"/>
      <c r="S546" s="85"/>
    </row>
    <row r="547" spans="1:19" ht="15.75">
      <c r="A547" s="174"/>
      <c r="B547" s="176"/>
      <c r="C547" s="85"/>
      <c r="D547" s="175"/>
      <c r="E547" s="175"/>
      <c r="F547" s="85"/>
      <c r="G547" s="18">
        <f>C547</f>
        <v>0</v>
      </c>
      <c r="H547" s="85"/>
      <c r="I547" s="85"/>
      <c r="J547" s="174"/>
      <c r="K547" s="173"/>
      <c r="L547" s="102"/>
      <c r="M547" s="85"/>
      <c r="N547" s="85"/>
      <c r="O547" s="85"/>
      <c r="P547" s="85"/>
      <c r="Q547" s="85"/>
      <c r="R547" s="85"/>
      <c r="S547" s="85"/>
    </row>
    <row r="548" spans="1:19" ht="15.75">
      <c r="A548" s="174"/>
      <c r="B548" s="176"/>
      <c r="C548" s="85"/>
      <c r="D548" s="175"/>
      <c r="E548" s="175"/>
      <c r="F548" s="85"/>
      <c r="G548" s="18">
        <f>C548</f>
        <v>0</v>
      </c>
      <c r="H548" s="85"/>
      <c r="I548" s="85"/>
      <c r="J548" s="174"/>
      <c r="K548" s="173"/>
      <c r="L548" s="102"/>
      <c r="M548" s="85"/>
      <c r="N548" s="85"/>
      <c r="O548" s="85"/>
      <c r="P548" s="85"/>
      <c r="Q548" s="85"/>
      <c r="R548" s="85"/>
      <c r="S548" s="85"/>
    </row>
    <row r="549" spans="1:19" ht="15.75">
      <c r="A549" s="174"/>
      <c r="B549" s="176"/>
      <c r="C549" s="85"/>
      <c r="D549" s="175"/>
      <c r="E549" s="175"/>
      <c r="F549" s="85"/>
      <c r="G549" s="18">
        <f>C549</f>
        <v>0</v>
      </c>
      <c r="H549" s="85"/>
      <c r="I549" s="85"/>
      <c r="J549" s="174"/>
      <c r="K549" s="173"/>
      <c r="L549" s="102"/>
      <c r="M549" s="85"/>
      <c r="N549" s="85"/>
      <c r="O549" s="85"/>
      <c r="P549" s="85"/>
      <c r="Q549" s="85"/>
      <c r="R549" s="85"/>
      <c r="S549" s="85"/>
    </row>
    <row r="550" spans="1:19" ht="15.75">
      <c r="A550" s="174"/>
      <c r="B550" s="176"/>
      <c r="C550" s="85"/>
      <c r="D550" s="175"/>
      <c r="E550" s="175"/>
      <c r="F550" s="85"/>
      <c r="G550" s="18">
        <f>C550</f>
        <v>0</v>
      </c>
      <c r="H550" s="85"/>
      <c r="I550" s="85"/>
      <c r="J550" s="174"/>
      <c r="K550" s="173"/>
      <c r="L550" s="102"/>
      <c r="M550" s="85"/>
      <c r="N550" s="85"/>
      <c r="O550" s="85"/>
      <c r="P550" s="85"/>
      <c r="Q550" s="85"/>
      <c r="R550" s="85"/>
      <c r="S550" s="85"/>
    </row>
    <row r="551" spans="1:19" ht="15.75">
      <c r="A551" s="174"/>
      <c r="B551" s="176"/>
      <c r="C551" s="85"/>
      <c r="D551" s="175"/>
      <c r="E551" s="175"/>
      <c r="F551" s="85"/>
      <c r="G551" s="18">
        <f>C551</f>
        <v>0</v>
      </c>
      <c r="H551" s="85"/>
      <c r="I551" s="85"/>
      <c r="J551" s="174"/>
      <c r="K551" s="173"/>
      <c r="L551" s="102"/>
      <c r="M551" s="85"/>
      <c r="N551" s="85"/>
      <c r="O551" s="85"/>
      <c r="P551" s="85"/>
      <c r="Q551" s="85"/>
      <c r="R551" s="85"/>
      <c r="S551" s="85"/>
    </row>
    <row r="552" spans="1:19" ht="15.75">
      <c r="A552" s="174"/>
      <c r="B552" s="176"/>
      <c r="C552" s="85"/>
      <c r="D552" s="175"/>
      <c r="E552" s="175"/>
      <c r="F552" s="85"/>
      <c r="G552" s="18">
        <f>C552</f>
        <v>0</v>
      </c>
      <c r="H552" s="85"/>
      <c r="I552" s="85"/>
      <c r="J552" s="174"/>
      <c r="K552" s="173"/>
      <c r="L552" s="102"/>
      <c r="M552" s="85"/>
      <c r="N552" s="85"/>
      <c r="O552" s="85"/>
      <c r="P552" s="85"/>
      <c r="Q552" s="85"/>
      <c r="R552" s="85"/>
      <c r="S552" s="85"/>
    </row>
    <row r="553" spans="1:19" ht="15.75">
      <c r="A553" s="174"/>
      <c r="B553" s="176"/>
      <c r="C553" s="85"/>
      <c r="D553" s="175"/>
      <c r="E553" s="175"/>
      <c r="F553" s="85"/>
      <c r="G553" s="18">
        <f>C553</f>
        <v>0</v>
      </c>
      <c r="H553" s="85"/>
      <c r="I553" s="85"/>
      <c r="J553" s="174"/>
      <c r="K553" s="173"/>
      <c r="L553" s="102"/>
      <c r="M553" s="85"/>
      <c r="N553" s="85"/>
      <c r="O553" s="85"/>
      <c r="P553" s="85"/>
      <c r="Q553" s="85"/>
      <c r="R553" s="85"/>
      <c r="S553" s="85"/>
    </row>
    <row r="554" spans="1:19" ht="15.75">
      <c r="A554" s="174"/>
      <c r="B554" s="176"/>
      <c r="C554" s="85"/>
      <c r="D554" s="175"/>
      <c r="E554" s="175"/>
      <c r="F554" s="85"/>
      <c r="G554" s="18">
        <f>C554</f>
        <v>0</v>
      </c>
      <c r="H554" s="85"/>
      <c r="I554" s="85"/>
      <c r="J554" s="174"/>
      <c r="K554" s="173"/>
      <c r="L554" s="102"/>
      <c r="M554" s="85"/>
      <c r="N554" s="85"/>
      <c r="O554" s="85"/>
      <c r="P554" s="85"/>
      <c r="Q554" s="85"/>
      <c r="R554" s="85"/>
      <c r="S554" s="85"/>
    </row>
    <row r="555" spans="1:19" ht="15.75">
      <c r="A555" s="174"/>
      <c r="B555" s="176"/>
      <c r="C555" s="85"/>
      <c r="D555" s="175"/>
      <c r="E555" s="175"/>
      <c r="F555" s="85"/>
      <c r="G555" s="18">
        <f>C555</f>
        <v>0</v>
      </c>
      <c r="H555" s="85"/>
      <c r="I555" s="85"/>
      <c r="J555" s="174"/>
      <c r="K555" s="173"/>
      <c r="L555" s="102"/>
      <c r="M555" s="85"/>
      <c r="N555" s="85"/>
      <c r="O555" s="85"/>
      <c r="P555" s="85"/>
      <c r="Q555" s="85"/>
      <c r="R555" s="85"/>
      <c r="S555" s="85"/>
    </row>
    <row r="556" spans="1:19" ht="15.75">
      <c r="A556" s="174"/>
      <c r="B556" s="176"/>
      <c r="C556" s="85"/>
      <c r="D556" s="175"/>
      <c r="E556" s="175"/>
      <c r="F556" s="85"/>
      <c r="G556" s="18">
        <f>C556</f>
        <v>0</v>
      </c>
      <c r="H556" s="85"/>
      <c r="I556" s="85"/>
      <c r="J556" s="174"/>
      <c r="K556" s="173"/>
      <c r="L556" s="102"/>
      <c r="M556" s="85"/>
      <c r="N556" s="85"/>
      <c r="O556" s="85"/>
      <c r="P556" s="85"/>
      <c r="Q556" s="85"/>
      <c r="R556" s="85"/>
      <c r="S556" s="85"/>
    </row>
    <row r="557" spans="1:19" ht="15.75">
      <c r="A557" s="174"/>
      <c r="B557" s="176"/>
      <c r="C557" s="85"/>
      <c r="D557" s="175"/>
      <c r="E557" s="175"/>
      <c r="F557" s="85"/>
      <c r="G557" s="18">
        <f>C557</f>
        <v>0</v>
      </c>
      <c r="H557" s="85"/>
      <c r="I557" s="85"/>
      <c r="J557" s="174"/>
      <c r="K557" s="173"/>
      <c r="L557" s="102"/>
      <c r="M557" s="85"/>
      <c r="N557" s="85"/>
      <c r="O557" s="85"/>
      <c r="P557" s="85"/>
      <c r="Q557" s="85"/>
      <c r="R557" s="85"/>
      <c r="S557" s="85"/>
    </row>
    <row r="558" spans="1:19" ht="15.75">
      <c r="A558" s="174"/>
      <c r="B558" s="176"/>
      <c r="C558" s="85"/>
      <c r="D558" s="175"/>
      <c r="E558" s="175"/>
      <c r="F558" s="85"/>
      <c r="G558" s="18">
        <f>C558</f>
        <v>0</v>
      </c>
      <c r="H558" s="85"/>
      <c r="I558" s="85"/>
      <c r="J558" s="174"/>
      <c r="K558" s="173"/>
      <c r="L558" s="102"/>
      <c r="M558" s="85"/>
      <c r="N558" s="85"/>
      <c r="O558" s="85"/>
      <c r="P558" s="85"/>
      <c r="Q558" s="85"/>
      <c r="R558" s="85"/>
      <c r="S558" s="85"/>
    </row>
    <row r="559" spans="1:19" ht="15.75">
      <c r="A559" s="174"/>
      <c r="B559" s="176"/>
      <c r="C559" s="85"/>
      <c r="D559" s="175"/>
      <c r="E559" s="175"/>
      <c r="F559" s="85"/>
      <c r="G559" s="18">
        <f>C559</f>
        <v>0</v>
      </c>
      <c r="H559" s="85"/>
      <c r="I559" s="85"/>
      <c r="J559" s="174"/>
      <c r="K559" s="173"/>
      <c r="L559" s="102"/>
      <c r="M559" s="85"/>
      <c r="N559" s="85"/>
      <c r="O559" s="85"/>
      <c r="P559" s="85"/>
      <c r="Q559" s="85"/>
      <c r="R559" s="85"/>
      <c r="S559" s="85"/>
    </row>
    <row r="560" spans="1:19" ht="15.75">
      <c r="A560" s="174"/>
      <c r="B560" s="176"/>
      <c r="C560" s="85"/>
      <c r="D560" s="175"/>
      <c r="E560" s="175"/>
      <c r="F560" s="85"/>
      <c r="G560" s="18">
        <f>C560</f>
        <v>0</v>
      </c>
      <c r="H560" s="85"/>
      <c r="I560" s="85"/>
      <c r="J560" s="174"/>
      <c r="K560" s="173"/>
      <c r="L560" s="102"/>
      <c r="M560" s="85"/>
      <c r="N560" s="85"/>
      <c r="O560" s="85"/>
      <c r="P560" s="85"/>
      <c r="Q560" s="85"/>
      <c r="R560" s="85"/>
      <c r="S560" s="85"/>
    </row>
    <row r="561" spans="1:19" ht="15.75">
      <c r="A561" s="174"/>
      <c r="B561" s="176"/>
      <c r="C561" s="85"/>
      <c r="D561" s="175"/>
      <c r="E561" s="175"/>
      <c r="F561" s="85"/>
      <c r="G561" s="18">
        <f>C561</f>
        <v>0</v>
      </c>
      <c r="H561" s="85"/>
      <c r="I561" s="85"/>
      <c r="J561" s="174"/>
      <c r="K561" s="173"/>
      <c r="L561" s="102"/>
      <c r="M561" s="85"/>
      <c r="N561" s="85"/>
      <c r="O561" s="85"/>
      <c r="P561" s="85"/>
      <c r="Q561" s="85"/>
      <c r="R561" s="85"/>
      <c r="S561" s="85"/>
    </row>
    <row r="562" spans="1:19" ht="15.75">
      <c r="A562" s="174"/>
      <c r="B562" s="176"/>
      <c r="C562" s="85"/>
      <c r="D562" s="175"/>
      <c r="E562" s="175"/>
      <c r="F562" s="85"/>
      <c r="G562" s="18">
        <f>C562</f>
        <v>0</v>
      </c>
      <c r="H562" s="85"/>
      <c r="I562" s="85"/>
      <c r="J562" s="174"/>
      <c r="K562" s="173"/>
      <c r="L562" s="102"/>
      <c r="M562" s="85"/>
      <c r="N562" s="85"/>
      <c r="O562" s="85"/>
      <c r="P562" s="85"/>
      <c r="Q562" s="85"/>
      <c r="R562" s="85"/>
      <c r="S562" s="85"/>
    </row>
    <row r="563" spans="1:19" ht="15.75">
      <c r="A563" s="174"/>
      <c r="B563" s="176"/>
      <c r="C563" s="85"/>
      <c r="D563" s="175"/>
      <c r="E563" s="175"/>
      <c r="F563" s="85"/>
      <c r="G563" s="18">
        <f>C563</f>
        <v>0</v>
      </c>
      <c r="H563" s="85"/>
      <c r="I563" s="85"/>
      <c r="J563" s="174"/>
      <c r="K563" s="173"/>
      <c r="L563" s="102"/>
      <c r="M563" s="85"/>
      <c r="N563" s="85"/>
      <c r="O563" s="85"/>
      <c r="P563" s="85"/>
      <c r="Q563" s="85"/>
      <c r="R563" s="85"/>
      <c r="S563" s="85"/>
    </row>
    <row r="564" spans="1:19" ht="15.75">
      <c r="A564" s="174"/>
      <c r="B564" s="176"/>
      <c r="C564" s="85"/>
      <c r="D564" s="175"/>
      <c r="E564" s="175"/>
      <c r="F564" s="85"/>
      <c r="G564" s="18">
        <f>C564</f>
        <v>0</v>
      </c>
      <c r="H564" s="85"/>
      <c r="I564" s="85"/>
      <c r="J564" s="174"/>
      <c r="K564" s="173"/>
      <c r="L564" s="102"/>
      <c r="M564" s="85"/>
      <c r="N564" s="85"/>
      <c r="O564" s="85"/>
      <c r="P564" s="85"/>
      <c r="Q564" s="85"/>
      <c r="R564" s="85"/>
      <c r="S564" s="85"/>
    </row>
    <row r="565" spans="1:19" ht="15.75">
      <c r="A565" s="174"/>
      <c r="B565" s="176"/>
      <c r="C565" s="85"/>
      <c r="D565" s="175"/>
      <c r="E565" s="175"/>
      <c r="F565" s="85"/>
      <c r="G565" s="18">
        <f>C565</f>
        <v>0</v>
      </c>
      <c r="H565" s="85"/>
      <c r="I565" s="85"/>
      <c r="J565" s="174"/>
      <c r="K565" s="173"/>
      <c r="L565" s="102"/>
      <c r="M565" s="85"/>
      <c r="N565" s="85"/>
      <c r="O565" s="85"/>
      <c r="P565" s="85"/>
      <c r="Q565" s="85"/>
      <c r="R565" s="85"/>
      <c r="S565" s="85"/>
    </row>
    <row r="566" spans="1:19" ht="15.75">
      <c r="A566" s="174"/>
      <c r="B566" s="176"/>
      <c r="C566" s="85"/>
      <c r="D566" s="175"/>
      <c r="E566" s="175"/>
      <c r="F566" s="85"/>
      <c r="G566" s="18">
        <f>C566</f>
        <v>0</v>
      </c>
      <c r="H566" s="85"/>
      <c r="I566" s="85"/>
      <c r="J566" s="174"/>
      <c r="K566" s="173"/>
      <c r="L566" s="102"/>
      <c r="M566" s="85"/>
      <c r="N566" s="85"/>
      <c r="O566" s="85"/>
      <c r="P566" s="85"/>
      <c r="Q566" s="85"/>
      <c r="R566" s="85"/>
      <c r="S566" s="85"/>
    </row>
    <row r="567" spans="1:19" ht="15.75">
      <c r="A567" s="174"/>
      <c r="B567" s="176"/>
      <c r="C567" s="85"/>
      <c r="D567" s="175"/>
      <c r="E567" s="175"/>
      <c r="F567" s="85"/>
      <c r="G567" s="18">
        <f>C567</f>
        <v>0</v>
      </c>
      <c r="H567" s="85"/>
      <c r="I567" s="85"/>
      <c r="J567" s="174"/>
      <c r="K567" s="173"/>
      <c r="L567" s="102"/>
      <c r="M567" s="85"/>
      <c r="N567" s="85"/>
      <c r="O567" s="85"/>
      <c r="P567" s="85"/>
      <c r="Q567" s="85"/>
      <c r="R567" s="85"/>
      <c r="S567" s="85"/>
    </row>
    <row r="568" spans="1:19" ht="15.75">
      <c r="A568" s="174"/>
      <c r="B568" s="176"/>
      <c r="C568" s="85"/>
      <c r="D568" s="175"/>
      <c r="E568" s="175"/>
      <c r="F568" s="85"/>
      <c r="G568" s="18">
        <f>C568</f>
        <v>0</v>
      </c>
      <c r="H568" s="85"/>
      <c r="I568" s="85"/>
      <c r="J568" s="174"/>
      <c r="K568" s="173"/>
      <c r="L568" s="102"/>
      <c r="M568" s="85"/>
      <c r="N568" s="85"/>
      <c r="O568" s="85"/>
      <c r="P568" s="85"/>
      <c r="Q568" s="85"/>
      <c r="R568" s="85"/>
      <c r="S568" s="85"/>
    </row>
    <row r="569" spans="1:19" ht="15.75">
      <c r="A569" s="174"/>
      <c r="B569" s="176"/>
      <c r="C569" s="85"/>
      <c r="D569" s="175"/>
      <c r="E569" s="175"/>
      <c r="F569" s="85"/>
      <c r="G569" s="18">
        <f>C569</f>
        <v>0</v>
      </c>
      <c r="H569" s="85"/>
      <c r="I569" s="85"/>
      <c r="J569" s="174"/>
      <c r="K569" s="173"/>
      <c r="L569" s="102"/>
      <c r="M569" s="85"/>
      <c r="N569" s="85"/>
      <c r="O569" s="85"/>
      <c r="P569" s="85"/>
      <c r="Q569" s="85"/>
      <c r="R569" s="85"/>
      <c r="S569" s="85"/>
    </row>
    <row r="570" spans="1:19" ht="15.75">
      <c r="A570" s="174"/>
      <c r="B570" s="176"/>
      <c r="C570" s="85"/>
      <c r="D570" s="175"/>
      <c r="E570" s="175"/>
      <c r="F570" s="85"/>
      <c r="G570" s="18">
        <f>C570</f>
        <v>0</v>
      </c>
      <c r="H570" s="85"/>
      <c r="I570" s="85"/>
      <c r="J570" s="174"/>
      <c r="K570" s="173"/>
      <c r="L570" s="102"/>
      <c r="M570" s="85"/>
      <c r="N570" s="85"/>
      <c r="O570" s="85"/>
      <c r="P570" s="85"/>
      <c r="Q570" s="85"/>
      <c r="R570" s="85"/>
      <c r="S570" s="85"/>
    </row>
    <row r="571" spans="1:19" ht="15.75">
      <c r="A571" s="174"/>
      <c r="B571" s="176"/>
      <c r="C571" s="85"/>
      <c r="D571" s="175"/>
      <c r="E571" s="175"/>
      <c r="F571" s="85"/>
      <c r="G571" s="18">
        <f>C571</f>
        <v>0</v>
      </c>
      <c r="H571" s="85"/>
      <c r="I571" s="85"/>
      <c r="J571" s="174"/>
      <c r="K571" s="173"/>
      <c r="L571" s="102"/>
      <c r="M571" s="85"/>
      <c r="N571" s="85"/>
      <c r="O571" s="85"/>
      <c r="P571" s="85"/>
      <c r="Q571" s="85"/>
      <c r="R571" s="85"/>
      <c r="S571" s="85"/>
    </row>
    <row r="572" spans="1:19" ht="15.75">
      <c r="A572" s="174"/>
      <c r="B572" s="176"/>
      <c r="C572" s="85"/>
      <c r="D572" s="175"/>
      <c r="E572" s="175"/>
      <c r="F572" s="85"/>
      <c r="G572" s="18">
        <f>C572</f>
        <v>0</v>
      </c>
      <c r="H572" s="85"/>
      <c r="I572" s="85"/>
      <c r="J572" s="174"/>
      <c r="K572" s="173"/>
      <c r="L572" s="102"/>
      <c r="M572" s="85"/>
      <c r="N572" s="85"/>
      <c r="O572" s="85"/>
      <c r="P572" s="85"/>
      <c r="Q572" s="85"/>
      <c r="R572" s="85"/>
      <c r="S572" s="85"/>
    </row>
    <row r="573" spans="1:19" ht="15.75">
      <c r="A573" s="174"/>
      <c r="B573" s="176"/>
      <c r="C573" s="85"/>
      <c r="D573" s="175"/>
      <c r="E573" s="175"/>
      <c r="F573" s="85"/>
      <c r="G573" s="18">
        <f>C573</f>
        <v>0</v>
      </c>
      <c r="H573" s="85"/>
      <c r="I573" s="85"/>
      <c r="J573" s="174"/>
      <c r="K573" s="173"/>
      <c r="L573" s="102"/>
      <c r="M573" s="85"/>
      <c r="N573" s="85"/>
      <c r="O573" s="85"/>
      <c r="P573" s="85"/>
      <c r="Q573" s="85"/>
      <c r="R573" s="85"/>
      <c r="S573" s="85"/>
    </row>
    <row r="574" spans="1:19" ht="15.75">
      <c r="A574" s="174"/>
      <c r="B574" s="176"/>
      <c r="C574" s="85"/>
      <c r="D574" s="175"/>
      <c r="E574" s="175"/>
      <c r="F574" s="85"/>
      <c r="G574" s="18">
        <f>C574</f>
        <v>0</v>
      </c>
      <c r="H574" s="85"/>
      <c r="I574" s="85"/>
      <c r="J574" s="174"/>
      <c r="K574" s="173"/>
      <c r="L574" s="102"/>
      <c r="M574" s="85"/>
      <c r="N574" s="85"/>
      <c r="O574" s="85"/>
      <c r="P574" s="85"/>
      <c r="Q574" s="85"/>
      <c r="R574" s="85"/>
      <c r="S574" s="85"/>
    </row>
    <row r="575" spans="1:19" ht="15.75">
      <c r="A575" s="174"/>
      <c r="B575" s="176"/>
      <c r="C575" s="85"/>
      <c r="D575" s="175"/>
      <c r="E575" s="175"/>
      <c r="F575" s="85"/>
      <c r="G575" s="18">
        <f>C575</f>
        <v>0</v>
      </c>
      <c r="H575" s="85"/>
      <c r="I575" s="85"/>
      <c r="J575" s="174"/>
      <c r="K575" s="173"/>
      <c r="L575" s="102"/>
      <c r="M575" s="85"/>
      <c r="N575" s="85"/>
      <c r="O575" s="85"/>
      <c r="P575" s="85"/>
      <c r="Q575" s="85"/>
      <c r="R575" s="85"/>
      <c r="S575" s="85"/>
    </row>
    <row r="576" spans="1:19" ht="15.75">
      <c r="A576" s="174"/>
      <c r="B576" s="176"/>
      <c r="C576" s="85"/>
      <c r="D576" s="175"/>
      <c r="E576" s="175"/>
      <c r="F576" s="85"/>
      <c r="G576" s="18">
        <f>C576</f>
        <v>0</v>
      </c>
      <c r="H576" s="85"/>
      <c r="I576" s="85"/>
      <c r="J576" s="174"/>
      <c r="K576" s="173"/>
      <c r="L576" s="102"/>
      <c r="M576" s="85"/>
      <c r="N576" s="85"/>
      <c r="O576" s="85"/>
      <c r="P576" s="85"/>
      <c r="Q576" s="85"/>
      <c r="R576" s="85"/>
      <c r="S576" s="85"/>
    </row>
    <row r="577" spans="1:19" ht="15.75">
      <c r="A577" s="174"/>
      <c r="B577" s="176"/>
      <c r="C577" s="85"/>
      <c r="D577" s="175"/>
      <c r="E577" s="175"/>
      <c r="F577" s="85"/>
      <c r="G577" s="18">
        <f>C577</f>
        <v>0</v>
      </c>
      <c r="H577" s="85"/>
      <c r="I577" s="85"/>
      <c r="J577" s="174"/>
      <c r="K577" s="173"/>
      <c r="L577" s="102"/>
      <c r="M577" s="85"/>
      <c r="N577" s="85"/>
      <c r="O577" s="85"/>
      <c r="P577" s="85"/>
      <c r="Q577" s="85"/>
      <c r="R577" s="85"/>
      <c r="S577" s="85"/>
    </row>
    <row r="578" spans="1:19" ht="15.75">
      <c r="A578" s="174"/>
      <c r="B578" s="176"/>
      <c r="C578" s="85"/>
      <c r="D578" s="175"/>
      <c r="E578" s="175"/>
      <c r="F578" s="85"/>
      <c r="G578" s="18">
        <f>C578</f>
        <v>0</v>
      </c>
      <c r="H578" s="85"/>
      <c r="I578" s="85"/>
      <c r="J578" s="174"/>
      <c r="K578" s="173"/>
      <c r="L578" s="102"/>
      <c r="M578" s="85"/>
      <c r="N578" s="85"/>
      <c r="O578" s="85"/>
      <c r="P578" s="85"/>
      <c r="Q578" s="85"/>
      <c r="R578" s="85"/>
      <c r="S578" s="85"/>
    </row>
    <row r="579" spans="1:19" ht="15.75">
      <c r="A579" s="174"/>
      <c r="B579" s="176"/>
      <c r="C579" s="85"/>
      <c r="D579" s="175"/>
      <c r="E579" s="175"/>
      <c r="F579" s="85"/>
      <c r="G579" s="18">
        <f>C579</f>
        <v>0</v>
      </c>
      <c r="H579" s="85"/>
      <c r="I579" s="85"/>
      <c r="J579" s="174"/>
      <c r="K579" s="173"/>
      <c r="L579" s="102"/>
      <c r="M579" s="85"/>
      <c r="N579" s="85"/>
      <c r="O579" s="85"/>
      <c r="P579" s="85"/>
      <c r="Q579" s="85"/>
      <c r="R579" s="85"/>
      <c r="S579" s="85"/>
    </row>
    <row r="580" spans="1:19" ht="15.75">
      <c r="A580" s="174"/>
      <c r="B580" s="176"/>
      <c r="C580" s="85"/>
      <c r="D580" s="175"/>
      <c r="E580" s="175"/>
      <c r="F580" s="85"/>
      <c r="G580" s="18">
        <f>C580</f>
        <v>0</v>
      </c>
      <c r="H580" s="85"/>
      <c r="I580" s="85"/>
      <c r="J580" s="174"/>
      <c r="K580" s="173"/>
      <c r="L580" s="102"/>
      <c r="M580" s="85"/>
      <c r="N580" s="85"/>
      <c r="O580" s="85"/>
      <c r="P580" s="85"/>
      <c r="Q580" s="85"/>
      <c r="R580" s="85"/>
      <c r="S580" s="85"/>
    </row>
    <row r="581" spans="1:19" ht="15.75">
      <c r="A581" s="174"/>
      <c r="B581" s="176"/>
      <c r="C581" s="85"/>
      <c r="D581" s="175"/>
      <c r="E581" s="175"/>
      <c r="F581" s="85"/>
      <c r="G581" s="18">
        <f>C581</f>
        <v>0</v>
      </c>
      <c r="H581" s="85"/>
      <c r="I581" s="85"/>
      <c r="J581" s="174"/>
      <c r="K581" s="173"/>
      <c r="L581" s="102"/>
      <c r="M581" s="85"/>
      <c r="N581" s="85"/>
      <c r="O581" s="85"/>
      <c r="P581" s="85"/>
      <c r="Q581" s="85"/>
      <c r="R581" s="85"/>
      <c r="S581" s="85"/>
    </row>
    <row r="582" spans="1:19" ht="15.75">
      <c r="A582" s="174"/>
      <c r="B582" s="176"/>
      <c r="C582" s="85"/>
      <c r="D582" s="175"/>
      <c r="E582" s="175"/>
      <c r="F582" s="85"/>
      <c r="G582" s="18">
        <f>C582</f>
        <v>0</v>
      </c>
      <c r="H582" s="85"/>
      <c r="I582" s="85"/>
      <c r="J582" s="174"/>
      <c r="K582" s="173"/>
      <c r="L582" s="102"/>
      <c r="M582" s="85"/>
      <c r="N582" s="85"/>
      <c r="O582" s="85"/>
      <c r="P582" s="85"/>
      <c r="Q582" s="85"/>
      <c r="R582" s="85"/>
      <c r="S582" s="85"/>
    </row>
    <row r="583" spans="1:19" ht="15.75">
      <c r="A583" s="174"/>
      <c r="B583" s="176"/>
      <c r="C583" s="85"/>
      <c r="D583" s="175"/>
      <c r="E583" s="175"/>
      <c r="F583" s="85"/>
      <c r="G583" s="18">
        <f>C583</f>
        <v>0</v>
      </c>
      <c r="H583" s="85"/>
      <c r="I583" s="85"/>
      <c r="J583" s="174"/>
      <c r="K583" s="173"/>
      <c r="L583" s="102"/>
      <c r="M583" s="85"/>
      <c r="N583" s="85"/>
      <c r="O583" s="85"/>
      <c r="P583" s="85"/>
      <c r="Q583" s="85"/>
      <c r="R583" s="85"/>
      <c r="S583" s="85"/>
    </row>
    <row r="584" spans="1:19" ht="15.75">
      <c r="A584" s="174"/>
      <c r="B584" s="176"/>
      <c r="C584" s="85"/>
      <c r="D584" s="175"/>
      <c r="E584" s="175"/>
      <c r="F584" s="85"/>
      <c r="G584" s="18">
        <f>C584</f>
        <v>0</v>
      </c>
      <c r="H584" s="85"/>
      <c r="I584" s="85"/>
      <c r="J584" s="174"/>
      <c r="K584" s="173"/>
      <c r="L584" s="102"/>
      <c r="M584" s="85"/>
      <c r="N584" s="85"/>
      <c r="O584" s="85"/>
      <c r="P584" s="85"/>
      <c r="Q584" s="85"/>
      <c r="R584" s="85"/>
      <c r="S584" s="85"/>
    </row>
    <row r="585" spans="1:19" ht="15.75">
      <c r="A585" s="174"/>
      <c r="B585" s="176"/>
      <c r="C585" s="85"/>
      <c r="D585" s="175"/>
      <c r="E585" s="175"/>
      <c r="F585" s="85"/>
      <c r="G585" s="18">
        <f>C585</f>
        <v>0</v>
      </c>
      <c r="H585" s="85"/>
      <c r="I585" s="85"/>
      <c r="J585" s="174"/>
      <c r="K585" s="173"/>
      <c r="L585" s="102"/>
      <c r="M585" s="85"/>
      <c r="N585" s="85"/>
      <c r="O585" s="85"/>
      <c r="P585" s="85"/>
      <c r="Q585" s="85"/>
      <c r="R585" s="85"/>
      <c r="S585" s="85"/>
    </row>
    <row r="586" spans="1:19" ht="15.75">
      <c r="A586" s="174"/>
      <c r="B586" s="176"/>
      <c r="C586" s="85"/>
      <c r="D586" s="175"/>
      <c r="E586" s="175"/>
      <c r="F586" s="85"/>
      <c r="G586" s="18">
        <f>C586</f>
        <v>0</v>
      </c>
      <c r="H586" s="85"/>
      <c r="I586" s="85"/>
      <c r="J586" s="174"/>
      <c r="K586" s="173"/>
      <c r="L586" s="102"/>
      <c r="M586" s="85"/>
      <c r="N586" s="85"/>
      <c r="O586" s="85"/>
      <c r="P586" s="85"/>
      <c r="Q586" s="85"/>
      <c r="R586" s="85"/>
      <c r="S586" s="85"/>
    </row>
    <row r="587" spans="1:19" ht="15.75">
      <c r="A587" s="174"/>
      <c r="B587" s="176"/>
      <c r="C587" s="85"/>
      <c r="D587" s="175"/>
      <c r="E587" s="175"/>
      <c r="F587" s="85"/>
      <c r="G587" s="18">
        <f>C587</f>
        <v>0</v>
      </c>
      <c r="H587" s="85"/>
      <c r="I587" s="85"/>
      <c r="J587" s="174"/>
      <c r="K587" s="173"/>
      <c r="L587" s="102"/>
      <c r="M587" s="85"/>
      <c r="N587" s="85"/>
      <c r="O587" s="85"/>
      <c r="P587" s="85"/>
      <c r="Q587" s="85"/>
      <c r="R587" s="85"/>
      <c r="S587" s="85"/>
    </row>
    <row r="588" spans="1:19" ht="15.75">
      <c r="A588" s="174"/>
      <c r="B588" s="176"/>
      <c r="C588" s="85"/>
      <c r="D588" s="175"/>
      <c r="E588" s="175"/>
      <c r="F588" s="85"/>
      <c r="G588" s="18">
        <f>C588</f>
        <v>0</v>
      </c>
      <c r="H588" s="85"/>
      <c r="I588" s="85"/>
      <c r="J588" s="174"/>
      <c r="K588" s="173"/>
      <c r="L588" s="102"/>
      <c r="M588" s="85"/>
      <c r="N588" s="85"/>
      <c r="O588" s="85"/>
      <c r="P588" s="85"/>
      <c r="Q588" s="85"/>
      <c r="R588" s="85"/>
      <c r="S588" s="85"/>
    </row>
    <row r="589" spans="1:19" ht="15.75">
      <c r="A589" s="174"/>
      <c r="B589" s="176"/>
      <c r="C589" s="85"/>
      <c r="D589" s="175"/>
      <c r="E589" s="175"/>
      <c r="F589" s="85"/>
      <c r="G589" s="18">
        <f>C589</f>
        <v>0</v>
      </c>
      <c r="H589" s="85"/>
      <c r="I589" s="85"/>
      <c r="J589" s="174"/>
      <c r="K589" s="173"/>
      <c r="L589" s="102"/>
      <c r="M589" s="85"/>
      <c r="N589" s="85"/>
      <c r="O589" s="85"/>
      <c r="P589" s="85"/>
      <c r="Q589" s="85"/>
      <c r="R589" s="85"/>
      <c r="S589" s="85"/>
    </row>
    <row r="590" spans="1:19" ht="15.75">
      <c r="A590" s="174"/>
      <c r="B590" s="176"/>
      <c r="C590" s="85"/>
      <c r="D590" s="175"/>
      <c r="E590" s="175"/>
      <c r="F590" s="85"/>
      <c r="G590" s="18">
        <f>C590</f>
        <v>0</v>
      </c>
      <c r="H590" s="85"/>
      <c r="I590" s="85"/>
      <c r="J590" s="174"/>
      <c r="K590" s="173"/>
      <c r="L590" s="102"/>
      <c r="M590" s="85"/>
      <c r="N590" s="85"/>
      <c r="O590" s="85"/>
      <c r="P590" s="85"/>
      <c r="Q590" s="85"/>
      <c r="R590" s="85"/>
      <c r="S590" s="85"/>
    </row>
    <row r="591" spans="1:19" ht="15.75">
      <c r="A591" s="174"/>
      <c r="B591" s="176"/>
      <c r="C591" s="85"/>
      <c r="D591" s="175"/>
      <c r="E591" s="175"/>
      <c r="F591" s="85"/>
      <c r="G591" s="18">
        <f>C591</f>
        <v>0</v>
      </c>
      <c r="H591" s="85"/>
      <c r="I591" s="85"/>
      <c r="J591" s="174"/>
      <c r="K591" s="173"/>
      <c r="L591" s="102"/>
      <c r="M591" s="85"/>
      <c r="N591" s="85"/>
      <c r="O591" s="85"/>
      <c r="P591" s="85"/>
      <c r="Q591" s="85"/>
      <c r="R591" s="85"/>
      <c r="S591" s="85"/>
    </row>
    <row r="592" spans="1:19" ht="15.75">
      <c r="A592" s="174"/>
      <c r="B592" s="176"/>
      <c r="C592" s="85"/>
      <c r="D592" s="175"/>
      <c r="E592" s="175"/>
      <c r="F592" s="85"/>
      <c r="G592" s="18">
        <f>C592</f>
        <v>0</v>
      </c>
      <c r="H592" s="85"/>
      <c r="I592" s="85"/>
      <c r="J592" s="174"/>
      <c r="K592" s="173"/>
      <c r="L592" s="102"/>
      <c r="M592" s="85"/>
      <c r="N592" s="85"/>
      <c r="O592" s="85"/>
      <c r="P592" s="85"/>
      <c r="Q592" s="85"/>
      <c r="R592" s="85"/>
      <c r="S592" s="85"/>
    </row>
    <row r="593" spans="1:19" ht="15.75">
      <c r="A593" s="174"/>
      <c r="B593" s="176"/>
      <c r="C593" s="85"/>
      <c r="D593" s="175"/>
      <c r="E593" s="175"/>
      <c r="F593" s="85"/>
      <c r="G593" s="18">
        <f>C593</f>
        <v>0</v>
      </c>
      <c r="H593" s="85"/>
      <c r="I593" s="85"/>
      <c r="J593" s="174"/>
      <c r="K593" s="173"/>
      <c r="L593" s="102"/>
      <c r="M593" s="85"/>
      <c r="N593" s="85"/>
      <c r="O593" s="85"/>
      <c r="P593" s="85"/>
      <c r="Q593" s="85"/>
      <c r="R593" s="85"/>
      <c r="S593" s="85"/>
    </row>
    <row r="594" spans="1:19" ht="15.75">
      <c r="A594" s="174"/>
      <c r="B594" s="176"/>
      <c r="C594" s="85"/>
      <c r="D594" s="175"/>
      <c r="E594" s="175"/>
      <c r="F594" s="85"/>
      <c r="G594" s="18">
        <f>C594</f>
        <v>0</v>
      </c>
      <c r="H594" s="85"/>
      <c r="I594" s="85"/>
      <c r="J594" s="174"/>
      <c r="K594" s="173"/>
      <c r="L594" s="102"/>
      <c r="M594" s="85"/>
      <c r="N594" s="85"/>
      <c r="O594" s="85"/>
      <c r="P594" s="85"/>
      <c r="Q594" s="85"/>
      <c r="R594" s="85"/>
      <c r="S594" s="85"/>
    </row>
    <row r="595" spans="1:19" ht="15.75">
      <c r="A595" s="174"/>
      <c r="B595" s="176"/>
      <c r="C595" s="85"/>
      <c r="D595" s="175"/>
      <c r="E595" s="175"/>
      <c r="F595" s="85"/>
      <c r="G595" s="18">
        <f>C595</f>
        <v>0</v>
      </c>
      <c r="H595" s="85"/>
      <c r="I595" s="85"/>
      <c r="J595" s="174"/>
      <c r="K595" s="173"/>
      <c r="L595" s="102"/>
      <c r="M595" s="85"/>
      <c r="N595" s="85"/>
      <c r="O595" s="85"/>
      <c r="P595" s="85"/>
      <c r="Q595" s="85"/>
      <c r="R595" s="85"/>
      <c r="S595" s="85"/>
    </row>
    <row r="596" spans="1:19" ht="15.75">
      <c r="A596" s="174"/>
      <c r="B596" s="176"/>
      <c r="C596" s="85"/>
      <c r="D596" s="175"/>
      <c r="E596" s="175"/>
      <c r="F596" s="85"/>
      <c r="G596" s="18">
        <f>C596</f>
        <v>0</v>
      </c>
      <c r="H596" s="85"/>
      <c r="I596" s="85"/>
      <c r="J596" s="174"/>
      <c r="K596" s="173"/>
      <c r="L596" s="102"/>
      <c r="M596" s="85"/>
      <c r="N596" s="85"/>
      <c r="O596" s="85"/>
      <c r="P596" s="85"/>
      <c r="Q596" s="85"/>
      <c r="R596" s="85"/>
      <c r="S596" s="85"/>
    </row>
    <row r="597" spans="1:19" ht="15.75">
      <c r="A597" s="174"/>
      <c r="B597" s="176"/>
      <c r="C597" s="85"/>
      <c r="D597" s="175"/>
      <c r="E597" s="175"/>
      <c r="F597" s="85"/>
      <c r="G597" s="18">
        <f>C597</f>
        <v>0</v>
      </c>
      <c r="H597" s="85"/>
      <c r="I597" s="85"/>
      <c r="J597" s="174"/>
      <c r="K597" s="173"/>
      <c r="L597" s="102"/>
      <c r="M597" s="85"/>
      <c r="N597" s="85"/>
      <c r="O597" s="85"/>
      <c r="P597" s="85"/>
      <c r="Q597" s="85"/>
      <c r="R597" s="85"/>
      <c r="S597" s="85"/>
    </row>
    <row r="598" spans="1:19" ht="15.75">
      <c r="A598" s="174"/>
      <c r="B598" s="176"/>
      <c r="C598" s="85"/>
      <c r="D598" s="175"/>
      <c r="E598" s="175"/>
      <c r="F598" s="85"/>
      <c r="G598" s="18">
        <f>C598</f>
        <v>0</v>
      </c>
      <c r="H598" s="85"/>
      <c r="I598" s="85"/>
      <c r="J598" s="174"/>
      <c r="K598" s="173"/>
      <c r="L598" s="102"/>
      <c r="M598" s="85"/>
      <c r="N598" s="85"/>
      <c r="O598" s="85"/>
      <c r="P598" s="85"/>
      <c r="Q598" s="85"/>
      <c r="R598" s="85"/>
      <c r="S598" s="85"/>
    </row>
    <row r="599" spans="1:19" ht="15.75">
      <c r="A599" s="174"/>
      <c r="B599" s="176"/>
      <c r="C599" s="85"/>
      <c r="D599" s="175"/>
      <c r="E599" s="175"/>
      <c r="F599" s="85"/>
      <c r="G599" s="18">
        <f>C599</f>
        <v>0</v>
      </c>
      <c r="H599" s="85"/>
      <c r="I599" s="85"/>
      <c r="J599" s="174"/>
      <c r="K599" s="173"/>
      <c r="L599" s="102"/>
      <c r="M599" s="85"/>
      <c r="N599" s="85"/>
      <c r="O599" s="85"/>
      <c r="P599" s="85"/>
      <c r="Q599" s="85"/>
      <c r="R599" s="85"/>
      <c r="S599" s="85"/>
    </row>
    <row r="600" spans="1:19" ht="15.75">
      <c r="A600" s="174"/>
      <c r="B600" s="176"/>
      <c r="C600" s="85"/>
      <c r="D600" s="175"/>
      <c r="E600" s="175"/>
      <c r="F600" s="85"/>
      <c r="G600" s="18">
        <f>C600</f>
        <v>0</v>
      </c>
      <c r="H600" s="85"/>
      <c r="I600" s="85"/>
      <c r="J600" s="174"/>
      <c r="K600" s="173"/>
      <c r="L600" s="102"/>
      <c r="M600" s="85"/>
      <c r="N600" s="85"/>
      <c r="O600" s="85"/>
      <c r="P600" s="85"/>
      <c r="Q600" s="85"/>
      <c r="R600" s="85"/>
      <c r="S600" s="85"/>
    </row>
    <row r="601" spans="1:19" ht="15.75">
      <c r="A601" s="174"/>
      <c r="B601" s="176"/>
      <c r="C601" s="85"/>
      <c r="D601" s="175"/>
      <c r="E601" s="175"/>
      <c r="F601" s="85"/>
      <c r="G601" s="18">
        <f>C601</f>
        <v>0</v>
      </c>
      <c r="H601" s="85"/>
      <c r="I601" s="85"/>
      <c r="J601" s="174"/>
      <c r="K601" s="173"/>
      <c r="L601" s="102"/>
      <c r="M601" s="85"/>
      <c r="N601" s="85"/>
      <c r="O601" s="85"/>
      <c r="P601" s="85"/>
      <c r="Q601" s="85"/>
      <c r="R601" s="85"/>
      <c r="S601" s="85"/>
    </row>
    <row r="602" spans="1:19" ht="15.75">
      <c r="A602" s="174"/>
      <c r="B602" s="176"/>
      <c r="C602" s="85"/>
      <c r="D602" s="175"/>
      <c r="E602" s="175"/>
      <c r="F602" s="85"/>
      <c r="G602" s="18">
        <f>C602</f>
        <v>0</v>
      </c>
      <c r="H602" s="85"/>
      <c r="I602" s="85"/>
      <c r="J602" s="174"/>
      <c r="K602" s="173"/>
      <c r="L602" s="102"/>
      <c r="M602" s="85"/>
      <c r="N602" s="85"/>
      <c r="O602" s="85"/>
      <c r="P602" s="85"/>
      <c r="Q602" s="85"/>
      <c r="R602" s="85"/>
      <c r="S602" s="85"/>
    </row>
    <row r="603" spans="1:19" ht="15.75">
      <c r="A603" s="174"/>
      <c r="B603" s="176"/>
      <c r="C603" s="85"/>
      <c r="D603" s="175"/>
      <c r="E603" s="175"/>
      <c r="F603" s="85"/>
      <c r="G603" s="18">
        <f>C603</f>
        <v>0</v>
      </c>
      <c r="H603" s="85"/>
      <c r="I603" s="85"/>
      <c r="J603" s="174"/>
      <c r="K603" s="173"/>
      <c r="L603" s="102"/>
      <c r="M603" s="85"/>
      <c r="N603" s="85"/>
      <c r="O603" s="85"/>
      <c r="P603" s="85"/>
      <c r="Q603" s="85"/>
      <c r="R603" s="85"/>
      <c r="S603" s="85"/>
    </row>
    <row r="604" spans="1:19" ht="15.75">
      <c r="A604" s="174"/>
      <c r="B604" s="176"/>
      <c r="C604" s="85"/>
      <c r="D604" s="175"/>
      <c r="E604" s="175"/>
      <c r="F604" s="85"/>
      <c r="G604" s="18">
        <f>C604</f>
        <v>0</v>
      </c>
      <c r="H604" s="85"/>
      <c r="I604" s="85"/>
      <c r="J604" s="174"/>
      <c r="K604" s="173"/>
      <c r="L604" s="102"/>
      <c r="M604" s="85"/>
      <c r="N604" s="85"/>
      <c r="O604" s="85"/>
      <c r="P604" s="85"/>
      <c r="Q604" s="85"/>
      <c r="R604" s="85"/>
      <c r="S604" s="85"/>
    </row>
    <row r="605" spans="1:19" ht="15.75">
      <c r="A605" s="174"/>
      <c r="B605" s="176"/>
      <c r="C605" s="85"/>
      <c r="D605" s="175"/>
      <c r="E605" s="175"/>
      <c r="F605" s="85"/>
      <c r="G605" s="18">
        <f>C605</f>
        <v>0</v>
      </c>
      <c r="H605" s="85"/>
      <c r="I605" s="85"/>
      <c r="J605" s="174"/>
      <c r="K605" s="173"/>
      <c r="L605" s="102"/>
      <c r="M605" s="85"/>
      <c r="N605" s="85"/>
      <c r="O605" s="85"/>
      <c r="P605" s="85"/>
      <c r="Q605" s="85"/>
      <c r="R605" s="85"/>
      <c r="S605" s="85"/>
    </row>
    <row r="606" spans="1:19" ht="15.75">
      <c r="A606" s="174"/>
      <c r="B606" s="176"/>
      <c r="C606" s="85"/>
      <c r="D606" s="175"/>
      <c r="E606" s="175"/>
      <c r="F606" s="85"/>
      <c r="G606" s="18">
        <f>C606</f>
        <v>0</v>
      </c>
      <c r="H606" s="85"/>
      <c r="I606" s="85"/>
      <c r="J606" s="174"/>
      <c r="K606" s="173"/>
      <c r="L606" s="102"/>
      <c r="M606" s="85"/>
      <c r="N606" s="85"/>
      <c r="O606" s="85"/>
      <c r="P606" s="85"/>
      <c r="Q606" s="85"/>
      <c r="R606" s="85"/>
      <c r="S606" s="85"/>
    </row>
    <row r="607" spans="1:19" ht="15.75">
      <c r="A607" s="174"/>
      <c r="B607" s="176"/>
      <c r="C607" s="85"/>
      <c r="D607" s="175"/>
      <c r="E607" s="175"/>
      <c r="F607" s="85"/>
      <c r="G607" s="18">
        <f>C607</f>
        <v>0</v>
      </c>
      <c r="H607" s="85"/>
      <c r="I607" s="85"/>
      <c r="J607" s="174"/>
      <c r="K607" s="173"/>
      <c r="L607" s="102"/>
      <c r="M607" s="85"/>
      <c r="N607" s="85"/>
      <c r="O607" s="85"/>
      <c r="P607" s="85"/>
      <c r="Q607" s="85"/>
      <c r="R607" s="85"/>
      <c r="S607" s="85"/>
    </row>
    <row r="608" spans="1:19" ht="15.75">
      <c r="A608" s="174"/>
      <c r="B608" s="176"/>
      <c r="C608" s="85"/>
      <c r="D608" s="175"/>
      <c r="E608" s="175"/>
      <c r="F608" s="85"/>
      <c r="G608" s="18">
        <f>C608</f>
        <v>0</v>
      </c>
      <c r="H608" s="85"/>
      <c r="I608" s="85"/>
      <c r="J608" s="174"/>
      <c r="K608" s="173"/>
      <c r="L608" s="102"/>
      <c r="M608" s="85"/>
      <c r="N608" s="85"/>
      <c r="O608" s="85"/>
      <c r="P608" s="85"/>
      <c r="Q608" s="85"/>
      <c r="R608" s="85"/>
      <c r="S608" s="85"/>
    </row>
    <row r="609" spans="1:19" ht="15.75">
      <c r="A609" s="174"/>
      <c r="B609" s="176"/>
      <c r="C609" s="85"/>
      <c r="D609" s="175"/>
      <c r="E609" s="175"/>
      <c r="F609" s="85"/>
      <c r="G609" s="18">
        <f>C609</f>
        <v>0</v>
      </c>
      <c r="H609" s="85"/>
      <c r="I609" s="85"/>
      <c r="J609" s="174"/>
      <c r="K609" s="173"/>
      <c r="L609" s="102"/>
      <c r="M609" s="85"/>
      <c r="N609" s="85"/>
      <c r="O609" s="85"/>
      <c r="P609" s="85"/>
      <c r="Q609" s="85"/>
      <c r="R609" s="85"/>
      <c r="S609" s="85"/>
    </row>
    <row r="610" spans="1:19" ht="15.75">
      <c r="A610" s="174"/>
      <c r="B610" s="176"/>
      <c r="C610" s="85"/>
      <c r="D610" s="175"/>
      <c r="E610" s="175"/>
      <c r="F610" s="85"/>
      <c r="G610" s="18">
        <f>C610</f>
        <v>0</v>
      </c>
      <c r="H610" s="85"/>
      <c r="I610" s="85"/>
      <c r="J610" s="174"/>
      <c r="K610" s="173"/>
      <c r="L610" s="102"/>
      <c r="M610" s="85"/>
      <c r="N610" s="85"/>
      <c r="O610" s="85"/>
      <c r="P610" s="85"/>
      <c r="Q610" s="85"/>
      <c r="R610" s="85"/>
      <c r="S610" s="85"/>
    </row>
    <row r="611" spans="1:19" ht="15.75">
      <c r="A611" s="174"/>
      <c r="B611" s="176"/>
      <c r="C611" s="85"/>
      <c r="D611" s="175"/>
      <c r="E611" s="175"/>
      <c r="F611" s="85"/>
      <c r="G611" s="18">
        <f>C611</f>
        <v>0</v>
      </c>
      <c r="H611" s="85"/>
      <c r="I611" s="85"/>
      <c r="J611" s="174"/>
      <c r="K611" s="173"/>
      <c r="L611" s="102"/>
      <c r="M611" s="85"/>
      <c r="N611" s="85"/>
      <c r="O611" s="85"/>
      <c r="P611" s="85"/>
      <c r="Q611" s="85"/>
      <c r="R611" s="85"/>
      <c r="S611" s="85"/>
    </row>
    <row r="612" spans="1:19" ht="15.75">
      <c r="A612" s="174"/>
      <c r="B612" s="176"/>
      <c r="C612" s="85"/>
      <c r="D612" s="175"/>
      <c r="E612" s="175"/>
      <c r="F612" s="85"/>
      <c r="G612" s="18">
        <f>C612</f>
        <v>0</v>
      </c>
      <c r="H612" s="85"/>
      <c r="I612" s="85"/>
      <c r="J612" s="174"/>
      <c r="K612" s="173"/>
      <c r="L612" s="102"/>
      <c r="M612" s="85"/>
      <c r="N612" s="85"/>
      <c r="O612" s="85"/>
      <c r="P612" s="85"/>
      <c r="Q612" s="85"/>
      <c r="R612" s="85"/>
      <c r="S612" s="85"/>
    </row>
    <row r="613" spans="1:19" ht="15.75">
      <c r="A613" s="174"/>
      <c r="B613" s="176"/>
      <c r="C613" s="85"/>
      <c r="D613" s="175"/>
      <c r="E613" s="175"/>
      <c r="F613" s="85"/>
      <c r="G613" s="18">
        <f>C613</f>
        <v>0</v>
      </c>
      <c r="H613" s="85"/>
      <c r="I613" s="85"/>
      <c r="J613" s="174"/>
      <c r="K613" s="173"/>
      <c r="L613" s="102"/>
      <c r="M613" s="85"/>
      <c r="N613" s="85"/>
      <c r="O613" s="85"/>
      <c r="P613" s="85"/>
      <c r="Q613" s="85"/>
      <c r="R613" s="85"/>
      <c r="S613" s="85"/>
    </row>
    <row r="614" spans="1:19" ht="15.75">
      <c r="A614" s="174"/>
      <c r="B614" s="176"/>
      <c r="C614" s="85"/>
      <c r="D614" s="175"/>
      <c r="E614" s="175"/>
      <c r="F614" s="85"/>
      <c r="G614" s="18">
        <f>C614</f>
        <v>0</v>
      </c>
      <c r="H614" s="85"/>
      <c r="I614" s="85"/>
      <c r="J614" s="174"/>
      <c r="K614" s="173"/>
      <c r="L614" s="102"/>
      <c r="M614" s="85"/>
      <c r="N614" s="85"/>
      <c r="O614" s="85"/>
      <c r="P614" s="85"/>
      <c r="Q614" s="85"/>
      <c r="R614" s="85"/>
      <c r="S614" s="85"/>
    </row>
    <row r="615" spans="1:19" ht="15.75">
      <c r="A615" s="174"/>
      <c r="B615" s="176"/>
      <c r="C615" s="85"/>
      <c r="D615" s="175"/>
      <c r="E615" s="175"/>
      <c r="F615" s="85"/>
      <c r="G615" s="18">
        <f>C615</f>
        <v>0</v>
      </c>
      <c r="H615" s="85"/>
      <c r="I615" s="85"/>
      <c r="J615" s="174"/>
      <c r="K615" s="173"/>
      <c r="L615" s="102"/>
      <c r="M615" s="85"/>
      <c r="N615" s="85"/>
      <c r="O615" s="85"/>
      <c r="P615" s="85"/>
      <c r="Q615" s="85"/>
      <c r="R615" s="85"/>
      <c r="S615" s="85"/>
    </row>
    <row r="616" spans="1:19" ht="15.75">
      <c r="A616" s="174"/>
      <c r="B616" s="176"/>
      <c r="C616" s="85"/>
      <c r="D616" s="175"/>
      <c r="E616" s="175"/>
      <c r="F616" s="85"/>
      <c r="G616" s="18">
        <f>C616</f>
        <v>0</v>
      </c>
      <c r="H616" s="85"/>
      <c r="I616" s="85"/>
      <c r="J616" s="174"/>
      <c r="K616" s="173"/>
      <c r="L616" s="102"/>
      <c r="M616" s="85"/>
      <c r="N616" s="85"/>
      <c r="O616" s="85"/>
      <c r="P616" s="85"/>
      <c r="Q616" s="85"/>
      <c r="R616" s="85"/>
      <c r="S616" s="85"/>
    </row>
    <row r="617" spans="1:19" ht="15.75">
      <c r="A617" s="174"/>
      <c r="B617" s="176"/>
      <c r="C617" s="85"/>
      <c r="D617" s="175"/>
      <c r="E617" s="175"/>
      <c r="F617" s="85"/>
      <c r="G617" s="18">
        <f>C617</f>
        <v>0</v>
      </c>
      <c r="H617" s="85"/>
      <c r="I617" s="85"/>
      <c r="J617" s="174"/>
      <c r="K617" s="173"/>
      <c r="L617" s="102"/>
      <c r="M617" s="85"/>
      <c r="N617" s="85"/>
      <c r="O617" s="85"/>
      <c r="P617" s="85"/>
      <c r="Q617" s="85"/>
      <c r="R617" s="85"/>
      <c r="S617" s="85"/>
    </row>
    <row r="618" spans="1:19" ht="15.75">
      <c r="A618" s="174"/>
      <c r="B618" s="176"/>
      <c r="C618" s="85"/>
      <c r="D618" s="175"/>
      <c r="E618" s="175"/>
      <c r="F618" s="85"/>
      <c r="G618" s="18">
        <f>C618</f>
        <v>0</v>
      </c>
      <c r="H618" s="85"/>
      <c r="I618" s="85"/>
      <c r="J618" s="174"/>
      <c r="K618" s="173"/>
      <c r="L618" s="102"/>
      <c r="M618" s="85"/>
      <c r="N618" s="85"/>
      <c r="O618" s="85"/>
      <c r="P618" s="85"/>
      <c r="Q618" s="85"/>
      <c r="R618" s="85"/>
      <c r="S618" s="85"/>
    </row>
    <row r="619" spans="1:19" ht="15.75">
      <c r="A619" s="174"/>
      <c r="B619" s="176"/>
      <c r="C619" s="85"/>
      <c r="D619" s="175"/>
      <c r="E619" s="175"/>
      <c r="F619" s="85"/>
      <c r="G619" s="18">
        <f>C619</f>
        <v>0</v>
      </c>
      <c r="H619" s="85"/>
      <c r="I619" s="85"/>
      <c r="J619" s="174"/>
      <c r="K619" s="173"/>
      <c r="L619" s="102"/>
      <c r="M619" s="85"/>
      <c r="N619" s="85"/>
      <c r="O619" s="85"/>
      <c r="P619" s="85"/>
      <c r="Q619" s="85"/>
      <c r="R619" s="85"/>
      <c r="S619" s="85"/>
    </row>
    <row r="620" spans="1:19" ht="15.75">
      <c r="A620" s="174"/>
      <c r="B620" s="176"/>
      <c r="C620" s="85"/>
      <c r="D620" s="175"/>
      <c r="E620" s="175"/>
      <c r="F620" s="85"/>
      <c r="G620" s="18">
        <f>C620</f>
        <v>0</v>
      </c>
      <c r="H620" s="85"/>
      <c r="I620" s="85"/>
      <c r="J620" s="174"/>
      <c r="K620" s="173"/>
      <c r="L620" s="102"/>
      <c r="M620" s="85"/>
      <c r="N620" s="85"/>
      <c r="O620" s="85"/>
      <c r="P620" s="85"/>
      <c r="Q620" s="85"/>
      <c r="R620" s="85"/>
      <c r="S620" s="85"/>
    </row>
    <row r="621" spans="1:19" ht="15.75">
      <c r="A621" s="174"/>
      <c r="B621" s="176"/>
      <c r="C621" s="85"/>
      <c r="D621" s="175"/>
      <c r="E621" s="175"/>
      <c r="F621" s="85"/>
      <c r="G621" s="18">
        <f>C621</f>
        <v>0</v>
      </c>
      <c r="H621" s="85"/>
      <c r="I621" s="85"/>
      <c r="J621" s="174"/>
      <c r="K621" s="173"/>
      <c r="L621" s="102"/>
      <c r="M621" s="85"/>
      <c r="N621" s="85"/>
      <c r="O621" s="85"/>
      <c r="P621" s="85"/>
      <c r="Q621" s="85"/>
      <c r="R621" s="85"/>
      <c r="S621" s="85"/>
    </row>
    <row r="622" spans="1:19" ht="15.75">
      <c r="A622" s="174"/>
      <c r="B622" s="176"/>
      <c r="C622" s="85"/>
      <c r="D622" s="175"/>
      <c r="E622" s="175"/>
      <c r="F622" s="85"/>
      <c r="G622" s="18">
        <f>C622</f>
        <v>0</v>
      </c>
      <c r="H622" s="85"/>
      <c r="I622" s="85"/>
      <c r="J622" s="174"/>
      <c r="K622" s="173"/>
      <c r="L622" s="102"/>
      <c r="M622" s="85"/>
      <c r="N622" s="85"/>
      <c r="O622" s="85"/>
      <c r="P622" s="85"/>
      <c r="Q622" s="85"/>
      <c r="R622" s="85"/>
      <c r="S622" s="85"/>
    </row>
    <row r="623" spans="1:19" ht="15.75">
      <c r="A623" s="174"/>
      <c r="B623" s="176"/>
      <c r="C623" s="85"/>
      <c r="D623" s="175"/>
      <c r="E623" s="175"/>
      <c r="F623" s="85"/>
      <c r="G623" s="18">
        <f>C623</f>
        <v>0</v>
      </c>
      <c r="H623" s="85"/>
      <c r="I623" s="85"/>
      <c r="J623" s="174"/>
      <c r="K623" s="173"/>
      <c r="L623" s="102"/>
      <c r="M623" s="85"/>
      <c r="N623" s="85"/>
      <c r="O623" s="85"/>
      <c r="P623" s="85"/>
      <c r="Q623" s="85"/>
      <c r="R623" s="85"/>
      <c r="S623" s="85"/>
    </row>
    <row r="624" spans="1:19" ht="15.75">
      <c r="A624" s="174"/>
      <c r="B624" s="176"/>
      <c r="C624" s="85"/>
      <c r="D624" s="175"/>
      <c r="E624" s="175"/>
      <c r="F624" s="85"/>
      <c r="G624" s="18">
        <f>C624</f>
        <v>0</v>
      </c>
      <c r="H624" s="85"/>
      <c r="I624" s="85"/>
      <c r="J624" s="174"/>
      <c r="K624" s="173"/>
      <c r="L624" s="102"/>
      <c r="M624" s="85"/>
      <c r="N624" s="85"/>
      <c r="O624" s="85"/>
      <c r="P624" s="85"/>
      <c r="Q624" s="85"/>
      <c r="R624" s="85"/>
      <c r="S624" s="85"/>
    </row>
    <row r="625" spans="1:19" ht="15.75">
      <c r="A625" s="174"/>
      <c r="B625" s="176"/>
      <c r="C625" s="85"/>
      <c r="D625" s="175"/>
      <c r="E625" s="175"/>
      <c r="F625" s="85"/>
      <c r="G625" s="18">
        <f>C625</f>
        <v>0</v>
      </c>
      <c r="H625" s="85"/>
      <c r="I625" s="85"/>
      <c r="J625" s="174"/>
      <c r="K625" s="173"/>
      <c r="L625" s="102"/>
      <c r="M625" s="85"/>
      <c r="N625" s="85"/>
      <c r="O625" s="85"/>
      <c r="P625" s="85"/>
      <c r="Q625" s="85"/>
      <c r="R625" s="85"/>
      <c r="S625" s="85"/>
    </row>
    <row r="626" spans="1:19" ht="15.75">
      <c r="A626" s="174"/>
      <c r="B626" s="176"/>
      <c r="C626" s="85"/>
      <c r="D626" s="175"/>
      <c r="E626" s="175"/>
      <c r="F626" s="85"/>
      <c r="G626" s="18">
        <f>C626</f>
        <v>0</v>
      </c>
      <c r="H626" s="85"/>
      <c r="I626" s="85"/>
      <c r="J626" s="174"/>
      <c r="K626" s="173"/>
      <c r="L626" s="102"/>
      <c r="M626" s="85"/>
      <c r="N626" s="85"/>
      <c r="O626" s="85"/>
      <c r="P626" s="85"/>
      <c r="Q626" s="85"/>
      <c r="R626" s="85"/>
      <c r="S626" s="85"/>
    </row>
    <row r="627" spans="1:19" ht="15.75">
      <c r="A627" s="174"/>
      <c r="B627" s="176"/>
      <c r="C627" s="85"/>
      <c r="D627" s="175"/>
      <c r="E627" s="175"/>
      <c r="F627" s="85"/>
      <c r="G627" s="18">
        <f>C627</f>
        <v>0</v>
      </c>
      <c r="H627" s="85"/>
      <c r="I627" s="85"/>
      <c r="J627" s="174"/>
      <c r="K627" s="173"/>
      <c r="L627" s="102"/>
      <c r="M627" s="85"/>
      <c r="N627" s="85"/>
      <c r="O627" s="85"/>
      <c r="P627" s="85"/>
      <c r="Q627" s="85"/>
      <c r="R627" s="85"/>
      <c r="S627" s="85"/>
    </row>
    <row r="628" spans="1:19" ht="15.75">
      <c r="A628" s="174"/>
      <c r="B628" s="176"/>
      <c r="C628" s="85"/>
      <c r="D628" s="175"/>
      <c r="E628" s="175"/>
      <c r="F628" s="85"/>
      <c r="G628" s="18">
        <f>C628</f>
        <v>0</v>
      </c>
      <c r="H628" s="85"/>
      <c r="I628" s="85"/>
      <c r="J628" s="174"/>
      <c r="K628" s="173"/>
      <c r="L628" s="102"/>
      <c r="M628" s="85"/>
      <c r="N628" s="85"/>
      <c r="O628" s="85"/>
      <c r="P628" s="85"/>
      <c r="Q628" s="85"/>
      <c r="R628" s="85"/>
      <c r="S628" s="85"/>
    </row>
    <row r="629" spans="1:19" ht="15.75">
      <c r="A629" s="174"/>
      <c r="B629" s="176"/>
      <c r="C629" s="85"/>
      <c r="D629" s="175"/>
      <c r="E629" s="175"/>
      <c r="F629" s="85"/>
      <c r="G629" s="18">
        <f>C629</f>
        <v>0</v>
      </c>
      <c r="H629" s="85"/>
      <c r="I629" s="85"/>
      <c r="J629" s="174"/>
      <c r="K629" s="173"/>
      <c r="L629" s="102"/>
      <c r="M629" s="85"/>
      <c r="N629" s="85"/>
      <c r="O629" s="85"/>
      <c r="P629" s="85"/>
      <c r="Q629" s="85"/>
      <c r="R629" s="85"/>
      <c r="S629" s="85"/>
    </row>
    <row r="630" spans="1:19" ht="15.75">
      <c r="A630" s="174"/>
      <c r="B630" s="176"/>
      <c r="C630" s="85"/>
      <c r="D630" s="175"/>
      <c r="E630" s="175"/>
      <c r="F630" s="85"/>
      <c r="G630" s="18">
        <f>C630</f>
        <v>0</v>
      </c>
      <c r="H630" s="85"/>
      <c r="I630" s="85"/>
      <c r="J630" s="174"/>
      <c r="K630" s="173"/>
      <c r="L630" s="102"/>
      <c r="M630" s="85"/>
      <c r="N630" s="85"/>
      <c r="O630" s="85"/>
      <c r="P630" s="85"/>
      <c r="Q630" s="85"/>
      <c r="R630" s="85"/>
      <c r="S630" s="85"/>
    </row>
    <row r="631" spans="1:19" ht="15.75">
      <c r="A631" s="174"/>
      <c r="B631" s="176"/>
      <c r="C631" s="85"/>
      <c r="D631" s="175"/>
      <c r="E631" s="175"/>
      <c r="F631" s="85"/>
      <c r="G631" s="18">
        <f>C631</f>
        <v>0</v>
      </c>
      <c r="H631" s="85"/>
      <c r="I631" s="85"/>
      <c r="J631" s="174"/>
      <c r="K631" s="173"/>
      <c r="L631" s="102"/>
      <c r="M631" s="85"/>
      <c r="N631" s="85"/>
      <c r="O631" s="85"/>
      <c r="P631" s="85"/>
      <c r="Q631" s="85"/>
      <c r="R631" s="85"/>
      <c r="S631" s="85"/>
    </row>
    <row r="632" spans="1:19" ht="15.75">
      <c r="A632" s="174"/>
      <c r="B632" s="176"/>
      <c r="C632" s="85"/>
      <c r="D632" s="175"/>
      <c r="E632" s="175"/>
      <c r="F632" s="85"/>
      <c r="G632" s="18">
        <f>C632</f>
        <v>0</v>
      </c>
      <c r="H632" s="85"/>
      <c r="I632" s="85"/>
      <c r="J632" s="174"/>
      <c r="K632" s="173"/>
      <c r="L632" s="102"/>
      <c r="M632" s="85"/>
      <c r="N632" s="85"/>
      <c r="O632" s="85"/>
      <c r="P632" s="85"/>
      <c r="Q632" s="85"/>
      <c r="R632" s="85"/>
      <c r="S632" s="85"/>
    </row>
    <row r="633" spans="1:19" ht="15.75">
      <c r="A633" s="174"/>
      <c r="B633" s="176"/>
      <c r="C633" s="85"/>
      <c r="D633" s="175"/>
      <c r="E633" s="175"/>
      <c r="F633" s="85"/>
      <c r="G633" s="18">
        <f>C633</f>
        <v>0</v>
      </c>
      <c r="H633" s="85"/>
      <c r="I633" s="85"/>
      <c r="J633" s="174"/>
      <c r="K633" s="173"/>
      <c r="L633" s="102"/>
      <c r="M633" s="85"/>
      <c r="N633" s="85"/>
      <c r="O633" s="85"/>
      <c r="P633" s="85"/>
      <c r="Q633" s="85"/>
      <c r="R633" s="85"/>
      <c r="S633" s="85"/>
    </row>
    <row r="634" spans="1:19" ht="15.75">
      <c r="A634" s="174"/>
      <c r="B634" s="176"/>
      <c r="C634" s="85"/>
      <c r="D634" s="175"/>
      <c r="E634" s="175"/>
      <c r="F634" s="85"/>
      <c r="G634" s="18">
        <f>C634</f>
        <v>0</v>
      </c>
      <c r="H634" s="85"/>
      <c r="I634" s="85"/>
      <c r="J634" s="174"/>
      <c r="K634" s="173"/>
      <c r="L634" s="102"/>
      <c r="M634" s="85"/>
      <c r="N634" s="85"/>
      <c r="O634" s="85"/>
      <c r="P634" s="85"/>
      <c r="Q634" s="85"/>
      <c r="R634" s="85"/>
      <c r="S634" s="85"/>
    </row>
    <row r="635" spans="1:19" ht="15.75">
      <c r="A635" s="174"/>
      <c r="B635" s="176"/>
      <c r="C635" s="85"/>
      <c r="D635" s="175"/>
      <c r="E635" s="175"/>
      <c r="F635" s="85"/>
      <c r="G635" s="18">
        <f>C635</f>
        <v>0</v>
      </c>
      <c r="H635" s="85"/>
      <c r="I635" s="85"/>
      <c r="J635" s="174"/>
      <c r="K635" s="173"/>
      <c r="L635" s="102"/>
      <c r="M635" s="85"/>
      <c r="N635" s="85"/>
      <c r="O635" s="85"/>
      <c r="P635" s="85"/>
      <c r="Q635" s="85"/>
      <c r="R635" s="85"/>
      <c r="S635" s="85"/>
    </row>
    <row r="636" spans="1:19" ht="15.75">
      <c r="A636" s="174"/>
      <c r="B636" s="176"/>
      <c r="C636" s="85"/>
      <c r="D636" s="175"/>
      <c r="E636" s="175"/>
      <c r="F636" s="85"/>
      <c r="G636" s="18">
        <f>C636</f>
        <v>0</v>
      </c>
      <c r="H636" s="85"/>
      <c r="I636" s="85"/>
      <c r="J636" s="174"/>
      <c r="K636" s="173"/>
      <c r="L636" s="102"/>
      <c r="M636" s="85"/>
      <c r="N636" s="85"/>
      <c r="O636" s="85"/>
      <c r="P636" s="85"/>
      <c r="Q636" s="85"/>
      <c r="R636" s="85"/>
      <c r="S636" s="85"/>
    </row>
    <row r="637" spans="1:19" ht="15.75">
      <c r="A637" s="174"/>
      <c r="B637" s="176"/>
      <c r="C637" s="85"/>
      <c r="D637" s="175"/>
      <c r="E637" s="175"/>
      <c r="F637" s="85"/>
      <c r="G637" s="18">
        <f>C637</f>
        <v>0</v>
      </c>
      <c r="H637" s="85"/>
      <c r="I637" s="85"/>
      <c r="J637" s="174"/>
      <c r="K637" s="173"/>
      <c r="L637" s="102"/>
      <c r="M637" s="85"/>
      <c r="N637" s="85"/>
      <c r="O637" s="85"/>
      <c r="P637" s="85"/>
      <c r="Q637" s="85"/>
      <c r="R637" s="85"/>
      <c r="S637" s="85"/>
    </row>
    <row r="638" spans="1:19" ht="15.75">
      <c r="A638" s="174"/>
      <c r="B638" s="176"/>
      <c r="C638" s="85"/>
      <c r="D638" s="175"/>
      <c r="E638" s="175"/>
      <c r="F638" s="85"/>
      <c r="G638" s="18">
        <f>C638</f>
        <v>0</v>
      </c>
      <c r="H638" s="85"/>
      <c r="I638" s="85"/>
      <c r="J638" s="174"/>
      <c r="K638" s="173"/>
      <c r="L638" s="102"/>
      <c r="M638" s="85"/>
      <c r="N638" s="85"/>
      <c r="O638" s="85"/>
      <c r="P638" s="85"/>
      <c r="Q638" s="85"/>
      <c r="R638" s="85"/>
      <c r="S638" s="85"/>
    </row>
    <row r="639" spans="1:19" ht="15.75">
      <c r="A639" s="174"/>
      <c r="B639" s="176"/>
      <c r="C639" s="85"/>
      <c r="D639" s="175"/>
      <c r="E639" s="175"/>
      <c r="F639" s="85"/>
      <c r="G639" s="18">
        <f>C639</f>
        <v>0</v>
      </c>
      <c r="H639" s="85"/>
      <c r="I639" s="85"/>
      <c r="J639" s="174"/>
      <c r="K639" s="173"/>
      <c r="L639" s="102"/>
      <c r="M639" s="85"/>
      <c r="N639" s="85"/>
      <c r="O639" s="85"/>
      <c r="P639" s="85"/>
      <c r="Q639" s="85"/>
      <c r="R639" s="85"/>
      <c r="S639" s="85"/>
    </row>
    <row r="640" spans="1:19" ht="15.75">
      <c r="A640" s="174"/>
      <c r="B640" s="176"/>
      <c r="C640" s="85"/>
      <c r="D640" s="175"/>
      <c r="E640" s="175"/>
      <c r="F640" s="85"/>
      <c r="G640" s="18">
        <f>C640</f>
        <v>0</v>
      </c>
      <c r="H640" s="85"/>
      <c r="I640" s="85"/>
      <c r="J640" s="174"/>
      <c r="K640" s="173"/>
      <c r="L640" s="102"/>
      <c r="M640" s="85"/>
      <c r="N640" s="85"/>
      <c r="O640" s="85"/>
      <c r="P640" s="85"/>
      <c r="Q640" s="85"/>
      <c r="R640" s="85"/>
      <c r="S640" s="85"/>
    </row>
    <row r="641" spans="1:19" ht="15.75">
      <c r="A641" s="174"/>
      <c r="B641" s="176"/>
      <c r="C641" s="85"/>
      <c r="D641" s="175"/>
      <c r="E641" s="175"/>
      <c r="F641" s="85"/>
      <c r="G641" s="18">
        <f>C641</f>
        <v>0</v>
      </c>
      <c r="H641" s="85"/>
      <c r="I641" s="85"/>
      <c r="J641" s="174"/>
      <c r="K641" s="173"/>
      <c r="L641" s="102"/>
      <c r="M641" s="85"/>
      <c r="N641" s="85"/>
      <c r="O641" s="85"/>
      <c r="P641" s="85"/>
      <c r="Q641" s="85"/>
      <c r="R641" s="85"/>
      <c r="S641" s="85"/>
    </row>
    <row r="642" spans="1:19" ht="15.75">
      <c r="A642" s="174"/>
      <c r="B642" s="176"/>
      <c r="C642" s="85"/>
      <c r="D642" s="175"/>
      <c r="E642" s="175"/>
      <c r="F642" s="85"/>
      <c r="G642" s="18">
        <f>C642</f>
        <v>0</v>
      </c>
      <c r="H642" s="85"/>
      <c r="I642" s="85"/>
      <c r="J642" s="174"/>
      <c r="K642" s="173"/>
      <c r="L642" s="102"/>
      <c r="M642" s="85"/>
      <c r="N642" s="85"/>
      <c r="O642" s="85"/>
      <c r="P642" s="85"/>
      <c r="Q642" s="85"/>
      <c r="R642" s="85"/>
      <c r="S642" s="85"/>
    </row>
    <row r="643" spans="1:19" ht="15.75">
      <c r="A643" s="174"/>
      <c r="B643" s="176"/>
      <c r="C643" s="85"/>
      <c r="D643" s="175"/>
      <c r="E643" s="175"/>
      <c r="F643" s="85"/>
      <c r="G643" s="18">
        <f>C643</f>
        <v>0</v>
      </c>
      <c r="H643" s="85"/>
      <c r="I643" s="85"/>
      <c r="J643" s="174"/>
      <c r="K643" s="173"/>
      <c r="L643" s="102"/>
      <c r="M643" s="85"/>
      <c r="N643" s="85"/>
      <c r="O643" s="85"/>
      <c r="P643" s="85"/>
      <c r="Q643" s="85"/>
      <c r="R643" s="85"/>
      <c r="S643" s="85"/>
    </row>
    <row r="644" spans="1:19" ht="15.75">
      <c r="A644" s="174"/>
      <c r="B644" s="176"/>
      <c r="C644" s="85"/>
      <c r="D644" s="175"/>
      <c r="E644" s="175"/>
      <c r="F644" s="85"/>
      <c r="G644" s="18">
        <f>C644</f>
        <v>0</v>
      </c>
      <c r="H644" s="85"/>
      <c r="I644" s="85"/>
      <c r="J644" s="174"/>
      <c r="K644" s="173"/>
      <c r="L644" s="102"/>
      <c r="M644" s="85"/>
      <c r="N644" s="85"/>
      <c r="O644" s="85"/>
      <c r="P644" s="85"/>
      <c r="Q644" s="85"/>
      <c r="R644" s="85"/>
      <c r="S644" s="85"/>
    </row>
    <row r="645" spans="1:19" ht="15.75">
      <c r="A645" s="174"/>
      <c r="B645" s="176"/>
      <c r="C645" s="85"/>
      <c r="D645" s="175"/>
      <c r="E645" s="175"/>
      <c r="F645" s="85"/>
      <c r="G645" s="18">
        <f>C645</f>
        <v>0</v>
      </c>
      <c r="H645" s="85"/>
      <c r="I645" s="85"/>
      <c r="J645" s="174"/>
      <c r="K645" s="173"/>
      <c r="L645" s="102"/>
      <c r="M645" s="85"/>
      <c r="N645" s="85"/>
      <c r="O645" s="85"/>
      <c r="P645" s="85"/>
      <c r="Q645" s="85"/>
      <c r="R645" s="85"/>
      <c r="S645" s="85"/>
    </row>
    <row r="646" spans="1:19" ht="15.75">
      <c r="A646" s="174"/>
      <c r="B646" s="176"/>
      <c r="C646" s="85"/>
      <c r="D646" s="175"/>
      <c r="E646" s="175"/>
      <c r="F646" s="85"/>
      <c r="G646" s="18">
        <f>C646</f>
        <v>0</v>
      </c>
      <c r="H646" s="85"/>
      <c r="I646" s="85"/>
      <c r="J646" s="174"/>
      <c r="K646" s="173"/>
      <c r="L646" s="102"/>
      <c r="M646" s="85"/>
      <c r="N646" s="85"/>
      <c r="O646" s="85"/>
      <c r="P646" s="85"/>
      <c r="Q646" s="85"/>
      <c r="R646" s="85"/>
      <c r="S646" s="85"/>
    </row>
    <row r="647" spans="1:19" ht="15.75">
      <c r="A647" s="174"/>
      <c r="B647" s="176"/>
      <c r="C647" s="85"/>
      <c r="D647" s="175"/>
      <c r="E647" s="175"/>
      <c r="F647" s="85"/>
      <c r="G647" s="18">
        <f>C647</f>
        <v>0</v>
      </c>
      <c r="H647" s="85"/>
      <c r="I647" s="85"/>
      <c r="J647" s="174"/>
      <c r="K647" s="173"/>
      <c r="L647" s="102"/>
      <c r="M647" s="85"/>
      <c r="N647" s="85"/>
      <c r="O647" s="85"/>
      <c r="P647" s="85"/>
      <c r="Q647" s="85"/>
      <c r="R647" s="85"/>
      <c r="S647" s="85"/>
    </row>
    <row r="648" spans="1:19" ht="15.75">
      <c r="A648" s="174"/>
      <c r="B648" s="176"/>
      <c r="C648" s="85"/>
      <c r="D648" s="175"/>
      <c r="E648" s="175"/>
      <c r="F648" s="85"/>
      <c r="G648" s="18">
        <f>C648</f>
        <v>0</v>
      </c>
      <c r="H648" s="85"/>
      <c r="I648" s="85"/>
      <c r="J648" s="174"/>
      <c r="K648" s="173"/>
      <c r="L648" s="102"/>
      <c r="M648" s="85"/>
      <c r="N648" s="85"/>
      <c r="O648" s="85"/>
      <c r="P648" s="85"/>
      <c r="Q648" s="85"/>
      <c r="R648" s="85"/>
      <c r="S648" s="85"/>
    </row>
    <row r="649" spans="1:19" ht="15.75">
      <c r="A649" s="174"/>
      <c r="B649" s="176"/>
      <c r="C649" s="85"/>
      <c r="D649" s="175"/>
      <c r="E649" s="175"/>
      <c r="F649" s="85"/>
      <c r="G649" s="18">
        <f>C649</f>
        <v>0</v>
      </c>
      <c r="H649" s="85"/>
      <c r="I649" s="85"/>
      <c r="J649" s="174"/>
      <c r="K649" s="173"/>
      <c r="L649" s="102"/>
      <c r="M649" s="85"/>
      <c r="N649" s="85"/>
      <c r="O649" s="85"/>
      <c r="P649" s="85"/>
      <c r="Q649" s="85"/>
      <c r="R649" s="85"/>
      <c r="S649" s="85"/>
    </row>
    <row r="650" spans="1:19" ht="15.75">
      <c r="A650" s="174"/>
      <c r="B650" s="176"/>
      <c r="C650" s="85"/>
      <c r="D650" s="175"/>
      <c r="E650" s="175"/>
      <c r="F650" s="85"/>
      <c r="G650" s="18">
        <f>C650</f>
        <v>0</v>
      </c>
      <c r="H650" s="85"/>
      <c r="I650" s="85"/>
      <c r="J650" s="174"/>
      <c r="K650" s="173"/>
      <c r="L650" s="102"/>
      <c r="M650" s="85"/>
      <c r="N650" s="85"/>
      <c r="O650" s="85"/>
      <c r="P650" s="85"/>
      <c r="Q650" s="85"/>
      <c r="R650" s="85"/>
      <c r="S650" s="85"/>
    </row>
    <row r="651" spans="1:19" ht="15.75">
      <c r="A651" s="174"/>
      <c r="B651" s="176"/>
      <c r="C651" s="85"/>
      <c r="D651" s="175"/>
      <c r="E651" s="175"/>
      <c r="F651" s="85"/>
      <c r="G651" s="18">
        <f>C651</f>
        <v>0</v>
      </c>
      <c r="H651" s="85"/>
      <c r="I651" s="85"/>
      <c r="J651" s="174"/>
      <c r="K651" s="173"/>
      <c r="L651" s="102"/>
      <c r="M651" s="85"/>
      <c r="N651" s="85"/>
      <c r="O651" s="85"/>
      <c r="P651" s="85"/>
      <c r="Q651" s="85"/>
      <c r="R651" s="85"/>
      <c r="S651" s="85"/>
    </row>
    <row r="652" spans="1:19" ht="15.75">
      <c r="A652" s="174"/>
      <c r="B652" s="176"/>
      <c r="C652" s="85"/>
      <c r="D652" s="175"/>
      <c r="E652" s="175"/>
      <c r="F652" s="85"/>
      <c r="G652" s="18">
        <f>C652</f>
        <v>0</v>
      </c>
      <c r="H652" s="85"/>
      <c r="I652" s="85"/>
      <c r="J652" s="174"/>
      <c r="K652" s="173"/>
      <c r="L652" s="102"/>
      <c r="M652" s="85"/>
      <c r="N652" s="85"/>
      <c r="O652" s="85"/>
      <c r="P652" s="85"/>
      <c r="Q652" s="85"/>
      <c r="R652" s="85"/>
      <c r="S652" s="85"/>
    </row>
    <row r="653" spans="1:19" ht="15.75">
      <c r="A653" s="174"/>
      <c r="B653" s="176"/>
      <c r="C653" s="85"/>
      <c r="D653" s="175"/>
      <c r="E653" s="175"/>
      <c r="F653" s="85"/>
      <c r="G653" s="18">
        <f>C653</f>
        <v>0</v>
      </c>
      <c r="H653" s="85"/>
      <c r="I653" s="85"/>
      <c r="J653" s="174"/>
      <c r="K653" s="173"/>
      <c r="L653" s="102"/>
      <c r="M653" s="85"/>
      <c r="N653" s="85"/>
      <c r="O653" s="85"/>
      <c r="P653" s="85"/>
      <c r="Q653" s="85"/>
      <c r="R653" s="85"/>
      <c r="S653" s="85"/>
    </row>
    <row r="654" spans="1:19" ht="15.75">
      <c r="A654" s="174"/>
      <c r="B654" s="176"/>
      <c r="C654" s="85"/>
      <c r="D654" s="175"/>
      <c r="E654" s="175"/>
      <c r="F654" s="85"/>
      <c r="G654" s="18">
        <f>C654</f>
        <v>0</v>
      </c>
      <c r="H654" s="85"/>
      <c r="I654" s="85"/>
      <c r="J654" s="174"/>
      <c r="K654" s="173"/>
      <c r="L654" s="102"/>
      <c r="M654" s="85"/>
      <c r="N654" s="85"/>
      <c r="O654" s="85"/>
      <c r="P654" s="85"/>
      <c r="Q654" s="85"/>
      <c r="R654" s="85"/>
      <c r="S654" s="85"/>
    </row>
    <row r="655" spans="1:19" ht="15.75">
      <c r="A655" s="174"/>
      <c r="B655" s="176"/>
      <c r="C655" s="85"/>
      <c r="D655" s="175"/>
      <c r="E655" s="175"/>
      <c r="F655" s="85"/>
      <c r="G655" s="18">
        <f>C655</f>
        <v>0</v>
      </c>
      <c r="H655" s="85"/>
      <c r="I655" s="85"/>
      <c r="J655" s="174"/>
      <c r="K655" s="173"/>
      <c r="L655" s="102"/>
      <c r="M655" s="85"/>
      <c r="N655" s="85"/>
      <c r="O655" s="85"/>
      <c r="P655" s="85"/>
      <c r="Q655" s="85"/>
      <c r="R655" s="85"/>
      <c r="S655" s="85"/>
    </row>
    <row r="656" spans="1:19" ht="15.75">
      <c r="A656" s="174"/>
      <c r="B656" s="176"/>
      <c r="C656" s="85"/>
      <c r="D656" s="175"/>
      <c r="E656" s="175"/>
      <c r="F656" s="85"/>
      <c r="G656" s="18">
        <f>C656</f>
        <v>0</v>
      </c>
      <c r="H656" s="85"/>
      <c r="I656" s="85"/>
      <c r="J656" s="174"/>
      <c r="K656" s="173"/>
      <c r="L656" s="102"/>
      <c r="M656" s="85"/>
      <c r="N656" s="85"/>
      <c r="O656" s="85"/>
      <c r="P656" s="85"/>
      <c r="Q656" s="85"/>
      <c r="R656" s="85"/>
      <c r="S656" s="85"/>
    </row>
    <row r="657" spans="1:19" ht="15.75">
      <c r="A657" s="174"/>
      <c r="B657" s="176"/>
      <c r="C657" s="85"/>
      <c r="D657" s="175"/>
      <c r="E657" s="175"/>
      <c r="F657" s="85"/>
      <c r="G657" s="18">
        <f>C657</f>
        <v>0</v>
      </c>
      <c r="H657" s="85"/>
      <c r="I657" s="85"/>
      <c r="J657" s="174"/>
      <c r="K657" s="173"/>
      <c r="L657" s="102"/>
      <c r="M657" s="85"/>
      <c r="N657" s="85"/>
      <c r="O657" s="85"/>
      <c r="P657" s="85"/>
      <c r="Q657" s="85"/>
      <c r="R657" s="85"/>
      <c r="S657" s="85"/>
    </row>
    <row r="658" spans="1:19" ht="15.75">
      <c r="A658" s="174"/>
      <c r="B658" s="176"/>
      <c r="C658" s="85"/>
      <c r="D658" s="175"/>
      <c r="E658" s="175"/>
      <c r="F658" s="85"/>
      <c r="G658" s="18">
        <f>C658</f>
        <v>0</v>
      </c>
      <c r="H658" s="85"/>
      <c r="I658" s="85"/>
      <c r="J658" s="174"/>
      <c r="K658" s="173"/>
      <c r="L658" s="102"/>
      <c r="M658" s="85"/>
      <c r="N658" s="85"/>
      <c r="O658" s="85"/>
      <c r="P658" s="85"/>
      <c r="Q658" s="85"/>
      <c r="R658" s="85"/>
      <c r="S658" s="85"/>
    </row>
    <row r="659" spans="1:19" ht="15.75">
      <c r="A659" s="174"/>
      <c r="B659" s="176"/>
      <c r="C659" s="85"/>
      <c r="D659" s="175"/>
      <c r="E659" s="175"/>
      <c r="F659" s="85"/>
      <c r="G659" s="18">
        <f>C659</f>
        <v>0</v>
      </c>
      <c r="H659" s="85"/>
      <c r="I659" s="85"/>
      <c r="J659" s="174"/>
      <c r="K659" s="173"/>
      <c r="L659" s="102"/>
      <c r="M659" s="85"/>
      <c r="N659" s="85"/>
      <c r="O659" s="85"/>
      <c r="P659" s="85"/>
      <c r="Q659" s="85"/>
      <c r="R659" s="85"/>
      <c r="S659" s="85"/>
    </row>
    <row r="660" spans="1:19" ht="15.75">
      <c r="A660" s="174"/>
      <c r="B660" s="176"/>
      <c r="C660" s="85"/>
      <c r="D660" s="175"/>
      <c r="E660" s="175"/>
      <c r="F660" s="85"/>
      <c r="G660" s="18">
        <f>C660</f>
        <v>0</v>
      </c>
      <c r="H660" s="85"/>
      <c r="I660" s="85"/>
      <c r="J660" s="174"/>
      <c r="K660" s="173"/>
      <c r="L660" s="102"/>
      <c r="M660" s="85"/>
      <c r="N660" s="85"/>
      <c r="O660" s="85"/>
      <c r="P660" s="85"/>
      <c r="Q660" s="85"/>
      <c r="R660" s="85"/>
      <c r="S660" s="85"/>
    </row>
    <row r="661" spans="1:19" ht="15.75">
      <c r="A661" s="174"/>
      <c r="B661" s="176"/>
      <c r="C661" s="85"/>
      <c r="D661" s="175"/>
      <c r="E661" s="175"/>
      <c r="F661" s="85"/>
      <c r="G661" s="18">
        <f>C661</f>
        <v>0</v>
      </c>
      <c r="H661" s="85"/>
      <c r="I661" s="85"/>
      <c r="J661" s="174"/>
      <c r="K661" s="173"/>
      <c r="L661" s="102"/>
      <c r="M661" s="85"/>
      <c r="N661" s="85"/>
      <c r="O661" s="85"/>
      <c r="P661" s="85"/>
      <c r="Q661" s="85"/>
      <c r="R661" s="85"/>
      <c r="S661" s="85"/>
    </row>
    <row r="662" spans="1:19" ht="15.75">
      <c r="A662" s="174"/>
      <c r="B662" s="176"/>
      <c r="C662" s="85"/>
      <c r="D662" s="175"/>
      <c r="E662" s="175"/>
      <c r="F662" s="85"/>
      <c r="G662" s="18">
        <f>C662</f>
        <v>0</v>
      </c>
      <c r="H662" s="85"/>
      <c r="I662" s="85"/>
      <c r="J662" s="174"/>
      <c r="K662" s="173"/>
      <c r="L662" s="102"/>
      <c r="M662" s="85"/>
      <c r="N662" s="85"/>
      <c r="O662" s="85"/>
      <c r="P662" s="85"/>
      <c r="Q662" s="85"/>
      <c r="R662" s="85"/>
      <c r="S662" s="85"/>
    </row>
    <row r="663" spans="1:19" ht="15.75">
      <c r="A663" s="174"/>
      <c r="B663" s="176"/>
      <c r="C663" s="85"/>
      <c r="D663" s="175"/>
      <c r="E663" s="175"/>
      <c r="F663" s="85"/>
      <c r="G663" s="18">
        <f>C663</f>
        <v>0</v>
      </c>
      <c r="H663" s="85"/>
      <c r="I663" s="85"/>
      <c r="J663" s="174"/>
      <c r="K663" s="173"/>
      <c r="L663" s="102"/>
      <c r="M663" s="85"/>
      <c r="N663" s="85"/>
      <c r="O663" s="85"/>
      <c r="P663" s="85"/>
      <c r="Q663" s="85"/>
      <c r="R663" s="85"/>
      <c r="S663" s="85"/>
    </row>
    <row r="664" spans="1:19" ht="15.75">
      <c r="A664" s="174"/>
      <c r="B664" s="176"/>
      <c r="C664" s="85"/>
      <c r="D664" s="175"/>
      <c r="E664" s="175"/>
      <c r="F664" s="85"/>
      <c r="G664" s="18">
        <f>C664</f>
        <v>0</v>
      </c>
      <c r="H664" s="85"/>
      <c r="I664" s="85"/>
      <c r="J664" s="174"/>
      <c r="K664" s="173"/>
      <c r="L664" s="102"/>
      <c r="M664" s="85"/>
      <c r="N664" s="85"/>
      <c r="O664" s="85"/>
      <c r="P664" s="85"/>
      <c r="Q664" s="85"/>
      <c r="R664" s="85"/>
      <c r="S664" s="85"/>
    </row>
    <row r="665" spans="1:19" ht="15.75">
      <c r="A665" s="174"/>
      <c r="B665" s="176"/>
      <c r="C665" s="85"/>
      <c r="D665" s="175"/>
      <c r="E665" s="175"/>
      <c r="F665" s="85"/>
      <c r="G665" s="18">
        <f>C665</f>
        <v>0</v>
      </c>
      <c r="H665" s="85"/>
      <c r="I665" s="85"/>
      <c r="J665" s="174"/>
      <c r="K665" s="173"/>
      <c r="L665" s="102"/>
      <c r="M665" s="85"/>
      <c r="N665" s="85"/>
      <c r="O665" s="85"/>
      <c r="P665" s="85"/>
      <c r="Q665" s="85"/>
      <c r="R665" s="85"/>
      <c r="S665" s="85"/>
    </row>
    <row r="666" spans="1:19" ht="15.75">
      <c r="A666" s="174"/>
      <c r="B666" s="176"/>
      <c r="C666" s="85"/>
      <c r="D666" s="175"/>
      <c r="E666" s="175"/>
      <c r="F666" s="85"/>
      <c r="G666" s="18">
        <f>C666</f>
        <v>0</v>
      </c>
      <c r="H666" s="85"/>
      <c r="I666" s="85"/>
      <c r="J666" s="174"/>
      <c r="K666" s="173"/>
      <c r="L666" s="102"/>
      <c r="M666" s="85"/>
      <c r="N666" s="85"/>
      <c r="O666" s="85"/>
      <c r="P666" s="85"/>
      <c r="Q666" s="85"/>
      <c r="R666" s="85"/>
      <c r="S666" s="85"/>
    </row>
    <row r="667" spans="1:19" ht="15.75">
      <c r="A667" s="174"/>
      <c r="B667" s="176"/>
      <c r="C667" s="85"/>
      <c r="D667" s="175"/>
      <c r="E667" s="175"/>
      <c r="F667" s="85"/>
      <c r="G667" s="18">
        <f>C667</f>
        <v>0</v>
      </c>
      <c r="H667" s="85"/>
      <c r="I667" s="85"/>
      <c r="J667" s="174"/>
      <c r="K667" s="173"/>
      <c r="L667" s="102"/>
      <c r="M667" s="85"/>
      <c r="N667" s="85"/>
      <c r="O667" s="85"/>
      <c r="P667" s="85"/>
      <c r="Q667" s="85"/>
      <c r="R667" s="85"/>
      <c r="S667" s="85"/>
    </row>
    <row r="668" spans="1:19" ht="15.75">
      <c r="A668" s="174"/>
      <c r="B668" s="176"/>
      <c r="C668" s="85"/>
      <c r="D668" s="175"/>
      <c r="E668" s="175"/>
      <c r="F668" s="85"/>
      <c r="G668" s="18">
        <f>C668</f>
        <v>0</v>
      </c>
      <c r="H668" s="85"/>
      <c r="I668" s="85"/>
      <c r="J668" s="174"/>
      <c r="K668" s="173"/>
      <c r="L668" s="102"/>
      <c r="M668" s="85"/>
      <c r="N668" s="85"/>
      <c r="O668" s="85"/>
      <c r="P668" s="85"/>
      <c r="Q668" s="85"/>
      <c r="R668" s="85"/>
      <c r="S668" s="85"/>
    </row>
    <row r="669" spans="1:19" ht="15.75">
      <c r="A669" s="174"/>
      <c r="B669" s="176"/>
      <c r="C669" s="85"/>
      <c r="D669" s="175"/>
      <c r="E669" s="175"/>
      <c r="F669" s="85"/>
      <c r="G669" s="18">
        <f>C669</f>
        <v>0</v>
      </c>
      <c r="H669" s="85"/>
      <c r="I669" s="85"/>
      <c r="J669" s="174"/>
      <c r="K669" s="173"/>
      <c r="L669" s="102"/>
      <c r="M669" s="85"/>
      <c r="N669" s="85"/>
      <c r="O669" s="85"/>
      <c r="P669" s="85"/>
      <c r="Q669" s="85"/>
      <c r="R669" s="85"/>
      <c r="S669" s="85"/>
    </row>
    <row r="670" spans="1:19" ht="15.75">
      <c r="A670" s="174"/>
      <c r="B670" s="176"/>
      <c r="C670" s="85"/>
      <c r="D670" s="175"/>
      <c r="E670" s="175"/>
      <c r="F670" s="85"/>
      <c r="G670" s="18">
        <f>C670</f>
        <v>0</v>
      </c>
      <c r="H670" s="85"/>
      <c r="I670" s="85"/>
      <c r="J670" s="174"/>
      <c r="K670" s="173"/>
      <c r="L670" s="102"/>
      <c r="M670" s="85"/>
      <c r="N670" s="85"/>
      <c r="O670" s="85"/>
      <c r="P670" s="85"/>
      <c r="Q670" s="85"/>
      <c r="R670" s="85"/>
      <c r="S670" s="85"/>
    </row>
    <row r="671" spans="1:19" ht="15.75">
      <c r="A671" s="174"/>
      <c r="B671" s="176"/>
      <c r="C671" s="85"/>
      <c r="D671" s="175"/>
      <c r="E671" s="175"/>
      <c r="F671" s="85"/>
      <c r="G671" s="18">
        <f>C671</f>
        <v>0</v>
      </c>
      <c r="H671" s="85"/>
      <c r="I671" s="85"/>
      <c r="J671" s="174"/>
      <c r="K671" s="173"/>
      <c r="L671" s="102"/>
      <c r="M671" s="85"/>
      <c r="N671" s="85"/>
      <c r="O671" s="85"/>
      <c r="P671" s="85"/>
      <c r="Q671" s="85"/>
      <c r="R671" s="85"/>
      <c r="S671" s="85"/>
    </row>
    <row r="672" spans="1:19" ht="15.75">
      <c r="A672" s="174"/>
      <c r="B672" s="176"/>
      <c r="C672" s="85"/>
      <c r="D672" s="175"/>
      <c r="E672" s="175"/>
      <c r="F672" s="85"/>
      <c r="G672" s="18">
        <f>C672</f>
        <v>0</v>
      </c>
      <c r="H672" s="85"/>
      <c r="I672" s="85"/>
      <c r="J672" s="174"/>
      <c r="K672" s="173"/>
      <c r="L672" s="102"/>
      <c r="M672" s="85"/>
      <c r="N672" s="85"/>
      <c r="O672" s="85"/>
      <c r="P672" s="85"/>
      <c r="Q672" s="85"/>
      <c r="R672" s="85"/>
      <c r="S672" s="85"/>
    </row>
    <row r="673" spans="1:19" ht="15.75">
      <c r="A673" s="174"/>
      <c r="B673" s="176"/>
      <c r="C673" s="85"/>
      <c r="D673" s="175"/>
      <c r="E673" s="175"/>
      <c r="F673" s="85"/>
      <c r="G673" s="18">
        <f>C673</f>
        <v>0</v>
      </c>
      <c r="H673" s="85"/>
      <c r="I673" s="85"/>
      <c r="J673" s="174"/>
      <c r="K673" s="173"/>
      <c r="L673" s="102"/>
      <c r="M673" s="85"/>
      <c r="N673" s="85"/>
      <c r="O673" s="85"/>
      <c r="P673" s="85"/>
      <c r="Q673" s="85"/>
      <c r="R673" s="85"/>
      <c r="S673" s="85"/>
    </row>
    <row r="674" spans="1:19" ht="15.75">
      <c r="A674" s="174"/>
      <c r="B674" s="176"/>
      <c r="C674" s="85"/>
      <c r="D674" s="175"/>
      <c r="E674" s="175"/>
      <c r="F674" s="85"/>
      <c r="G674" s="18">
        <f>C674</f>
        <v>0</v>
      </c>
      <c r="H674" s="85"/>
      <c r="I674" s="85"/>
      <c r="J674" s="174"/>
      <c r="K674" s="173"/>
      <c r="L674" s="102"/>
      <c r="M674" s="85"/>
      <c r="N674" s="85"/>
      <c r="O674" s="85"/>
      <c r="P674" s="85"/>
      <c r="Q674" s="85"/>
      <c r="R674" s="85"/>
      <c r="S674" s="85"/>
    </row>
    <row r="675" spans="1:19" ht="15.75">
      <c r="A675" s="174"/>
      <c r="B675" s="176"/>
      <c r="C675" s="85"/>
      <c r="D675" s="175"/>
      <c r="E675" s="175"/>
      <c r="F675" s="85"/>
      <c r="G675" s="18">
        <f>C675</f>
        <v>0</v>
      </c>
      <c r="H675" s="85"/>
      <c r="I675" s="85"/>
      <c r="J675" s="174"/>
      <c r="K675" s="173"/>
      <c r="L675" s="102"/>
      <c r="M675" s="85"/>
      <c r="N675" s="85"/>
      <c r="O675" s="85"/>
      <c r="P675" s="85"/>
      <c r="Q675" s="85"/>
      <c r="R675" s="85"/>
      <c r="S675" s="85"/>
    </row>
    <row r="676" spans="1:19" ht="15.75">
      <c r="A676" s="174"/>
      <c r="B676" s="176"/>
      <c r="C676" s="85"/>
      <c r="D676" s="175"/>
      <c r="E676" s="175"/>
      <c r="F676" s="85"/>
      <c r="G676" s="18">
        <f>C676</f>
        <v>0</v>
      </c>
      <c r="H676" s="85"/>
      <c r="I676" s="85"/>
      <c r="J676" s="174"/>
      <c r="K676" s="173"/>
      <c r="L676" s="102"/>
      <c r="M676" s="85"/>
      <c r="N676" s="85"/>
      <c r="O676" s="85"/>
      <c r="P676" s="85"/>
      <c r="Q676" s="85"/>
      <c r="R676" s="85"/>
      <c r="S676" s="85"/>
    </row>
    <row r="677" spans="1:19" ht="15.75">
      <c r="A677" s="174"/>
      <c r="B677" s="176"/>
      <c r="C677" s="85"/>
      <c r="D677" s="175"/>
      <c r="E677" s="175"/>
      <c r="F677" s="85"/>
      <c r="G677" s="18">
        <f>C677</f>
        <v>0</v>
      </c>
      <c r="H677" s="85"/>
      <c r="I677" s="85"/>
      <c r="J677" s="174"/>
      <c r="K677" s="173"/>
      <c r="L677" s="102"/>
      <c r="M677" s="85"/>
      <c r="N677" s="85"/>
      <c r="O677" s="85"/>
      <c r="P677" s="85"/>
      <c r="Q677" s="85"/>
      <c r="R677" s="85"/>
      <c r="S677" s="85"/>
    </row>
    <row r="678" spans="1:19" ht="15.75">
      <c r="A678" s="174"/>
      <c r="B678" s="176"/>
      <c r="C678" s="85"/>
      <c r="D678" s="175"/>
      <c r="E678" s="175"/>
      <c r="F678" s="85"/>
      <c r="G678" s="18">
        <f>C678</f>
        <v>0</v>
      </c>
      <c r="H678" s="85"/>
      <c r="I678" s="85"/>
      <c r="J678" s="174"/>
      <c r="K678" s="173"/>
      <c r="L678" s="102"/>
      <c r="M678" s="85"/>
      <c r="N678" s="85"/>
      <c r="O678" s="85"/>
      <c r="P678" s="85"/>
      <c r="Q678" s="85"/>
      <c r="R678" s="85"/>
      <c r="S678" s="85"/>
    </row>
    <row r="679" spans="1:19" ht="15.75">
      <c r="A679" s="174"/>
      <c r="B679" s="176"/>
      <c r="C679" s="85"/>
      <c r="D679" s="175"/>
      <c r="E679" s="175"/>
      <c r="F679" s="85"/>
      <c r="G679" s="18">
        <f>C679</f>
        <v>0</v>
      </c>
      <c r="H679" s="85"/>
      <c r="I679" s="85"/>
      <c r="J679" s="174"/>
      <c r="K679" s="173"/>
      <c r="L679" s="102"/>
      <c r="M679" s="85"/>
      <c r="N679" s="85"/>
      <c r="O679" s="85"/>
      <c r="P679" s="85"/>
      <c r="Q679" s="85"/>
      <c r="R679" s="85"/>
      <c r="S679" s="85"/>
    </row>
    <row r="680" spans="1:19" ht="15.75">
      <c r="A680" s="174"/>
      <c r="B680" s="176"/>
      <c r="C680" s="85"/>
      <c r="D680" s="175"/>
      <c r="E680" s="175"/>
      <c r="F680" s="85"/>
      <c r="G680" s="18">
        <f>C680</f>
        <v>0</v>
      </c>
      <c r="H680" s="85"/>
      <c r="I680" s="85"/>
      <c r="J680" s="174"/>
      <c r="K680" s="173"/>
      <c r="L680" s="102"/>
      <c r="M680" s="85"/>
      <c r="N680" s="85"/>
      <c r="O680" s="85"/>
      <c r="P680" s="85"/>
      <c r="Q680" s="85"/>
      <c r="R680" s="85"/>
      <c r="S680" s="85"/>
    </row>
    <row r="681" spans="1:19" ht="15.75">
      <c r="A681" s="174"/>
      <c r="B681" s="176"/>
      <c r="C681" s="85"/>
      <c r="D681" s="175"/>
      <c r="E681" s="175"/>
      <c r="F681" s="85"/>
      <c r="G681" s="18">
        <f>C681</f>
        <v>0</v>
      </c>
      <c r="H681" s="85"/>
      <c r="I681" s="85"/>
      <c r="J681" s="174"/>
      <c r="K681" s="173"/>
      <c r="L681" s="102"/>
      <c r="M681" s="85"/>
      <c r="N681" s="85"/>
      <c r="O681" s="85"/>
      <c r="P681" s="85"/>
      <c r="Q681" s="85"/>
      <c r="R681" s="85"/>
      <c r="S681" s="85"/>
    </row>
    <row r="682" spans="1:19" ht="15.75">
      <c r="A682" s="174"/>
      <c r="B682" s="176"/>
      <c r="C682" s="85"/>
      <c r="D682" s="175"/>
      <c r="E682" s="175"/>
      <c r="F682" s="85"/>
      <c r="G682" s="18">
        <f>C682</f>
        <v>0</v>
      </c>
      <c r="H682" s="85"/>
      <c r="I682" s="85"/>
      <c r="J682" s="174"/>
      <c r="K682" s="173"/>
      <c r="L682" s="102"/>
      <c r="M682" s="85"/>
      <c r="N682" s="85"/>
      <c r="O682" s="85"/>
      <c r="P682" s="85"/>
      <c r="Q682" s="85"/>
      <c r="R682" s="85"/>
      <c r="S682" s="85"/>
    </row>
    <row r="683" spans="1:19" ht="15.75">
      <c r="A683" s="174"/>
      <c r="B683" s="176"/>
      <c r="C683" s="85"/>
      <c r="D683" s="175"/>
      <c r="E683" s="175"/>
      <c r="F683" s="85"/>
      <c r="G683" s="18">
        <f>C683</f>
        <v>0</v>
      </c>
      <c r="H683" s="85"/>
      <c r="I683" s="85"/>
      <c r="J683" s="174"/>
      <c r="K683" s="173"/>
      <c r="L683" s="102"/>
      <c r="M683" s="85"/>
      <c r="N683" s="85"/>
      <c r="O683" s="85"/>
      <c r="P683" s="85"/>
      <c r="Q683" s="85"/>
      <c r="R683" s="85"/>
      <c r="S683" s="85"/>
    </row>
    <row r="684" spans="1:19" ht="15.75">
      <c r="A684" s="174"/>
      <c r="B684" s="176"/>
      <c r="C684" s="85"/>
      <c r="D684" s="175"/>
      <c r="E684" s="175"/>
      <c r="F684" s="85"/>
      <c r="G684" s="18">
        <f>C684</f>
        <v>0</v>
      </c>
      <c r="H684" s="85"/>
      <c r="I684" s="85"/>
      <c r="J684" s="174"/>
      <c r="K684" s="173"/>
      <c r="L684" s="102"/>
      <c r="M684" s="85"/>
      <c r="N684" s="85"/>
      <c r="O684" s="85"/>
      <c r="P684" s="85"/>
      <c r="Q684" s="85"/>
      <c r="R684" s="85"/>
      <c r="S684" s="85"/>
    </row>
    <row r="685" spans="1:19" ht="15.75">
      <c r="A685" s="174"/>
      <c r="B685" s="176"/>
      <c r="C685" s="85"/>
      <c r="D685" s="175"/>
      <c r="E685" s="175"/>
      <c r="F685" s="85"/>
      <c r="G685" s="18">
        <f>C685</f>
        <v>0</v>
      </c>
      <c r="H685" s="85"/>
      <c r="I685" s="85"/>
      <c r="J685" s="174"/>
      <c r="K685" s="173"/>
      <c r="L685" s="102"/>
      <c r="M685" s="85"/>
      <c r="N685" s="85"/>
      <c r="O685" s="85"/>
      <c r="P685" s="85"/>
      <c r="Q685" s="85"/>
      <c r="R685" s="85"/>
      <c r="S685" s="85"/>
    </row>
    <row r="686" spans="1:19" ht="15.75">
      <c r="A686" s="174"/>
      <c r="B686" s="176"/>
      <c r="C686" s="85"/>
      <c r="D686" s="175"/>
      <c r="E686" s="175"/>
      <c r="F686" s="85"/>
      <c r="G686" s="18">
        <f>C686</f>
        <v>0</v>
      </c>
      <c r="H686" s="85"/>
      <c r="I686" s="85"/>
      <c r="J686" s="174"/>
      <c r="K686" s="173"/>
      <c r="L686" s="102"/>
      <c r="M686" s="85"/>
      <c r="N686" s="85"/>
      <c r="O686" s="85"/>
      <c r="P686" s="85"/>
      <c r="Q686" s="85"/>
      <c r="R686" s="85"/>
      <c r="S686" s="85"/>
    </row>
    <row r="687" spans="1:19" ht="15.75">
      <c r="A687" s="174"/>
      <c r="B687" s="176"/>
      <c r="C687" s="85"/>
      <c r="D687" s="175"/>
      <c r="E687" s="175"/>
      <c r="F687" s="85"/>
      <c r="G687" s="18">
        <f>C687</f>
        <v>0</v>
      </c>
      <c r="H687" s="85"/>
      <c r="I687" s="85"/>
      <c r="J687" s="174"/>
      <c r="K687" s="173"/>
      <c r="L687" s="102"/>
      <c r="M687" s="85"/>
      <c r="N687" s="85"/>
      <c r="O687" s="85"/>
      <c r="P687" s="85"/>
      <c r="Q687" s="85"/>
      <c r="R687" s="85"/>
      <c r="S687" s="85"/>
    </row>
    <row r="688" spans="1:19" ht="15.75">
      <c r="A688" s="174"/>
      <c r="B688" s="176"/>
      <c r="C688" s="85"/>
      <c r="D688" s="175"/>
      <c r="E688" s="175"/>
      <c r="F688" s="85"/>
      <c r="G688" s="18">
        <f>C688</f>
        <v>0</v>
      </c>
      <c r="H688" s="85"/>
      <c r="I688" s="85"/>
      <c r="J688" s="174"/>
      <c r="K688" s="173"/>
      <c r="L688" s="102"/>
      <c r="M688" s="85"/>
      <c r="N688" s="85"/>
      <c r="O688" s="85"/>
      <c r="P688" s="85"/>
      <c r="Q688" s="85"/>
      <c r="R688" s="85"/>
      <c r="S688" s="85"/>
    </row>
    <row r="689" spans="1:19" ht="15.75">
      <c r="A689" s="174"/>
      <c r="B689" s="176"/>
      <c r="C689" s="85"/>
      <c r="D689" s="175"/>
      <c r="E689" s="175"/>
      <c r="F689" s="85"/>
      <c r="G689" s="18">
        <f>C689</f>
        <v>0</v>
      </c>
      <c r="H689" s="85"/>
      <c r="I689" s="85"/>
      <c r="J689" s="174"/>
      <c r="K689" s="173"/>
      <c r="L689" s="102"/>
      <c r="M689" s="85"/>
      <c r="N689" s="85"/>
      <c r="O689" s="85"/>
      <c r="P689" s="85"/>
      <c r="Q689" s="85"/>
      <c r="R689" s="85"/>
      <c r="S689" s="85"/>
    </row>
    <row r="690" spans="1:19" ht="15.75">
      <c r="A690" s="174"/>
      <c r="B690" s="176"/>
      <c r="C690" s="85"/>
      <c r="D690" s="175"/>
      <c r="E690" s="175"/>
      <c r="F690" s="85"/>
      <c r="G690" s="18">
        <f>C690</f>
        <v>0</v>
      </c>
      <c r="H690" s="85"/>
      <c r="I690" s="85"/>
      <c r="J690" s="174"/>
      <c r="K690" s="173"/>
      <c r="L690" s="102"/>
      <c r="M690" s="85"/>
      <c r="N690" s="85"/>
      <c r="O690" s="85"/>
      <c r="P690" s="85"/>
      <c r="Q690" s="85"/>
      <c r="R690" s="85"/>
      <c r="S690" s="85"/>
    </row>
    <row r="691" spans="1:19" ht="15.75">
      <c r="A691" s="174"/>
      <c r="B691" s="176"/>
      <c r="C691" s="85"/>
      <c r="D691" s="175"/>
      <c r="E691" s="175"/>
      <c r="F691" s="85"/>
      <c r="G691" s="18">
        <f>C691</f>
        <v>0</v>
      </c>
      <c r="H691" s="85"/>
      <c r="I691" s="85"/>
      <c r="J691" s="174"/>
      <c r="K691" s="173"/>
      <c r="L691" s="102"/>
      <c r="M691" s="85"/>
      <c r="N691" s="85"/>
      <c r="O691" s="85"/>
      <c r="P691" s="85"/>
      <c r="Q691" s="85"/>
      <c r="R691" s="85"/>
      <c r="S691" s="85"/>
    </row>
    <row r="692" spans="1:19" ht="15.75">
      <c r="A692" s="174"/>
      <c r="B692" s="176"/>
      <c r="C692" s="85"/>
      <c r="D692" s="175"/>
      <c r="E692" s="175"/>
      <c r="F692" s="85"/>
      <c r="G692" s="18">
        <f>C692</f>
        <v>0</v>
      </c>
      <c r="H692" s="85"/>
      <c r="I692" s="85"/>
      <c r="J692" s="174"/>
      <c r="K692" s="173"/>
      <c r="L692" s="102"/>
      <c r="M692" s="85"/>
      <c r="N692" s="85"/>
      <c r="O692" s="85"/>
      <c r="P692" s="85"/>
      <c r="Q692" s="85"/>
      <c r="R692" s="85"/>
      <c r="S692" s="85"/>
    </row>
    <row r="693" spans="1:19" ht="15.75">
      <c r="A693" s="174"/>
      <c r="B693" s="176"/>
      <c r="C693" s="85"/>
      <c r="D693" s="175"/>
      <c r="E693" s="175"/>
      <c r="F693" s="85"/>
      <c r="G693" s="18">
        <f>C693</f>
        <v>0</v>
      </c>
      <c r="H693" s="85"/>
      <c r="I693" s="85"/>
      <c r="J693" s="174"/>
      <c r="K693" s="173"/>
      <c r="L693" s="102"/>
      <c r="M693" s="85"/>
      <c r="N693" s="85"/>
      <c r="O693" s="85"/>
      <c r="P693" s="85"/>
      <c r="Q693" s="85"/>
      <c r="R693" s="85"/>
      <c r="S693" s="85"/>
    </row>
    <row r="694" spans="1:19" ht="15.75">
      <c r="A694" s="174"/>
      <c r="B694" s="176"/>
      <c r="C694" s="85"/>
      <c r="D694" s="175"/>
      <c r="E694" s="175"/>
      <c r="F694" s="85"/>
      <c r="G694" s="18">
        <f>C694</f>
        <v>0</v>
      </c>
      <c r="H694" s="85"/>
      <c r="I694" s="85"/>
      <c r="J694" s="174"/>
      <c r="K694" s="173"/>
      <c r="L694" s="102"/>
      <c r="M694" s="85"/>
      <c r="N694" s="85"/>
      <c r="O694" s="85"/>
      <c r="P694" s="85"/>
      <c r="Q694" s="85"/>
      <c r="R694" s="85"/>
      <c r="S694" s="85"/>
    </row>
    <row r="695" spans="1:19" ht="15.75">
      <c r="A695" s="174"/>
      <c r="B695" s="176"/>
      <c r="C695" s="85"/>
      <c r="D695" s="175"/>
      <c r="E695" s="175"/>
      <c r="F695" s="85"/>
      <c r="G695" s="18">
        <f>C695</f>
        <v>0</v>
      </c>
      <c r="H695" s="85"/>
      <c r="I695" s="85"/>
      <c r="J695" s="174"/>
      <c r="K695" s="173"/>
      <c r="L695" s="102"/>
      <c r="M695" s="85"/>
      <c r="N695" s="85"/>
      <c r="O695" s="85"/>
      <c r="P695" s="85"/>
      <c r="Q695" s="85"/>
      <c r="R695" s="85"/>
      <c r="S695" s="85"/>
    </row>
    <row r="696" spans="1:19" ht="15.75">
      <c r="A696" s="174"/>
      <c r="B696" s="176"/>
      <c r="C696" s="85"/>
      <c r="D696" s="175"/>
      <c r="E696" s="175"/>
      <c r="F696" s="85"/>
      <c r="G696" s="18">
        <f>C696</f>
        <v>0</v>
      </c>
      <c r="H696" s="85"/>
      <c r="I696" s="85"/>
      <c r="J696" s="174"/>
      <c r="K696" s="173"/>
      <c r="L696" s="102"/>
      <c r="M696" s="85"/>
      <c r="N696" s="85"/>
      <c r="O696" s="85"/>
      <c r="P696" s="85"/>
      <c r="Q696" s="85"/>
      <c r="R696" s="85"/>
      <c r="S696" s="85"/>
    </row>
    <row r="697" spans="1:19" ht="15.75">
      <c r="A697" s="174"/>
      <c r="B697" s="176"/>
      <c r="C697" s="85"/>
      <c r="D697" s="175"/>
      <c r="E697" s="175"/>
      <c r="F697" s="85"/>
      <c r="G697" s="18">
        <f>C697</f>
        <v>0</v>
      </c>
      <c r="H697" s="85"/>
      <c r="I697" s="85"/>
      <c r="J697" s="174"/>
      <c r="K697" s="173"/>
      <c r="L697" s="102"/>
      <c r="M697" s="85"/>
      <c r="N697" s="85"/>
      <c r="O697" s="85"/>
      <c r="P697" s="85"/>
      <c r="Q697" s="85"/>
      <c r="R697" s="85"/>
      <c r="S697" s="85"/>
    </row>
    <row r="698" spans="1:19" ht="15.75">
      <c r="A698" s="174"/>
      <c r="B698" s="176"/>
      <c r="C698" s="85"/>
      <c r="D698" s="175"/>
      <c r="E698" s="175"/>
      <c r="F698" s="85"/>
      <c r="G698" s="18">
        <f>C698</f>
        <v>0</v>
      </c>
      <c r="H698" s="85"/>
      <c r="I698" s="85"/>
      <c r="J698" s="174"/>
      <c r="K698" s="173"/>
      <c r="L698" s="102"/>
      <c r="M698" s="85"/>
      <c r="N698" s="85"/>
      <c r="O698" s="85"/>
      <c r="P698" s="85"/>
      <c r="Q698" s="85"/>
      <c r="R698" s="85"/>
      <c r="S698" s="85"/>
    </row>
    <row r="699" spans="1:19" ht="15.75">
      <c r="A699" s="174"/>
      <c r="B699" s="176"/>
      <c r="C699" s="85"/>
      <c r="D699" s="175"/>
      <c r="E699" s="175"/>
      <c r="F699" s="85"/>
      <c r="G699" s="18">
        <f>C699</f>
        <v>0</v>
      </c>
      <c r="H699" s="85"/>
      <c r="I699" s="85"/>
      <c r="J699" s="174"/>
      <c r="K699" s="173"/>
      <c r="L699" s="102"/>
      <c r="M699" s="85"/>
      <c r="N699" s="85"/>
      <c r="O699" s="85"/>
      <c r="P699" s="85"/>
      <c r="Q699" s="85"/>
      <c r="R699" s="85"/>
      <c r="S699" s="85"/>
    </row>
    <row r="700" spans="1:19" ht="15.75">
      <c r="A700" s="174"/>
      <c r="B700" s="176"/>
      <c r="C700" s="85"/>
      <c r="D700" s="175"/>
      <c r="E700" s="175"/>
      <c r="F700" s="85"/>
      <c r="G700" s="18">
        <f>C700</f>
        <v>0</v>
      </c>
      <c r="H700" s="85"/>
      <c r="I700" s="85"/>
      <c r="J700" s="174"/>
      <c r="K700" s="173"/>
      <c r="L700" s="102"/>
      <c r="M700" s="85"/>
      <c r="N700" s="85"/>
      <c r="O700" s="85"/>
      <c r="P700" s="85"/>
      <c r="Q700" s="85"/>
      <c r="R700" s="85"/>
      <c r="S700" s="85"/>
    </row>
    <row r="701" spans="1:19" ht="15.75">
      <c r="A701" s="174"/>
      <c r="B701" s="176"/>
      <c r="C701" s="85"/>
      <c r="D701" s="175"/>
      <c r="E701" s="175"/>
      <c r="F701" s="85"/>
      <c r="G701" s="18">
        <f>C701</f>
        <v>0</v>
      </c>
      <c r="H701" s="85"/>
      <c r="I701" s="85"/>
      <c r="J701" s="174"/>
      <c r="K701" s="173"/>
      <c r="L701" s="102"/>
      <c r="M701" s="85"/>
      <c r="N701" s="85"/>
      <c r="O701" s="85"/>
      <c r="P701" s="85"/>
      <c r="Q701" s="85"/>
      <c r="R701" s="85"/>
      <c r="S701" s="85"/>
    </row>
    <row r="702" spans="1:19" ht="15.75">
      <c r="A702" s="174"/>
      <c r="B702" s="176"/>
      <c r="C702" s="85"/>
      <c r="D702" s="175"/>
      <c r="E702" s="175"/>
      <c r="F702" s="85"/>
      <c r="G702" s="18">
        <f>C702</f>
        <v>0</v>
      </c>
      <c r="H702" s="85"/>
      <c r="I702" s="85"/>
      <c r="J702" s="174"/>
      <c r="K702" s="173"/>
      <c r="L702" s="102"/>
      <c r="M702" s="85"/>
      <c r="N702" s="85"/>
      <c r="O702" s="85"/>
      <c r="P702" s="85"/>
      <c r="Q702" s="85"/>
      <c r="R702" s="85"/>
      <c r="S702" s="85"/>
    </row>
    <row r="703" spans="1:19" ht="15.75">
      <c r="A703" s="174"/>
      <c r="B703" s="176"/>
      <c r="C703" s="85"/>
      <c r="D703" s="175"/>
      <c r="E703" s="175"/>
      <c r="F703" s="85"/>
      <c r="G703" s="18">
        <f>C703</f>
        <v>0</v>
      </c>
      <c r="H703" s="85"/>
      <c r="I703" s="85"/>
      <c r="J703" s="174"/>
      <c r="K703" s="173"/>
      <c r="L703" s="102"/>
      <c r="M703" s="85"/>
      <c r="N703" s="85"/>
      <c r="O703" s="85"/>
      <c r="P703" s="85"/>
      <c r="Q703" s="85"/>
      <c r="R703" s="85"/>
      <c r="S703" s="85"/>
    </row>
    <row r="704" spans="1:19" ht="15.75">
      <c r="A704" s="174"/>
      <c r="B704" s="176"/>
      <c r="C704" s="85"/>
      <c r="D704" s="175"/>
      <c r="E704" s="175"/>
      <c r="F704" s="85"/>
      <c r="G704" s="18">
        <f>C704</f>
        <v>0</v>
      </c>
      <c r="H704" s="85"/>
      <c r="I704" s="85"/>
      <c r="J704" s="174"/>
      <c r="K704" s="173"/>
      <c r="L704" s="102"/>
      <c r="M704" s="85"/>
      <c r="N704" s="85"/>
      <c r="O704" s="85"/>
      <c r="P704" s="85"/>
      <c r="Q704" s="85"/>
      <c r="R704" s="85"/>
      <c r="S704" s="85"/>
    </row>
    <row r="705" spans="1:19" ht="15.75">
      <c r="A705" s="174"/>
      <c r="B705" s="176"/>
      <c r="C705" s="85"/>
      <c r="D705" s="175"/>
      <c r="E705" s="175"/>
      <c r="F705" s="85"/>
      <c r="G705" s="18">
        <f>C705</f>
        <v>0</v>
      </c>
      <c r="H705" s="85"/>
      <c r="I705" s="85"/>
      <c r="J705" s="174"/>
      <c r="K705" s="173"/>
      <c r="L705" s="102"/>
      <c r="M705" s="85"/>
      <c r="N705" s="85"/>
      <c r="O705" s="85"/>
      <c r="P705" s="85"/>
      <c r="Q705" s="85"/>
      <c r="R705" s="85"/>
      <c r="S705" s="85"/>
    </row>
    <row r="706" spans="1:19" ht="15.75">
      <c r="A706" s="174"/>
      <c r="B706" s="176"/>
      <c r="C706" s="85"/>
      <c r="D706" s="175"/>
      <c r="E706" s="175"/>
      <c r="F706" s="85"/>
      <c r="G706" s="18">
        <f>C706</f>
        <v>0</v>
      </c>
      <c r="H706" s="85"/>
      <c r="I706" s="85"/>
      <c r="J706" s="174"/>
      <c r="K706" s="173"/>
      <c r="L706" s="102"/>
      <c r="M706" s="85"/>
      <c r="N706" s="85"/>
      <c r="O706" s="85"/>
      <c r="P706" s="85"/>
      <c r="Q706" s="85"/>
      <c r="R706" s="85"/>
      <c r="S706" s="85"/>
    </row>
    <row r="707" spans="1:19" ht="15.75">
      <c r="A707" s="174"/>
      <c r="B707" s="176"/>
      <c r="C707" s="85"/>
      <c r="D707" s="175"/>
      <c r="E707" s="175"/>
      <c r="F707" s="85"/>
      <c r="G707" s="18">
        <f>C707</f>
        <v>0</v>
      </c>
      <c r="H707" s="85"/>
      <c r="I707" s="85"/>
      <c r="J707" s="174"/>
      <c r="K707" s="173"/>
      <c r="L707" s="102"/>
      <c r="M707" s="85"/>
      <c r="N707" s="85"/>
      <c r="O707" s="85"/>
      <c r="P707" s="85"/>
      <c r="Q707" s="85"/>
      <c r="R707" s="85"/>
      <c r="S707" s="85"/>
    </row>
    <row r="708" spans="1:19" ht="15.75">
      <c r="A708" s="174"/>
      <c r="B708" s="176"/>
      <c r="C708" s="85"/>
      <c r="D708" s="175"/>
      <c r="E708" s="175"/>
      <c r="F708" s="85"/>
      <c r="G708" s="18">
        <f>C708</f>
        <v>0</v>
      </c>
      <c r="H708" s="85"/>
      <c r="I708" s="85"/>
      <c r="J708" s="174"/>
      <c r="K708" s="173"/>
      <c r="L708" s="102"/>
      <c r="M708" s="85"/>
      <c r="N708" s="85"/>
      <c r="O708" s="85"/>
      <c r="P708" s="85"/>
      <c r="Q708" s="85"/>
      <c r="R708" s="85"/>
      <c r="S708" s="85"/>
    </row>
    <row r="709" spans="1:19" ht="15.75">
      <c r="A709" s="174"/>
      <c r="B709" s="176"/>
      <c r="C709" s="85"/>
      <c r="D709" s="175"/>
      <c r="E709" s="175"/>
      <c r="F709" s="85"/>
      <c r="G709" s="18">
        <f>C709</f>
        <v>0</v>
      </c>
      <c r="H709" s="85"/>
      <c r="I709" s="85"/>
      <c r="J709" s="174"/>
      <c r="K709" s="173"/>
      <c r="L709" s="102"/>
      <c r="M709" s="85"/>
      <c r="N709" s="85"/>
      <c r="O709" s="85"/>
      <c r="P709" s="85"/>
      <c r="Q709" s="85"/>
      <c r="R709" s="85"/>
      <c r="S709" s="85"/>
    </row>
    <row r="710" spans="1:19" ht="15.75">
      <c r="A710" s="174"/>
      <c r="B710" s="176"/>
      <c r="C710" s="85"/>
      <c r="D710" s="175"/>
      <c r="E710" s="175"/>
      <c r="F710" s="85"/>
      <c r="G710" s="18">
        <f>C710</f>
        <v>0</v>
      </c>
      <c r="H710" s="85"/>
      <c r="I710" s="85"/>
      <c r="J710" s="174"/>
      <c r="K710" s="173"/>
      <c r="L710" s="102"/>
      <c r="M710" s="85"/>
      <c r="N710" s="85"/>
      <c r="O710" s="85"/>
      <c r="P710" s="85"/>
      <c r="Q710" s="85"/>
      <c r="R710" s="85"/>
      <c r="S710" s="85"/>
    </row>
    <row r="711" spans="1:19" ht="15.75">
      <c r="A711" s="174"/>
      <c r="B711" s="176"/>
      <c r="C711" s="85"/>
      <c r="D711" s="175"/>
      <c r="E711" s="175"/>
      <c r="F711" s="85"/>
      <c r="G711" s="18">
        <f>C711</f>
        <v>0</v>
      </c>
      <c r="H711" s="85"/>
      <c r="I711" s="85"/>
      <c r="J711" s="174"/>
      <c r="K711" s="173"/>
      <c r="L711" s="102"/>
      <c r="M711" s="85"/>
      <c r="N711" s="85"/>
      <c r="O711" s="85"/>
      <c r="P711" s="85"/>
      <c r="Q711" s="85"/>
      <c r="R711" s="85"/>
      <c r="S711" s="85"/>
    </row>
    <row r="712" spans="1:19" ht="15.75">
      <c r="A712" s="174"/>
      <c r="B712" s="176"/>
      <c r="C712" s="85"/>
      <c r="D712" s="175"/>
      <c r="E712" s="175"/>
      <c r="F712" s="85"/>
      <c r="G712" s="18">
        <f>C712</f>
        <v>0</v>
      </c>
      <c r="H712" s="85"/>
      <c r="I712" s="85"/>
      <c r="J712" s="174"/>
      <c r="K712" s="173"/>
      <c r="L712" s="102"/>
      <c r="M712" s="85"/>
      <c r="N712" s="85"/>
      <c r="O712" s="85"/>
      <c r="P712" s="85"/>
      <c r="Q712" s="85"/>
      <c r="R712" s="85"/>
      <c r="S712" s="85"/>
    </row>
    <row r="713" spans="1:19" ht="15.75">
      <c r="A713" s="174"/>
      <c r="B713" s="176"/>
      <c r="C713" s="85"/>
      <c r="D713" s="175"/>
      <c r="E713" s="175"/>
      <c r="F713" s="85"/>
      <c r="G713" s="18">
        <f>C713</f>
        <v>0</v>
      </c>
      <c r="H713" s="85"/>
      <c r="I713" s="85"/>
      <c r="J713" s="174"/>
      <c r="K713" s="173"/>
      <c r="L713" s="102"/>
      <c r="M713" s="85"/>
      <c r="N713" s="85"/>
      <c r="O713" s="85"/>
      <c r="P713" s="85"/>
      <c r="Q713" s="85"/>
      <c r="R713" s="85"/>
      <c r="S713" s="85"/>
    </row>
    <row r="714" spans="1:19" ht="15.75">
      <c r="A714" s="174"/>
      <c r="B714" s="176"/>
      <c r="C714" s="85"/>
      <c r="D714" s="175"/>
      <c r="E714" s="175"/>
      <c r="F714" s="85"/>
      <c r="G714" s="18">
        <f>C714</f>
        <v>0</v>
      </c>
      <c r="H714" s="85"/>
      <c r="I714" s="85"/>
      <c r="J714" s="174"/>
      <c r="K714" s="173"/>
      <c r="L714" s="102"/>
      <c r="M714" s="85"/>
      <c r="N714" s="85"/>
      <c r="O714" s="85"/>
      <c r="P714" s="85"/>
      <c r="Q714" s="85"/>
      <c r="R714" s="85"/>
      <c r="S714" s="85"/>
    </row>
    <row r="715" spans="1:19" ht="15.75">
      <c r="A715" s="174"/>
      <c r="B715" s="176"/>
      <c r="C715" s="85"/>
      <c r="D715" s="175"/>
      <c r="E715" s="175"/>
      <c r="F715" s="85"/>
      <c r="G715" s="18">
        <f>C715</f>
        <v>0</v>
      </c>
      <c r="H715" s="85"/>
      <c r="I715" s="85"/>
      <c r="J715" s="174"/>
      <c r="K715" s="173"/>
      <c r="L715" s="102"/>
      <c r="M715" s="85"/>
      <c r="N715" s="85"/>
      <c r="O715" s="85"/>
      <c r="P715" s="85"/>
      <c r="Q715" s="85"/>
      <c r="R715" s="85"/>
      <c r="S715" s="85"/>
    </row>
    <row r="716" spans="1:19" ht="15.75">
      <c r="A716" s="174"/>
      <c r="B716" s="176"/>
      <c r="C716" s="85"/>
      <c r="D716" s="175"/>
      <c r="E716" s="175"/>
      <c r="F716" s="85"/>
      <c r="G716" s="18">
        <f>C716</f>
        <v>0</v>
      </c>
      <c r="H716" s="85"/>
      <c r="I716" s="85"/>
      <c r="J716" s="174"/>
      <c r="K716" s="173"/>
      <c r="L716" s="102"/>
      <c r="M716" s="85"/>
      <c r="N716" s="85"/>
      <c r="O716" s="85"/>
      <c r="P716" s="85"/>
      <c r="Q716" s="85"/>
      <c r="R716" s="85"/>
      <c r="S716" s="85"/>
    </row>
    <row r="717" spans="1:19" ht="15.75">
      <c r="A717" s="174"/>
      <c r="B717" s="176"/>
      <c r="C717" s="85"/>
      <c r="D717" s="175"/>
      <c r="E717" s="175"/>
      <c r="F717" s="85"/>
      <c r="G717" s="18">
        <f>C717</f>
        <v>0</v>
      </c>
      <c r="H717" s="85"/>
      <c r="I717" s="85"/>
      <c r="J717" s="174"/>
      <c r="K717" s="173"/>
      <c r="L717" s="102"/>
      <c r="M717" s="85"/>
      <c r="N717" s="85"/>
      <c r="O717" s="85"/>
      <c r="P717" s="85"/>
      <c r="Q717" s="85"/>
      <c r="R717" s="85"/>
      <c r="S717" s="85"/>
    </row>
    <row r="718" spans="1:19" ht="15.75">
      <c r="A718" s="174"/>
      <c r="B718" s="176"/>
      <c r="C718" s="85"/>
      <c r="D718" s="175"/>
      <c r="E718" s="175"/>
      <c r="F718" s="85"/>
      <c r="G718" s="18">
        <f>C718</f>
        <v>0</v>
      </c>
      <c r="H718" s="85"/>
      <c r="I718" s="85"/>
      <c r="J718" s="174"/>
      <c r="K718" s="173"/>
      <c r="L718" s="102"/>
      <c r="M718" s="85"/>
      <c r="N718" s="85"/>
      <c r="O718" s="85"/>
      <c r="P718" s="85"/>
      <c r="Q718" s="85"/>
      <c r="R718" s="85"/>
      <c r="S718" s="85"/>
    </row>
    <row r="719" spans="1:19" ht="15.75">
      <c r="A719" s="174"/>
      <c r="B719" s="176"/>
      <c r="C719" s="85"/>
      <c r="D719" s="175"/>
      <c r="E719" s="175"/>
      <c r="F719" s="85"/>
      <c r="G719" s="18">
        <f>C719</f>
        <v>0</v>
      </c>
      <c r="H719" s="85"/>
      <c r="I719" s="85"/>
      <c r="J719" s="174"/>
      <c r="K719" s="173"/>
      <c r="L719" s="102"/>
      <c r="M719" s="85"/>
      <c r="N719" s="85"/>
      <c r="O719" s="85"/>
      <c r="P719" s="85"/>
      <c r="Q719" s="85"/>
      <c r="R719" s="85"/>
      <c r="S719" s="85"/>
    </row>
    <row r="720" spans="1:19" ht="15.75">
      <c r="A720" s="174"/>
      <c r="B720" s="176"/>
      <c r="C720" s="85"/>
      <c r="D720" s="175"/>
      <c r="E720" s="175"/>
      <c r="F720" s="85"/>
      <c r="G720" s="18">
        <f>C720</f>
        <v>0</v>
      </c>
      <c r="H720" s="85"/>
      <c r="I720" s="85"/>
      <c r="J720" s="174"/>
      <c r="K720" s="173"/>
      <c r="L720" s="102"/>
      <c r="M720" s="85"/>
      <c r="N720" s="85"/>
      <c r="O720" s="85"/>
      <c r="P720" s="85"/>
      <c r="Q720" s="85"/>
      <c r="R720" s="85"/>
      <c r="S720" s="85"/>
    </row>
    <row r="721" spans="1:19" ht="15.75">
      <c r="A721" s="174"/>
      <c r="B721" s="176"/>
      <c r="C721" s="85"/>
      <c r="D721" s="175"/>
      <c r="E721" s="175"/>
      <c r="F721" s="85"/>
      <c r="G721" s="18">
        <f>C721</f>
        <v>0</v>
      </c>
      <c r="H721" s="85"/>
      <c r="I721" s="85"/>
      <c r="J721" s="174"/>
      <c r="K721" s="173"/>
      <c r="L721" s="102"/>
      <c r="M721" s="85"/>
      <c r="N721" s="85"/>
      <c r="O721" s="85"/>
      <c r="P721" s="85"/>
      <c r="Q721" s="85"/>
      <c r="R721" s="85"/>
      <c r="S721" s="85"/>
    </row>
    <row r="722" spans="1:19" ht="15.75">
      <c r="A722" s="174"/>
      <c r="B722" s="176"/>
      <c r="C722" s="85"/>
      <c r="D722" s="175"/>
      <c r="E722" s="175"/>
      <c r="F722" s="85"/>
      <c r="G722" s="18">
        <f>C722</f>
        <v>0</v>
      </c>
      <c r="H722" s="85"/>
      <c r="I722" s="85"/>
      <c r="J722" s="174"/>
      <c r="K722" s="173"/>
      <c r="L722" s="102"/>
      <c r="M722" s="85"/>
      <c r="N722" s="85"/>
      <c r="O722" s="85"/>
      <c r="P722" s="85"/>
      <c r="Q722" s="85"/>
      <c r="R722" s="85"/>
      <c r="S722" s="85"/>
    </row>
    <row r="723" spans="1:19" ht="15.75">
      <c r="A723" s="174"/>
      <c r="B723" s="176"/>
      <c r="C723" s="85"/>
      <c r="D723" s="175"/>
      <c r="E723" s="175"/>
      <c r="F723" s="85"/>
      <c r="G723" s="18">
        <f>C723</f>
        <v>0</v>
      </c>
      <c r="H723" s="85"/>
      <c r="I723" s="85"/>
      <c r="J723" s="174"/>
      <c r="K723" s="173"/>
      <c r="L723" s="102"/>
      <c r="M723" s="85"/>
      <c r="N723" s="85"/>
      <c r="O723" s="85"/>
      <c r="P723" s="85"/>
      <c r="Q723" s="85"/>
      <c r="R723" s="85"/>
      <c r="S723" s="85"/>
    </row>
    <row r="724" spans="1:19" ht="15.75">
      <c r="A724" s="174"/>
      <c r="B724" s="176"/>
      <c r="C724" s="85"/>
      <c r="D724" s="175"/>
      <c r="E724" s="175"/>
      <c r="F724" s="85"/>
      <c r="G724" s="18">
        <f>C724</f>
        <v>0</v>
      </c>
      <c r="H724" s="85"/>
      <c r="I724" s="85"/>
      <c r="J724" s="174"/>
      <c r="K724" s="173"/>
      <c r="L724" s="102"/>
      <c r="M724" s="85"/>
      <c r="N724" s="85"/>
      <c r="O724" s="85"/>
      <c r="P724" s="85"/>
      <c r="Q724" s="85"/>
      <c r="R724" s="85"/>
      <c r="S724" s="85"/>
    </row>
    <row r="725" spans="1:19" ht="15.75">
      <c r="A725" s="174"/>
      <c r="B725" s="176"/>
      <c r="C725" s="85"/>
      <c r="D725" s="175"/>
      <c r="E725" s="175"/>
      <c r="F725" s="85"/>
      <c r="G725" s="18">
        <f>C725</f>
        <v>0</v>
      </c>
      <c r="H725" s="85"/>
      <c r="I725" s="85"/>
      <c r="J725" s="174"/>
      <c r="K725" s="173"/>
      <c r="L725" s="102"/>
      <c r="M725" s="85"/>
      <c r="N725" s="85"/>
      <c r="O725" s="85"/>
      <c r="P725" s="85"/>
      <c r="Q725" s="85"/>
      <c r="R725" s="85"/>
      <c r="S725" s="85"/>
    </row>
    <row r="726" spans="1:19" ht="15.75">
      <c r="A726" s="174"/>
      <c r="B726" s="176"/>
      <c r="C726" s="85"/>
      <c r="D726" s="175"/>
      <c r="E726" s="175"/>
      <c r="F726" s="85"/>
      <c r="G726" s="18">
        <f>C726</f>
        <v>0</v>
      </c>
      <c r="H726" s="85"/>
      <c r="I726" s="85"/>
      <c r="J726" s="174"/>
      <c r="K726" s="173"/>
      <c r="L726" s="102"/>
      <c r="M726" s="85"/>
      <c r="N726" s="85"/>
      <c r="O726" s="85"/>
      <c r="P726" s="85"/>
      <c r="Q726" s="85"/>
      <c r="R726" s="85"/>
      <c r="S726" s="85"/>
    </row>
    <row r="727" spans="1:19" ht="15.75">
      <c r="A727" s="174"/>
      <c r="B727" s="176"/>
      <c r="C727" s="85"/>
      <c r="D727" s="175"/>
      <c r="E727" s="175"/>
      <c r="F727" s="85"/>
      <c r="G727" s="18">
        <f>C727</f>
        <v>0</v>
      </c>
      <c r="H727" s="85"/>
      <c r="I727" s="85"/>
      <c r="J727" s="174"/>
      <c r="K727" s="173"/>
      <c r="L727" s="102"/>
      <c r="M727" s="85"/>
      <c r="N727" s="85"/>
      <c r="O727" s="85"/>
      <c r="P727" s="85"/>
      <c r="Q727" s="85"/>
      <c r="R727" s="85"/>
      <c r="S727" s="85"/>
    </row>
    <row r="728" spans="1:19" ht="15.75">
      <c r="A728" s="174"/>
      <c r="B728" s="176"/>
      <c r="C728" s="85"/>
      <c r="D728" s="175"/>
      <c r="E728" s="175"/>
      <c r="F728" s="85"/>
      <c r="G728" s="18">
        <f>C728</f>
        <v>0</v>
      </c>
      <c r="H728" s="85"/>
      <c r="I728" s="85"/>
      <c r="J728" s="174"/>
      <c r="K728" s="173"/>
      <c r="L728" s="102"/>
      <c r="M728" s="85"/>
      <c r="N728" s="85"/>
      <c r="O728" s="85"/>
      <c r="P728" s="85"/>
      <c r="Q728" s="85"/>
      <c r="R728" s="85"/>
      <c r="S728" s="85"/>
    </row>
    <row r="729" spans="1:19" ht="15.75">
      <c r="A729" s="174"/>
      <c r="B729" s="176"/>
      <c r="C729" s="85"/>
      <c r="D729" s="175"/>
      <c r="E729" s="175"/>
      <c r="F729" s="85"/>
      <c r="G729" s="18">
        <f>C729</f>
        <v>0</v>
      </c>
      <c r="H729" s="85"/>
      <c r="I729" s="85"/>
      <c r="J729" s="174"/>
      <c r="K729" s="173"/>
      <c r="L729" s="102"/>
      <c r="M729" s="85"/>
      <c r="N729" s="85"/>
      <c r="O729" s="85"/>
      <c r="P729" s="85"/>
      <c r="Q729" s="85"/>
      <c r="R729" s="85"/>
      <c r="S729" s="85"/>
    </row>
    <row r="730" spans="1:19" ht="15.75">
      <c r="A730" s="174"/>
      <c r="B730" s="176"/>
      <c r="C730" s="85"/>
      <c r="D730" s="175"/>
      <c r="E730" s="175"/>
      <c r="F730" s="85"/>
      <c r="G730" s="18">
        <f>C730</f>
        <v>0</v>
      </c>
      <c r="H730" s="85"/>
      <c r="I730" s="85"/>
      <c r="J730" s="174"/>
      <c r="K730" s="173"/>
      <c r="L730" s="102"/>
      <c r="M730" s="85"/>
      <c r="N730" s="85"/>
      <c r="O730" s="85"/>
      <c r="P730" s="85"/>
      <c r="Q730" s="85"/>
      <c r="R730" s="85"/>
      <c r="S730" s="85"/>
    </row>
    <row r="731" spans="1:19" ht="15.75">
      <c r="A731" s="174"/>
      <c r="B731" s="176"/>
      <c r="C731" s="85"/>
      <c r="D731" s="175"/>
      <c r="E731" s="175"/>
      <c r="F731" s="85"/>
      <c r="G731" s="18">
        <f>C731</f>
        <v>0</v>
      </c>
      <c r="H731" s="85"/>
      <c r="I731" s="85"/>
      <c r="J731" s="174"/>
      <c r="K731" s="173"/>
      <c r="L731" s="102"/>
      <c r="M731" s="85"/>
      <c r="N731" s="85"/>
      <c r="O731" s="85"/>
      <c r="P731" s="85"/>
      <c r="Q731" s="85"/>
      <c r="R731" s="85"/>
      <c r="S731" s="85"/>
    </row>
    <row r="732" spans="1:19" ht="15.75">
      <c r="A732" s="174"/>
      <c r="B732" s="176"/>
      <c r="C732" s="85"/>
      <c r="D732" s="175"/>
      <c r="E732" s="175"/>
      <c r="F732" s="85"/>
      <c r="G732" s="18">
        <f>C732</f>
        <v>0</v>
      </c>
      <c r="H732" s="85"/>
      <c r="I732" s="85"/>
      <c r="J732" s="174"/>
      <c r="K732" s="173"/>
      <c r="L732" s="102"/>
      <c r="M732" s="85"/>
      <c r="N732" s="85"/>
      <c r="O732" s="85"/>
      <c r="P732" s="85"/>
      <c r="Q732" s="85"/>
      <c r="R732" s="85"/>
      <c r="S732" s="85"/>
    </row>
    <row r="733" spans="1:19" ht="15.75">
      <c r="A733" s="174"/>
      <c r="B733" s="176"/>
      <c r="C733" s="85"/>
      <c r="D733" s="175"/>
      <c r="E733" s="175"/>
      <c r="F733" s="85"/>
      <c r="G733" s="18">
        <f>C733</f>
        <v>0</v>
      </c>
      <c r="H733" s="85"/>
      <c r="I733" s="85"/>
      <c r="J733" s="174"/>
      <c r="K733" s="173"/>
      <c r="L733" s="102"/>
      <c r="M733" s="85"/>
      <c r="N733" s="85"/>
      <c r="O733" s="85"/>
      <c r="P733" s="85"/>
      <c r="Q733" s="85"/>
      <c r="R733" s="85"/>
      <c r="S733" s="85"/>
    </row>
    <row r="734" spans="1:19" ht="15.75">
      <c r="A734" s="174"/>
      <c r="B734" s="176"/>
      <c r="C734" s="85"/>
      <c r="D734" s="175"/>
      <c r="E734" s="175"/>
      <c r="F734" s="85"/>
      <c r="G734" s="18">
        <f>C734</f>
        <v>0</v>
      </c>
      <c r="H734" s="85"/>
      <c r="I734" s="85"/>
      <c r="J734" s="174"/>
      <c r="K734" s="173"/>
      <c r="L734" s="102"/>
      <c r="M734" s="85"/>
      <c r="N734" s="85"/>
      <c r="O734" s="85"/>
      <c r="P734" s="85"/>
      <c r="Q734" s="85"/>
      <c r="R734" s="85"/>
      <c r="S734" s="85"/>
    </row>
    <row r="735" spans="1:19" ht="15.75">
      <c r="A735" s="174"/>
      <c r="B735" s="176"/>
      <c r="C735" s="85"/>
      <c r="D735" s="175"/>
      <c r="E735" s="175"/>
      <c r="F735" s="85"/>
      <c r="G735" s="18">
        <f>C735</f>
        <v>0</v>
      </c>
      <c r="H735" s="85"/>
      <c r="I735" s="85"/>
      <c r="J735" s="174"/>
      <c r="K735" s="173"/>
      <c r="L735" s="102"/>
      <c r="M735" s="85"/>
      <c r="N735" s="85"/>
      <c r="O735" s="85"/>
      <c r="P735" s="85"/>
      <c r="Q735" s="85"/>
      <c r="R735" s="85"/>
      <c r="S735" s="85"/>
    </row>
    <row r="736" spans="1:19" ht="15.75">
      <c r="A736" s="174"/>
      <c r="B736" s="176"/>
      <c r="C736" s="85"/>
      <c r="D736" s="175"/>
      <c r="E736" s="175"/>
      <c r="F736" s="85"/>
      <c r="G736" s="18">
        <f>C736</f>
        <v>0</v>
      </c>
      <c r="H736" s="85"/>
      <c r="I736" s="85"/>
      <c r="J736" s="174"/>
      <c r="K736" s="173"/>
      <c r="L736" s="102"/>
      <c r="M736" s="85"/>
      <c r="N736" s="85"/>
      <c r="O736" s="85"/>
      <c r="P736" s="85"/>
      <c r="Q736" s="85"/>
      <c r="R736" s="85"/>
      <c r="S736" s="85"/>
    </row>
    <row r="737" spans="1:19" ht="15.75">
      <c r="A737" s="174"/>
      <c r="B737" s="176"/>
      <c r="C737" s="85"/>
      <c r="D737" s="175"/>
      <c r="E737" s="175"/>
      <c r="F737" s="85"/>
      <c r="G737" s="18">
        <f>C737</f>
        <v>0</v>
      </c>
      <c r="H737" s="85"/>
      <c r="I737" s="85"/>
      <c r="J737" s="174"/>
      <c r="K737" s="173"/>
      <c r="L737" s="102"/>
      <c r="M737" s="85"/>
      <c r="N737" s="85"/>
      <c r="O737" s="85"/>
      <c r="P737" s="85"/>
      <c r="Q737" s="85"/>
      <c r="R737" s="85"/>
      <c r="S737" s="85"/>
    </row>
    <row r="738" spans="1:19" ht="15.75">
      <c r="A738" s="174"/>
      <c r="B738" s="176"/>
      <c r="C738" s="85"/>
      <c r="D738" s="175"/>
      <c r="E738" s="175"/>
      <c r="F738" s="85"/>
      <c r="G738" s="18">
        <f>C738</f>
        <v>0</v>
      </c>
      <c r="H738" s="85"/>
      <c r="I738" s="85"/>
      <c r="J738" s="174"/>
      <c r="K738" s="173"/>
      <c r="L738" s="102"/>
      <c r="M738" s="85"/>
      <c r="N738" s="85"/>
      <c r="O738" s="85"/>
      <c r="P738" s="85"/>
      <c r="Q738" s="85"/>
      <c r="R738" s="85"/>
      <c r="S738" s="85"/>
    </row>
    <row r="739" spans="1:19" ht="15.75">
      <c r="A739" s="174"/>
      <c r="B739" s="176"/>
      <c r="C739" s="85"/>
      <c r="D739" s="175"/>
      <c r="E739" s="175"/>
      <c r="F739" s="85"/>
      <c r="G739" s="18">
        <f>C739</f>
        <v>0</v>
      </c>
      <c r="H739" s="85"/>
      <c r="I739" s="85"/>
      <c r="J739" s="174"/>
      <c r="K739" s="173"/>
      <c r="L739" s="102"/>
      <c r="M739" s="85"/>
      <c r="N739" s="85"/>
      <c r="O739" s="85"/>
      <c r="P739" s="85"/>
      <c r="Q739" s="85"/>
      <c r="R739" s="85"/>
      <c r="S739" s="85"/>
    </row>
    <row r="740" spans="1:19" ht="15.75">
      <c r="A740" s="174"/>
      <c r="B740" s="176"/>
      <c r="C740" s="85"/>
      <c r="D740" s="175"/>
      <c r="E740" s="175"/>
      <c r="F740" s="85"/>
      <c r="G740" s="18">
        <f>C740</f>
        <v>0</v>
      </c>
      <c r="H740" s="85"/>
      <c r="I740" s="85"/>
      <c r="J740" s="174"/>
      <c r="K740" s="173"/>
      <c r="L740" s="102"/>
      <c r="M740" s="85"/>
      <c r="N740" s="85"/>
      <c r="O740" s="85"/>
      <c r="P740" s="85"/>
      <c r="Q740" s="85"/>
      <c r="R740" s="85"/>
      <c r="S740" s="85"/>
    </row>
    <row r="741" spans="1:19" ht="15.75">
      <c r="A741" s="174"/>
      <c r="B741" s="176"/>
      <c r="C741" s="85"/>
      <c r="D741" s="175"/>
      <c r="E741" s="175"/>
      <c r="F741" s="85"/>
      <c r="G741" s="18">
        <f>C741</f>
        <v>0</v>
      </c>
      <c r="H741" s="85"/>
      <c r="I741" s="85"/>
      <c r="J741" s="174"/>
      <c r="K741" s="173"/>
      <c r="L741" s="102"/>
      <c r="M741" s="85"/>
      <c r="N741" s="85"/>
      <c r="O741" s="85"/>
      <c r="P741" s="85"/>
      <c r="Q741" s="85"/>
      <c r="R741" s="85"/>
      <c r="S741" s="85"/>
    </row>
    <row r="742" spans="1:19" ht="15.75">
      <c r="A742" s="174"/>
      <c r="B742" s="176"/>
      <c r="C742" s="85"/>
      <c r="D742" s="175"/>
      <c r="E742" s="175"/>
      <c r="F742" s="85"/>
      <c r="G742" s="18">
        <f>C742</f>
        <v>0</v>
      </c>
      <c r="H742" s="85"/>
      <c r="I742" s="85"/>
      <c r="J742" s="174"/>
      <c r="K742" s="173"/>
      <c r="L742" s="102"/>
      <c r="M742" s="85"/>
      <c r="N742" s="85"/>
      <c r="O742" s="85"/>
      <c r="P742" s="85"/>
      <c r="Q742" s="85"/>
      <c r="R742" s="85"/>
      <c r="S742" s="85"/>
    </row>
    <row r="743" spans="1:19" ht="15.75">
      <c r="A743" s="174"/>
      <c r="B743" s="176"/>
      <c r="C743" s="85"/>
      <c r="D743" s="175"/>
      <c r="E743" s="175"/>
      <c r="F743" s="85"/>
      <c r="G743" s="18">
        <f>C743</f>
        <v>0</v>
      </c>
      <c r="H743" s="85"/>
      <c r="I743" s="85"/>
      <c r="J743" s="174"/>
      <c r="K743" s="173"/>
      <c r="L743" s="102"/>
      <c r="M743" s="85"/>
      <c r="N743" s="85"/>
      <c r="O743" s="85"/>
      <c r="P743" s="85"/>
      <c r="Q743" s="85"/>
      <c r="R743" s="85"/>
      <c r="S743" s="85"/>
    </row>
    <row r="744" spans="1:19" ht="15.75">
      <c r="A744" s="174"/>
      <c r="B744" s="176"/>
      <c r="C744" s="85"/>
      <c r="D744" s="175"/>
      <c r="E744" s="175"/>
      <c r="F744" s="85"/>
      <c r="G744" s="18">
        <f>C744</f>
        <v>0</v>
      </c>
      <c r="H744" s="85"/>
      <c r="I744" s="85"/>
      <c r="J744" s="174"/>
      <c r="K744" s="173"/>
      <c r="L744" s="102"/>
      <c r="M744" s="85"/>
      <c r="N744" s="85"/>
      <c r="O744" s="85"/>
      <c r="P744" s="85"/>
      <c r="Q744" s="85"/>
      <c r="R744" s="85"/>
      <c r="S744" s="85"/>
    </row>
    <row r="745" spans="1:19" ht="15.75">
      <c r="A745" s="174"/>
      <c r="B745" s="176"/>
      <c r="C745" s="85"/>
      <c r="D745" s="175"/>
      <c r="E745" s="175"/>
      <c r="F745" s="85"/>
      <c r="G745" s="18">
        <f>C745</f>
        <v>0</v>
      </c>
      <c r="H745" s="85"/>
      <c r="I745" s="85"/>
      <c r="J745" s="174"/>
      <c r="K745" s="173"/>
      <c r="L745" s="102"/>
      <c r="M745" s="85"/>
      <c r="N745" s="85"/>
      <c r="O745" s="85"/>
      <c r="P745" s="85"/>
      <c r="Q745" s="85"/>
      <c r="R745" s="85"/>
      <c r="S745" s="85"/>
    </row>
    <row r="746" spans="1:19" ht="15.75">
      <c r="A746" s="174"/>
      <c r="B746" s="176"/>
      <c r="C746" s="85"/>
      <c r="D746" s="175"/>
      <c r="E746" s="175"/>
      <c r="F746" s="85"/>
      <c r="G746" s="18">
        <f>C746</f>
        <v>0</v>
      </c>
      <c r="H746" s="85"/>
      <c r="I746" s="85"/>
      <c r="J746" s="174"/>
      <c r="K746" s="173"/>
      <c r="L746" s="102"/>
      <c r="M746" s="85"/>
      <c r="N746" s="85"/>
      <c r="O746" s="85"/>
      <c r="P746" s="85"/>
      <c r="Q746" s="85"/>
      <c r="R746" s="85"/>
      <c r="S746" s="85"/>
    </row>
    <row r="747" spans="1:19" ht="15.75">
      <c r="A747" s="174"/>
      <c r="B747" s="176"/>
      <c r="C747" s="85"/>
      <c r="D747" s="175"/>
      <c r="E747" s="175"/>
      <c r="F747" s="85"/>
      <c r="G747" s="18">
        <f>C747</f>
        <v>0</v>
      </c>
      <c r="H747" s="85"/>
      <c r="I747" s="85"/>
      <c r="J747" s="174"/>
      <c r="K747" s="173"/>
      <c r="L747" s="102"/>
      <c r="M747" s="85"/>
      <c r="N747" s="85"/>
      <c r="O747" s="85"/>
      <c r="P747" s="85"/>
      <c r="Q747" s="85"/>
      <c r="R747" s="85"/>
      <c r="S747" s="85"/>
    </row>
    <row r="748" spans="1:19" ht="15.75">
      <c r="A748" s="174"/>
      <c r="B748" s="176"/>
      <c r="C748" s="85"/>
      <c r="D748" s="175"/>
      <c r="E748" s="175"/>
      <c r="F748" s="85"/>
      <c r="G748" s="18">
        <f>C748</f>
        <v>0</v>
      </c>
      <c r="H748" s="85"/>
      <c r="I748" s="85"/>
      <c r="J748" s="174"/>
      <c r="K748" s="173"/>
      <c r="L748" s="102"/>
      <c r="M748" s="85"/>
      <c r="N748" s="85"/>
      <c r="O748" s="85"/>
      <c r="P748" s="85"/>
      <c r="Q748" s="85"/>
      <c r="R748" s="85"/>
      <c r="S748" s="85"/>
    </row>
    <row r="749" spans="1:19" ht="15.75">
      <c r="A749" s="174"/>
      <c r="B749" s="176"/>
      <c r="C749" s="85"/>
      <c r="D749" s="175"/>
      <c r="E749" s="175"/>
      <c r="F749" s="85"/>
      <c r="G749" s="18">
        <f>C749</f>
        <v>0</v>
      </c>
      <c r="H749" s="85"/>
      <c r="I749" s="85"/>
      <c r="J749" s="174"/>
      <c r="K749" s="173"/>
      <c r="L749" s="102"/>
      <c r="M749" s="85"/>
      <c r="N749" s="85"/>
      <c r="O749" s="85"/>
      <c r="P749" s="85"/>
      <c r="Q749" s="85"/>
      <c r="R749" s="85"/>
      <c r="S749" s="85"/>
    </row>
    <row r="750" spans="1:19" ht="15.75">
      <c r="A750" s="174"/>
      <c r="B750" s="176"/>
      <c r="C750" s="85"/>
      <c r="D750" s="175"/>
      <c r="E750" s="175"/>
      <c r="F750" s="85"/>
      <c r="G750" s="18">
        <f>C750</f>
        <v>0</v>
      </c>
      <c r="H750" s="85"/>
      <c r="I750" s="85"/>
      <c r="J750" s="174"/>
      <c r="K750" s="173"/>
      <c r="L750" s="102"/>
      <c r="M750" s="85"/>
      <c r="N750" s="85"/>
      <c r="O750" s="85"/>
      <c r="P750" s="85"/>
      <c r="Q750" s="85"/>
      <c r="R750" s="85"/>
      <c r="S750" s="85"/>
    </row>
    <row r="751" spans="1:19" ht="15.75">
      <c r="A751" s="174"/>
      <c r="B751" s="176"/>
      <c r="C751" s="85"/>
      <c r="D751" s="175"/>
      <c r="E751" s="175"/>
      <c r="F751" s="85"/>
      <c r="G751" s="18">
        <f>C751</f>
        <v>0</v>
      </c>
      <c r="H751" s="85"/>
      <c r="I751" s="85"/>
      <c r="J751" s="174"/>
      <c r="K751" s="173"/>
      <c r="L751" s="102"/>
      <c r="M751" s="85"/>
      <c r="N751" s="85"/>
      <c r="O751" s="85"/>
      <c r="P751" s="85"/>
      <c r="Q751" s="85"/>
      <c r="R751" s="85"/>
      <c r="S751" s="85"/>
    </row>
    <row r="752" spans="1:19" ht="15.75">
      <c r="A752" s="174"/>
      <c r="B752" s="176"/>
      <c r="C752" s="85"/>
      <c r="D752" s="175"/>
      <c r="E752" s="175"/>
      <c r="F752" s="85"/>
      <c r="G752" s="18">
        <f>C752</f>
        <v>0</v>
      </c>
      <c r="H752" s="85"/>
      <c r="I752" s="85"/>
      <c r="J752" s="174"/>
      <c r="K752" s="173"/>
      <c r="L752" s="102"/>
      <c r="M752" s="85"/>
      <c r="N752" s="85"/>
      <c r="O752" s="85"/>
      <c r="P752" s="85"/>
      <c r="Q752" s="85"/>
      <c r="R752" s="85"/>
      <c r="S752" s="85"/>
    </row>
    <row r="753" spans="1:19" ht="15.75">
      <c r="A753" s="174"/>
      <c r="B753" s="176"/>
      <c r="C753" s="85"/>
      <c r="D753" s="175"/>
      <c r="E753" s="175"/>
      <c r="F753" s="85"/>
      <c r="G753" s="18">
        <f>C753</f>
        <v>0</v>
      </c>
      <c r="H753" s="85"/>
      <c r="I753" s="85"/>
      <c r="J753" s="174"/>
      <c r="K753" s="173"/>
      <c r="L753" s="102"/>
      <c r="M753" s="85"/>
      <c r="N753" s="85"/>
      <c r="O753" s="85"/>
      <c r="P753" s="85"/>
      <c r="Q753" s="85"/>
      <c r="R753" s="85"/>
      <c r="S753" s="85"/>
    </row>
    <row r="754" spans="1:19" ht="15.75">
      <c r="A754" s="174"/>
      <c r="B754" s="176"/>
      <c r="C754" s="85"/>
      <c r="D754" s="175"/>
      <c r="E754" s="175"/>
      <c r="F754" s="85"/>
      <c r="G754" s="18">
        <f>C754</f>
        <v>0</v>
      </c>
      <c r="H754" s="85"/>
      <c r="I754" s="85"/>
      <c r="J754" s="174"/>
      <c r="K754" s="173"/>
      <c r="L754" s="102"/>
      <c r="M754" s="85"/>
      <c r="N754" s="85"/>
      <c r="O754" s="85"/>
      <c r="P754" s="85"/>
      <c r="Q754" s="85"/>
      <c r="R754" s="85"/>
      <c r="S754" s="85"/>
    </row>
    <row r="755" spans="1:19" ht="15.75">
      <c r="A755" s="174"/>
      <c r="B755" s="176"/>
      <c r="C755" s="85"/>
      <c r="D755" s="175"/>
      <c r="E755" s="175"/>
      <c r="F755" s="85"/>
      <c r="G755" s="18">
        <f>C755</f>
        <v>0</v>
      </c>
      <c r="H755" s="85"/>
      <c r="I755" s="85"/>
      <c r="J755" s="174"/>
      <c r="K755" s="173"/>
      <c r="L755" s="102"/>
      <c r="M755" s="85"/>
      <c r="N755" s="85"/>
      <c r="O755" s="85"/>
      <c r="P755" s="85"/>
      <c r="Q755" s="85"/>
      <c r="R755" s="85"/>
      <c r="S755" s="85"/>
    </row>
    <row r="756" spans="1:19" ht="15.75">
      <c r="A756" s="174"/>
      <c r="B756" s="176"/>
      <c r="C756" s="85"/>
      <c r="D756" s="175"/>
      <c r="E756" s="175"/>
      <c r="F756" s="85"/>
      <c r="G756" s="18">
        <f>C756</f>
        <v>0</v>
      </c>
      <c r="H756" s="85"/>
      <c r="I756" s="85"/>
      <c r="J756" s="174"/>
      <c r="K756" s="173"/>
      <c r="L756" s="102"/>
      <c r="M756" s="85"/>
      <c r="N756" s="85"/>
      <c r="O756" s="85"/>
      <c r="P756" s="85"/>
      <c r="Q756" s="85"/>
      <c r="R756" s="85"/>
      <c r="S756" s="85"/>
    </row>
    <row r="757" spans="1:19" ht="15.75">
      <c r="A757" s="174"/>
      <c r="B757" s="176"/>
      <c r="C757" s="85"/>
      <c r="D757" s="175"/>
      <c r="E757" s="175"/>
      <c r="F757" s="85"/>
      <c r="G757" s="18">
        <f>C757</f>
        <v>0</v>
      </c>
      <c r="H757" s="85"/>
      <c r="I757" s="85"/>
      <c r="J757" s="174"/>
      <c r="K757" s="173"/>
      <c r="L757" s="102"/>
      <c r="M757" s="85"/>
      <c r="N757" s="85"/>
      <c r="O757" s="85"/>
      <c r="P757" s="85"/>
      <c r="Q757" s="85"/>
      <c r="R757" s="85"/>
      <c r="S757" s="85"/>
    </row>
    <row r="758" spans="1:19" ht="15.75">
      <c r="A758" s="174"/>
      <c r="B758" s="176"/>
      <c r="C758" s="85"/>
      <c r="D758" s="175"/>
      <c r="E758" s="175"/>
      <c r="F758" s="85"/>
      <c r="G758" s="18">
        <f>C758</f>
        <v>0</v>
      </c>
      <c r="H758" s="85"/>
      <c r="I758" s="85"/>
      <c r="J758" s="174"/>
      <c r="K758" s="173"/>
      <c r="L758" s="102"/>
      <c r="M758" s="85"/>
      <c r="N758" s="85"/>
      <c r="O758" s="85"/>
      <c r="P758" s="85"/>
      <c r="Q758" s="85"/>
      <c r="R758" s="85"/>
      <c r="S758" s="85"/>
    </row>
    <row r="759" spans="1:19" ht="15.75">
      <c r="A759" s="174"/>
      <c r="B759" s="176"/>
      <c r="C759" s="85"/>
      <c r="D759" s="175"/>
      <c r="E759" s="175"/>
      <c r="F759" s="85"/>
      <c r="G759" s="18">
        <f>C759</f>
        <v>0</v>
      </c>
      <c r="H759" s="85"/>
      <c r="I759" s="85"/>
      <c r="J759" s="174"/>
      <c r="K759" s="173"/>
      <c r="L759" s="102"/>
      <c r="M759" s="85"/>
      <c r="N759" s="85"/>
      <c r="O759" s="85"/>
      <c r="P759" s="85"/>
      <c r="Q759" s="85"/>
      <c r="R759" s="85"/>
      <c r="S759" s="85"/>
    </row>
    <row r="760" spans="1:19" ht="15.75">
      <c r="A760" s="174"/>
      <c r="B760" s="176"/>
      <c r="C760" s="85"/>
      <c r="D760" s="175"/>
      <c r="E760" s="175"/>
      <c r="F760" s="85"/>
      <c r="G760" s="18">
        <f>C760</f>
        <v>0</v>
      </c>
      <c r="H760" s="85"/>
      <c r="I760" s="85"/>
      <c r="J760" s="174"/>
      <c r="K760" s="173"/>
      <c r="L760" s="102"/>
      <c r="M760" s="85"/>
      <c r="N760" s="85"/>
      <c r="O760" s="85"/>
      <c r="P760" s="85"/>
      <c r="Q760" s="85"/>
      <c r="R760" s="85"/>
      <c r="S760" s="85"/>
    </row>
    <row r="761" spans="1:19" ht="15.75">
      <c r="A761" s="174"/>
      <c r="B761" s="176"/>
      <c r="C761" s="85"/>
      <c r="D761" s="175"/>
      <c r="E761" s="175"/>
      <c r="F761" s="85"/>
      <c r="G761" s="18">
        <f>C761</f>
        <v>0</v>
      </c>
      <c r="H761" s="85"/>
      <c r="I761" s="85"/>
      <c r="J761" s="174"/>
      <c r="K761" s="173"/>
      <c r="L761" s="102"/>
      <c r="M761" s="85"/>
      <c r="N761" s="85"/>
      <c r="O761" s="85"/>
      <c r="P761" s="85"/>
      <c r="Q761" s="85"/>
      <c r="R761" s="85"/>
      <c r="S761" s="85"/>
    </row>
    <row r="762" spans="1:19" ht="15.75">
      <c r="A762" s="174"/>
      <c r="B762" s="176"/>
      <c r="C762" s="85"/>
      <c r="D762" s="175"/>
      <c r="E762" s="175"/>
      <c r="F762" s="85"/>
      <c r="G762" s="18">
        <f>C762</f>
        <v>0</v>
      </c>
      <c r="H762" s="85"/>
      <c r="I762" s="85"/>
      <c r="J762" s="174"/>
      <c r="K762" s="173"/>
      <c r="L762" s="102"/>
      <c r="M762" s="85"/>
      <c r="N762" s="85"/>
      <c r="O762" s="85"/>
      <c r="P762" s="85"/>
      <c r="Q762" s="85"/>
      <c r="R762" s="85"/>
      <c r="S762" s="85"/>
    </row>
    <row r="763" spans="1:19" ht="15.75">
      <c r="A763" s="174"/>
      <c r="B763" s="176"/>
      <c r="C763" s="85"/>
      <c r="D763" s="175"/>
      <c r="E763" s="175"/>
      <c r="F763" s="85"/>
      <c r="G763" s="18">
        <f>C763</f>
        <v>0</v>
      </c>
      <c r="H763" s="85"/>
      <c r="I763" s="85"/>
      <c r="J763" s="174"/>
      <c r="K763" s="173"/>
      <c r="L763" s="102"/>
      <c r="M763" s="85"/>
      <c r="N763" s="85"/>
      <c r="O763" s="85"/>
      <c r="P763" s="85"/>
      <c r="Q763" s="85"/>
      <c r="R763" s="85"/>
      <c r="S763" s="85"/>
    </row>
    <row r="764" spans="1:19" ht="15.75">
      <c r="A764" s="174"/>
      <c r="B764" s="176"/>
      <c r="C764" s="85"/>
      <c r="D764" s="175"/>
      <c r="E764" s="175"/>
      <c r="F764" s="85"/>
      <c r="G764" s="18">
        <f>C764</f>
        <v>0</v>
      </c>
      <c r="H764" s="85"/>
      <c r="I764" s="85"/>
      <c r="J764" s="174"/>
      <c r="K764" s="173"/>
      <c r="L764" s="102"/>
      <c r="M764" s="85"/>
      <c r="N764" s="85"/>
      <c r="O764" s="85"/>
      <c r="P764" s="85"/>
      <c r="Q764" s="85"/>
      <c r="R764" s="85"/>
      <c r="S764" s="85"/>
    </row>
    <row r="765" spans="1:19" ht="15.75">
      <c r="A765" s="174"/>
      <c r="B765" s="176"/>
      <c r="C765" s="85"/>
      <c r="D765" s="175"/>
      <c r="E765" s="175"/>
      <c r="F765" s="85"/>
      <c r="G765" s="18">
        <f>C765</f>
        <v>0</v>
      </c>
      <c r="H765" s="85"/>
      <c r="I765" s="85"/>
      <c r="J765" s="174"/>
      <c r="K765" s="173"/>
      <c r="L765" s="102"/>
      <c r="M765" s="85"/>
      <c r="N765" s="85"/>
      <c r="O765" s="85"/>
      <c r="P765" s="85"/>
      <c r="Q765" s="85"/>
      <c r="R765" s="85"/>
      <c r="S765" s="85"/>
    </row>
    <row r="766" spans="1:19" ht="15.75">
      <c r="A766" s="174"/>
      <c r="B766" s="176"/>
      <c r="C766" s="85"/>
      <c r="D766" s="175"/>
      <c r="E766" s="175"/>
      <c r="F766" s="85"/>
      <c r="G766" s="18">
        <f>C766</f>
        <v>0</v>
      </c>
      <c r="H766" s="85"/>
      <c r="I766" s="85"/>
      <c r="J766" s="174"/>
      <c r="K766" s="173"/>
      <c r="L766" s="102"/>
      <c r="M766" s="85"/>
      <c r="N766" s="85"/>
      <c r="O766" s="85"/>
      <c r="P766" s="85"/>
      <c r="Q766" s="85"/>
      <c r="R766" s="85"/>
      <c r="S766" s="85"/>
    </row>
    <row r="767" spans="1:19" ht="15.75">
      <c r="A767" s="174"/>
      <c r="B767" s="176"/>
      <c r="C767" s="85"/>
      <c r="D767" s="175"/>
      <c r="E767" s="175"/>
      <c r="F767" s="85"/>
      <c r="G767" s="18">
        <f>C767</f>
        <v>0</v>
      </c>
      <c r="H767" s="85"/>
      <c r="I767" s="85"/>
      <c r="J767" s="174"/>
      <c r="K767" s="173"/>
      <c r="L767" s="102"/>
      <c r="M767" s="85"/>
      <c r="N767" s="85"/>
      <c r="O767" s="85"/>
      <c r="P767" s="85"/>
      <c r="Q767" s="85"/>
      <c r="R767" s="85"/>
      <c r="S767" s="85"/>
    </row>
    <row r="768" spans="1:19" ht="15.75">
      <c r="A768" s="174"/>
      <c r="B768" s="176"/>
      <c r="C768" s="85"/>
      <c r="D768" s="175"/>
      <c r="E768" s="175"/>
      <c r="F768" s="85"/>
      <c r="G768" s="18">
        <f>C768</f>
        <v>0</v>
      </c>
      <c r="H768" s="85"/>
      <c r="I768" s="85"/>
      <c r="J768" s="174"/>
      <c r="K768" s="173"/>
      <c r="L768" s="102"/>
      <c r="M768" s="85"/>
      <c r="N768" s="85"/>
      <c r="O768" s="85"/>
      <c r="P768" s="85"/>
      <c r="Q768" s="85"/>
      <c r="R768" s="85"/>
      <c r="S768" s="85"/>
    </row>
    <row r="769" spans="1:19" ht="15.75">
      <c r="A769" s="174"/>
      <c r="B769" s="176"/>
      <c r="C769" s="85"/>
      <c r="D769" s="175"/>
      <c r="E769" s="175"/>
      <c r="F769" s="85"/>
      <c r="G769" s="18">
        <f>C769</f>
        <v>0</v>
      </c>
      <c r="H769" s="85"/>
      <c r="I769" s="85"/>
      <c r="J769" s="174"/>
      <c r="K769" s="173"/>
      <c r="L769" s="102"/>
      <c r="M769" s="85"/>
      <c r="N769" s="85"/>
      <c r="O769" s="85"/>
      <c r="P769" s="85"/>
      <c r="Q769" s="85"/>
      <c r="R769" s="85"/>
      <c r="S769" s="85"/>
    </row>
    <row r="770" spans="1:19" ht="15.75">
      <c r="A770" s="174"/>
      <c r="B770" s="176"/>
      <c r="C770" s="85"/>
      <c r="D770" s="175"/>
      <c r="E770" s="175"/>
      <c r="F770" s="85"/>
      <c r="G770" s="18">
        <f>C770</f>
        <v>0</v>
      </c>
      <c r="H770" s="85"/>
      <c r="I770" s="85"/>
      <c r="J770" s="174"/>
      <c r="K770" s="173"/>
      <c r="L770" s="102"/>
      <c r="M770" s="85"/>
      <c r="N770" s="85"/>
      <c r="O770" s="85"/>
      <c r="P770" s="85"/>
      <c r="Q770" s="85"/>
      <c r="R770" s="85"/>
      <c r="S770" s="85"/>
    </row>
    <row r="771" spans="1:19" ht="15.75">
      <c r="A771" s="174"/>
      <c r="B771" s="176"/>
      <c r="C771" s="85"/>
      <c r="D771" s="175"/>
      <c r="E771" s="175"/>
      <c r="F771" s="85"/>
      <c r="G771" s="18">
        <f>C771</f>
        <v>0</v>
      </c>
      <c r="H771" s="85"/>
      <c r="I771" s="85"/>
      <c r="J771" s="174"/>
      <c r="K771" s="173"/>
      <c r="L771" s="102"/>
      <c r="M771" s="85"/>
      <c r="N771" s="85"/>
      <c r="O771" s="85"/>
      <c r="P771" s="85"/>
      <c r="Q771" s="85"/>
      <c r="R771" s="85"/>
      <c r="S771" s="85"/>
    </row>
    <row r="772" spans="1:19" ht="15.75">
      <c r="A772" s="174"/>
      <c r="B772" s="176"/>
      <c r="C772" s="85"/>
      <c r="D772" s="175"/>
      <c r="E772" s="175"/>
      <c r="F772" s="85"/>
      <c r="G772" s="18">
        <f>C772</f>
        <v>0</v>
      </c>
      <c r="H772" s="85"/>
      <c r="I772" s="85"/>
      <c r="J772" s="174"/>
      <c r="K772" s="173"/>
      <c r="L772" s="102"/>
      <c r="M772" s="85"/>
      <c r="N772" s="85"/>
      <c r="O772" s="85"/>
      <c r="P772" s="85"/>
      <c r="Q772" s="85"/>
      <c r="R772" s="85"/>
      <c r="S772" s="85"/>
    </row>
    <row r="773" spans="1:19" ht="15.75">
      <c r="A773" s="174"/>
      <c r="B773" s="176"/>
      <c r="C773" s="85"/>
      <c r="D773" s="175"/>
      <c r="E773" s="175"/>
      <c r="F773" s="85"/>
      <c r="G773" s="18">
        <f>C773</f>
        <v>0</v>
      </c>
      <c r="H773" s="85"/>
      <c r="I773" s="85"/>
      <c r="J773" s="174"/>
      <c r="K773" s="173"/>
      <c r="L773" s="102"/>
      <c r="M773" s="85"/>
      <c r="N773" s="85"/>
      <c r="O773" s="85"/>
      <c r="P773" s="85"/>
      <c r="Q773" s="85"/>
      <c r="R773" s="85"/>
      <c r="S773" s="85"/>
    </row>
    <row r="774" spans="1:19" ht="15.75">
      <c r="A774" s="174"/>
      <c r="B774" s="176"/>
      <c r="C774" s="85"/>
      <c r="D774" s="175"/>
      <c r="E774" s="175"/>
      <c r="F774" s="85"/>
      <c r="G774" s="18">
        <f>C774</f>
        <v>0</v>
      </c>
      <c r="H774" s="85"/>
      <c r="I774" s="85"/>
      <c r="J774" s="174"/>
      <c r="K774" s="173"/>
      <c r="L774" s="102"/>
      <c r="M774" s="85"/>
      <c r="N774" s="85"/>
      <c r="O774" s="85"/>
      <c r="P774" s="85"/>
      <c r="Q774" s="85"/>
      <c r="R774" s="85"/>
      <c r="S774" s="85"/>
    </row>
    <row r="775" spans="1:19" ht="15.75">
      <c r="A775" s="174"/>
      <c r="B775" s="176"/>
      <c r="C775" s="85"/>
      <c r="D775" s="175"/>
      <c r="E775" s="175"/>
      <c r="F775" s="85"/>
      <c r="G775" s="18">
        <f>C775</f>
        <v>0</v>
      </c>
      <c r="H775" s="85"/>
      <c r="I775" s="85"/>
      <c r="J775" s="174"/>
      <c r="K775" s="173"/>
      <c r="L775" s="102"/>
      <c r="M775" s="85"/>
      <c r="N775" s="85"/>
      <c r="O775" s="85"/>
      <c r="P775" s="85"/>
      <c r="Q775" s="85"/>
      <c r="R775" s="85"/>
      <c r="S775" s="85"/>
    </row>
    <row r="776" spans="1:19" ht="15.75">
      <c r="A776" s="174"/>
      <c r="B776" s="176"/>
      <c r="C776" s="85"/>
      <c r="D776" s="175"/>
      <c r="E776" s="175"/>
      <c r="F776" s="85"/>
      <c r="G776" s="18">
        <f>C776</f>
        <v>0</v>
      </c>
      <c r="H776" s="85"/>
      <c r="I776" s="85"/>
      <c r="J776" s="174"/>
      <c r="K776" s="173"/>
      <c r="L776" s="102"/>
      <c r="M776" s="85"/>
      <c r="N776" s="85"/>
      <c r="O776" s="85"/>
      <c r="P776" s="85"/>
      <c r="Q776" s="85"/>
      <c r="R776" s="85"/>
      <c r="S776" s="85"/>
    </row>
    <row r="777" spans="1:19" ht="15.75">
      <c r="A777" s="174"/>
      <c r="B777" s="176"/>
      <c r="C777" s="85"/>
      <c r="D777" s="175"/>
      <c r="E777" s="175"/>
      <c r="F777" s="85"/>
      <c r="G777" s="18">
        <f>C777</f>
        <v>0</v>
      </c>
      <c r="H777" s="85"/>
      <c r="I777" s="85"/>
      <c r="J777" s="174"/>
      <c r="K777" s="173"/>
      <c r="L777" s="102"/>
      <c r="M777" s="85"/>
      <c r="N777" s="85"/>
      <c r="O777" s="85"/>
      <c r="P777" s="85"/>
      <c r="Q777" s="85"/>
      <c r="R777" s="85"/>
      <c r="S777" s="85"/>
    </row>
    <row r="778" spans="1:19" ht="15.75">
      <c r="A778" s="174"/>
      <c r="B778" s="176"/>
      <c r="C778" s="85"/>
      <c r="D778" s="175"/>
      <c r="E778" s="175"/>
      <c r="F778" s="85"/>
      <c r="G778" s="18">
        <f>C778</f>
        <v>0</v>
      </c>
      <c r="H778" s="85"/>
      <c r="I778" s="85"/>
      <c r="J778" s="174"/>
      <c r="K778" s="173"/>
      <c r="L778" s="102"/>
      <c r="M778" s="85"/>
      <c r="N778" s="85"/>
      <c r="O778" s="85"/>
      <c r="P778" s="85"/>
      <c r="Q778" s="85"/>
      <c r="R778" s="85"/>
      <c r="S778" s="85"/>
    </row>
    <row r="779" spans="1:19" ht="15.75">
      <c r="A779" s="174"/>
      <c r="B779" s="176"/>
      <c r="C779" s="85"/>
      <c r="D779" s="175"/>
      <c r="E779" s="175"/>
      <c r="F779" s="85"/>
      <c r="G779" s="18">
        <f>C779</f>
        <v>0</v>
      </c>
      <c r="H779" s="85"/>
      <c r="I779" s="85"/>
      <c r="J779" s="174"/>
      <c r="K779" s="173"/>
      <c r="L779" s="102"/>
      <c r="M779" s="85"/>
      <c r="N779" s="85"/>
      <c r="O779" s="85"/>
      <c r="P779" s="85"/>
      <c r="Q779" s="85"/>
      <c r="R779" s="85"/>
      <c r="S779" s="85"/>
    </row>
    <row r="780" spans="1:19" ht="15.75">
      <c r="A780" s="174"/>
      <c r="B780" s="176"/>
      <c r="C780" s="85"/>
      <c r="D780" s="175"/>
      <c r="E780" s="175"/>
      <c r="F780" s="85"/>
      <c r="G780" s="18">
        <f>C780</f>
        <v>0</v>
      </c>
      <c r="H780" s="85"/>
      <c r="I780" s="85"/>
      <c r="J780" s="174"/>
      <c r="K780" s="173"/>
      <c r="L780" s="102"/>
      <c r="M780" s="85"/>
      <c r="N780" s="85"/>
      <c r="O780" s="85"/>
      <c r="P780" s="85"/>
      <c r="Q780" s="85"/>
      <c r="R780" s="85"/>
      <c r="S780" s="85"/>
    </row>
    <row r="781" spans="1:19" ht="15.75">
      <c r="A781" s="174"/>
      <c r="B781" s="176"/>
      <c r="C781" s="85"/>
      <c r="D781" s="175"/>
      <c r="E781" s="175"/>
      <c r="F781" s="85"/>
      <c r="G781" s="18">
        <f>C781</f>
        <v>0</v>
      </c>
      <c r="H781" s="85"/>
      <c r="I781" s="85"/>
      <c r="J781" s="174"/>
      <c r="K781" s="173"/>
      <c r="L781" s="102"/>
      <c r="M781" s="85"/>
      <c r="N781" s="85"/>
      <c r="O781" s="85"/>
      <c r="P781" s="85"/>
      <c r="Q781" s="85"/>
      <c r="R781" s="85"/>
      <c r="S781" s="85"/>
    </row>
    <row r="782" spans="1:19" ht="15.75">
      <c r="A782" s="174"/>
      <c r="B782" s="176"/>
      <c r="C782" s="85"/>
      <c r="D782" s="175"/>
      <c r="E782" s="175"/>
      <c r="F782" s="85"/>
      <c r="G782" s="18">
        <f>C782</f>
        <v>0</v>
      </c>
      <c r="H782" s="85"/>
      <c r="I782" s="85"/>
      <c r="J782" s="174"/>
      <c r="K782" s="173"/>
      <c r="L782" s="102"/>
      <c r="M782" s="85"/>
      <c r="N782" s="85"/>
      <c r="O782" s="85"/>
      <c r="P782" s="85"/>
      <c r="Q782" s="85"/>
      <c r="R782" s="85"/>
      <c r="S782" s="85"/>
    </row>
    <row r="783" spans="1:19" ht="15.75">
      <c r="A783" s="174"/>
      <c r="B783" s="176"/>
      <c r="C783" s="85"/>
      <c r="D783" s="175"/>
      <c r="E783" s="175"/>
      <c r="F783" s="85"/>
      <c r="G783" s="18">
        <f>C783</f>
        <v>0</v>
      </c>
      <c r="H783" s="85"/>
      <c r="I783" s="85"/>
      <c r="J783" s="174"/>
      <c r="K783" s="173"/>
      <c r="L783" s="102"/>
      <c r="M783" s="85"/>
      <c r="N783" s="85"/>
      <c r="O783" s="85"/>
      <c r="P783" s="85"/>
      <c r="Q783" s="85"/>
      <c r="R783" s="85"/>
      <c r="S783" s="85"/>
    </row>
    <row r="784" spans="1:19" ht="15.75">
      <c r="A784" s="174"/>
      <c r="B784" s="176"/>
      <c r="C784" s="85"/>
      <c r="D784" s="175"/>
      <c r="E784" s="175"/>
      <c r="F784" s="85"/>
      <c r="G784" s="18">
        <f>C784</f>
        <v>0</v>
      </c>
      <c r="H784" s="85"/>
      <c r="I784" s="85"/>
      <c r="J784" s="174"/>
      <c r="K784" s="173"/>
      <c r="L784" s="102"/>
      <c r="M784" s="85"/>
      <c r="N784" s="85"/>
      <c r="O784" s="85"/>
      <c r="P784" s="85"/>
      <c r="Q784" s="85"/>
      <c r="R784" s="85"/>
      <c r="S784" s="85"/>
    </row>
    <row r="785" spans="1:19" ht="15.75">
      <c r="A785" s="174"/>
      <c r="B785" s="176"/>
      <c r="C785" s="85"/>
      <c r="D785" s="175"/>
      <c r="E785" s="175"/>
      <c r="F785" s="85"/>
      <c r="G785" s="18">
        <f>C785</f>
        <v>0</v>
      </c>
      <c r="H785" s="85"/>
      <c r="I785" s="85"/>
      <c r="J785" s="174"/>
      <c r="K785" s="173"/>
      <c r="L785" s="102"/>
      <c r="M785" s="85"/>
      <c r="N785" s="85"/>
      <c r="O785" s="85"/>
      <c r="P785" s="85"/>
      <c r="Q785" s="85"/>
      <c r="R785" s="85"/>
      <c r="S785" s="85"/>
    </row>
    <row r="786" spans="1:19" ht="15.75">
      <c r="A786" s="174"/>
      <c r="B786" s="176"/>
      <c r="C786" s="85"/>
      <c r="D786" s="175"/>
      <c r="E786" s="175"/>
      <c r="F786" s="85"/>
      <c r="G786" s="18">
        <f>C786</f>
        <v>0</v>
      </c>
      <c r="H786" s="85"/>
      <c r="I786" s="85"/>
      <c r="J786" s="174"/>
      <c r="K786" s="173"/>
      <c r="L786" s="102"/>
      <c r="M786" s="85"/>
      <c r="N786" s="85"/>
      <c r="O786" s="85"/>
      <c r="P786" s="85"/>
      <c r="Q786" s="85"/>
      <c r="R786" s="85"/>
      <c r="S786" s="85"/>
    </row>
    <row r="787" spans="1:19" ht="15.75">
      <c r="A787" s="174"/>
      <c r="B787" s="176"/>
      <c r="C787" s="85"/>
      <c r="D787" s="175"/>
      <c r="E787" s="175"/>
      <c r="F787" s="85"/>
      <c r="G787" s="18">
        <f>C787</f>
        <v>0</v>
      </c>
      <c r="H787" s="85"/>
      <c r="I787" s="85"/>
      <c r="J787" s="174"/>
      <c r="K787" s="173"/>
      <c r="L787" s="102"/>
      <c r="M787" s="85"/>
      <c r="N787" s="85"/>
      <c r="O787" s="85"/>
      <c r="P787" s="85"/>
      <c r="Q787" s="85"/>
      <c r="R787" s="85"/>
      <c r="S787" s="85"/>
    </row>
    <row r="788" spans="1:19" ht="15.75">
      <c r="A788" s="174"/>
      <c r="B788" s="176"/>
      <c r="C788" s="85"/>
      <c r="D788" s="175"/>
      <c r="E788" s="175"/>
      <c r="F788" s="85"/>
      <c r="G788" s="18">
        <f>C788</f>
        <v>0</v>
      </c>
      <c r="H788" s="85"/>
      <c r="I788" s="85"/>
      <c r="J788" s="174"/>
      <c r="K788" s="173"/>
      <c r="L788" s="102"/>
      <c r="M788" s="85"/>
      <c r="N788" s="85"/>
      <c r="O788" s="85"/>
      <c r="P788" s="85"/>
      <c r="Q788" s="85"/>
      <c r="R788" s="85"/>
      <c r="S788" s="85"/>
    </row>
    <row r="789" spans="1:19" ht="15.75">
      <c r="A789" s="174"/>
      <c r="B789" s="176"/>
      <c r="C789" s="85"/>
      <c r="D789" s="175"/>
      <c r="E789" s="175"/>
      <c r="F789" s="85"/>
      <c r="G789" s="18">
        <f>C789</f>
        <v>0</v>
      </c>
      <c r="H789" s="85"/>
      <c r="I789" s="85"/>
      <c r="J789" s="174"/>
      <c r="K789" s="173"/>
      <c r="L789" s="102"/>
      <c r="M789" s="85"/>
      <c r="N789" s="85"/>
      <c r="O789" s="85"/>
      <c r="P789" s="85"/>
      <c r="Q789" s="85"/>
      <c r="R789" s="85"/>
      <c r="S789" s="85"/>
    </row>
    <row r="790" spans="1:19" ht="15.75">
      <c r="A790" s="174"/>
      <c r="B790" s="176"/>
      <c r="C790" s="85"/>
      <c r="D790" s="175"/>
      <c r="E790" s="175"/>
      <c r="F790" s="85"/>
      <c r="G790" s="18">
        <f>C790</f>
        <v>0</v>
      </c>
      <c r="H790" s="85"/>
      <c r="I790" s="85"/>
      <c r="J790" s="174"/>
      <c r="K790" s="173"/>
      <c r="L790" s="102"/>
      <c r="M790" s="85"/>
      <c r="N790" s="85"/>
      <c r="O790" s="85"/>
      <c r="P790" s="85"/>
      <c r="Q790" s="85"/>
      <c r="R790" s="85"/>
      <c r="S790" s="85"/>
    </row>
    <row r="791" spans="1:19" ht="15.75">
      <c r="A791" s="174"/>
      <c r="B791" s="176"/>
      <c r="C791" s="85"/>
      <c r="D791" s="175"/>
      <c r="E791" s="175"/>
      <c r="F791" s="85"/>
      <c r="G791" s="18">
        <f>C791</f>
        <v>0</v>
      </c>
      <c r="H791" s="85"/>
      <c r="I791" s="85"/>
      <c r="J791" s="174"/>
      <c r="K791" s="173"/>
      <c r="L791" s="102"/>
      <c r="M791" s="85"/>
      <c r="N791" s="85"/>
      <c r="O791" s="85"/>
      <c r="P791" s="85"/>
      <c r="Q791" s="85"/>
      <c r="R791" s="85"/>
      <c r="S791" s="85"/>
    </row>
    <row r="792" spans="1:19" ht="15.75">
      <c r="A792" s="174"/>
      <c r="B792" s="176"/>
      <c r="C792" s="85"/>
      <c r="D792" s="175"/>
      <c r="E792" s="175"/>
      <c r="F792" s="85"/>
      <c r="G792" s="18">
        <f>C792</f>
        <v>0</v>
      </c>
      <c r="H792" s="85"/>
      <c r="I792" s="85"/>
      <c r="J792" s="174"/>
      <c r="K792" s="173"/>
      <c r="L792" s="102"/>
      <c r="M792" s="85"/>
      <c r="N792" s="85"/>
      <c r="O792" s="85"/>
      <c r="P792" s="85"/>
      <c r="Q792" s="85"/>
      <c r="R792" s="85"/>
      <c r="S792" s="85"/>
    </row>
    <row r="793" spans="1:19" ht="15.75">
      <c r="A793" s="174"/>
      <c r="B793" s="176"/>
      <c r="C793" s="85"/>
      <c r="D793" s="175"/>
      <c r="E793" s="175"/>
      <c r="F793" s="85"/>
      <c r="G793" s="18">
        <f>C793</f>
        <v>0</v>
      </c>
      <c r="H793" s="85"/>
      <c r="I793" s="85"/>
      <c r="J793" s="174"/>
      <c r="K793" s="173"/>
      <c r="L793" s="102"/>
      <c r="M793" s="85"/>
      <c r="N793" s="85"/>
      <c r="O793" s="85"/>
      <c r="P793" s="85"/>
      <c r="Q793" s="85"/>
      <c r="R793" s="85"/>
      <c r="S793" s="85"/>
    </row>
    <row r="794" spans="1:19" ht="15.75">
      <c r="A794" s="174"/>
      <c r="B794" s="176"/>
      <c r="C794" s="85"/>
      <c r="D794" s="175"/>
      <c r="E794" s="175"/>
      <c r="F794" s="85"/>
      <c r="G794" s="18">
        <f>C794</f>
        <v>0</v>
      </c>
      <c r="H794" s="85"/>
      <c r="I794" s="85"/>
      <c r="J794" s="174"/>
      <c r="K794" s="173"/>
      <c r="L794" s="102"/>
      <c r="M794" s="85"/>
      <c r="N794" s="85"/>
      <c r="O794" s="85"/>
      <c r="P794" s="85"/>
      <c r="Q794" s="85"/>
      <c r="R794" s="85"/>
      <c r="S794" s="85"/>
    </row>
    <row r="795" spans="1:19" ht="15.75">
      <c r="A795" s="174"/>
      <c r="B795" s="176"/>
      <c r="C795" s="85"/>
      <c r="D795" s="175"/>
      <c r="E795" s="175"/>
      <c r="F795" s="85"/>
      <c r="G795" s="18">
        <f>C795</f>
        <v>0</v>
      </c>
      <c r="H795" s="85"/>
      <c r="I795" s="85"/>
      <c r="J795" s="174"/>
      <c r="K795" s="173"/>
      <c r="L795" s="102"/>
      <c r="M795" s="85"/>
      <c r="N795" s="85"/>
      <c r="O795" s="85"/>
      <c r="P795" s="85"/>
      <c r="Q795" s="85"/>
      <c r="R795" s="85"/>
      <c r="S795" s="85"/>
    </row>
    <row r="796" spans="1:19" ht="15.75">
      <c r="A796" s="174"/>
      <c r="B796" s="176"/>
      <c r="C796" s="85"/>
      <c r="D796" s="175"/>
      <c r="E796" s="175"/>
      <c r="F796" s="85"/>
      <c r="G796" s="18">
        <f>C796</f>
        <v>0</v>
      </c>
      <c r="H796" s="85"/>
      <c r="I796" s="85"/>
      <c r="J796" s="174"/>
      <c r="K796" s="173"/>
      <c r="L796" s="102"/>
      <c r="M796" s="85"/>
      <c r="N796" s="85"/>
      <c r="O796" s="85"/>
      <c r="P796" s="85"/>
      <c r="Q796" s="85"/>
      <c r="R796" s="85"/>
      <c r="S796" s="85"/>
    </row>
    <row r="797" spans="1:19" ht="15.75">
      <c r="A797" s="174"/>
      <c r="B797" s="176"/>
      <c r="C797" s="85"/>
      <c r="D797" s="175"/>
      <c r="E797" s="175"/>
      <c r="F797" s="85"/>
      <c r="G797" s="18">
        <f>C797</f>
        <v>0</v>
      </c>
      <c r="H797" s="85"/>
      <c r="I797" s="85"/>
      <c r="J797" s="174"/>
      <c r="K797" s="173"/>
      <c r="L797" s="102"/>
      <c r="M797" s="85"/>
      <c r="N797" s="85"/>
      <c r="O797" s="85"/>
      <c r="P797" s="85"/>
      <c r="Q797" s="85"/>
      <c r="R797" s="85"/>
      <c r="S797" s="85"/>
    </row>
    <row r="798" spans="1:19" ht="15.75">
      <c r="A798" s="174"/>
      <c r="B798" s="176"/>
      <c r="C798" s="85"/>
      <c r="D798" s="175"/>
      <c r="E798" s="175"/>
      <c r="F798" s="85"/>
      <c r="G798" s="18">
        <f>C798</f>
        <v>0</v>
      </c>
      <c r="H798" s="85"/>
      <c r="I798" s="85"/>
      <c r="J798" s="174"/>
      <c r="K798" s="173"/>
      <c r="L798" s="102"/>
      <c r="M798" s="85"/>
      <c r="N798" s="85"/>
      <c r="O798" s="85"/>
      <c r="P798" s="85"/>
      <c r="Q798" s="85"/>
      <c r="R798" s="85"/>
      <c r="S798" s="85"/>
    </row>
    <row r="799" spans="1:19" ht="15.75">
      <c r="A799" s="174"/>
      <c r="B799" s="176"/>
      <c r="C799" s="85"/>
      <c r="D799" s="175"/>
      <c r="E799" s="175"/>
      <c r="F799" s="85"/>
      <c r="G799" s="18">
        <f>C799</f>
        <v>0</v>
      </c>
      <c r="H799" s="85"/>
      <c r="I799" s="85"/>
      <c r="J799" s="174"/>
      <c r="K799" s="173"/>
      <c r="L799" s="102"/>
      <c r="M799" s="85"/>
      <c r="N799" s="85"/>
      <c r="O799" s="85"/>
      <c r="P799" s="85"/>
      <c r="Q799" s="85"/>
      <c r="R799" s="85"/>
      <c r="S799" s="85"/>
    </row>
    <row r="800" spans="1:19" ht="15.75">
      <c r="A800" s="174"/>
      <c r="B800" s="176"/>
      <c r="C800" s="85"/>
      <c r="D800" s="175"/>
      <c r="E800" s="175"/>
      <c r="F800" s="85"/>
      <c r="G800" s="18">
        <f>C800</f>
        <v>0</v>
      </c>
      <c r="H800" s="85"/>
      <c r="I800" s="85"/>
      <c r="J800" s="174"/>
      <c r="K800" s="173"/>
      <c r="L800" s="102"/>
      <c r="M800" s="85"/>
      <c r="N800" s="85"/>
      <c r="O800" s="85"/>
      <c r="P800" s="85"/>
      <c r="Q800" s="85"/>
      <c r="R800" s="85"/>
      <c r="S800" s="85"/>
    </row>
    <row r="801" spans="1:19" ht="15.75">
      <c r="A801" s="174"/>
      <c r="B801" s="176"/>
      <c r="C801" s="85"/>
      <c r="D801" s="175"/>
      <c r="E801" s="175"/>
      <c r="F801" s="85"/>
      <c r="G801" s="18">
        <f>C801</f>
        <v>0</v>
      </c>
      <c r="H801" s="85"/>
      <c r="I801" s="85"/>
      <c r="J801" s="174"/>
      <c r="K801" s="173"/>
      <c r="L801" s="102"/>
      <c r="M801" s="85"/>
      <c r="N801" s="85"/>
      <c r="O801" s="85"/>
      <c r="P801" s="85"/>
      <c r="Q801" s="85"/>
      <c r="R801" s="85"/>
      <c r="S801" s="85"/>
    </row>
    <row r="802" spans="1:19" ht="15.75">
      <c r="A802" s="174"/>
      <c r="B802" s="176"/>
      <c r="C802" s="85"/>
      <c r="D802" s="175"/>
      <c r="E802" s="175"/>
      <c r="F802" s="85"/>
      <c r="G802" s="18">
        <f>C802</f>
        <v>0</v>
      </c>
      <c r="H802" s="85"/>
      <c r="I802" s="85"/>
      <c r="J802" s="174"/>
      <c r="K802" s="173"/>
      <c r="L802" s="102"/>
      <c r="M802" s="85"/>
      <c r="N802" s="85"/>
      <c r="O802" s="85"/>
      <c r="P802" s="85"/>
      <c r="Q802" s="85"/>
      <c r="R802" s="85"/>
      <c r="S802" s="85"/>
    </row>
    <row r="803" spans="1:19" ht="15.75">
      <c r="A803" s="174"/>
      <c r="B803" s="176"/>
      <c r="C803" s="85"/>
      <c r="D803" s="175"/>
      <c r="E803" s="175"/>
      <c r="F803" s="85"/>
      <c r="G803" s="18">
        <f>C803</f>
        <v>0</v>
      </c>
      <c r="H803" s="85"/>
      <c r="I803" s="85"/>
      <c r="J803" s="174"/>
      <c r="K803" s="173"/>
      <c r="L803" s="102"/>
      <c r="M803" s="85"/>
      <c r="N803" s="85"/>
      <c r="O803" s="85"/>
      <c r="P803" s="85"/>
      <c r="Q803" s="85"/>
      <c r="R803" s="85"/>
      <c r="S803" s="85"/>
    </row>
    <row r="804" spans="1:19" ht="15.75">
      <c r="A804" s="174"/>
      <c r="B804" s="176"/>
      <c r="C804" s="85"/>
      <c r="D804" s="175"/>
      <c r="E804" s="175"/>
      <c r="F804" s="85"/>
      <c r="G804" s="18">
        <f>C804</f>
        <v>0</v>
      </c>
      <c r="H804" s="85"/>
      <c r="I804" s="85"/>
      <c r="J804" s="174"/>
      <c r="K804" s="173"/>
      <c r="L804" s="102"/>
      <c r="M804" s="85"/>
      <c r="N804" s="85"/>
      <c r="O804" s="85"/>
      <c r="P804" s="85"/>
      <c r="Q804" s="85"/>
      <c r="R804" s="85"/>
      <c r="S804" s="85"/>
    </row>
    <row r="805" spans="1:19" ht="15.75">
      <c r="A805" s="174"/>
      <c r="B805" s="176"/>
      <c r="C805" s="85"/>
      <c r="D805" s="175"/>
      <c r="E805" s="175"/>
      <c r="F805" s="85"/>
      <c r="G805" s="18">
        <f>C805</f>
        <v>0</v>
      </c>
      <c r="H805" s="85"/>
      <c r="I805" s="85"/>
      <c r="J805" s="174"/>
      <c r="K805" s="173"/>
      <c r="L805" s="102"/>
      <c r="M805" s="85"/>
      <c r="N805" s="85"/>
      <c r="O805" s="85"/>
      <c r="P805" s="85"/>
      <c r="Q805" s="85"/>
      <c r="R805" s="85"/>
      <c r="S805" s="85"/>
    </row>
    <row r="806" spans="1:19" ht="15.75">
      <c r="A806" s="174"/>
      <c r="B806" s="176"/>
      <c r="C806" s="85"/>
      <c r="D806" s="175"/>
      <c r="E806" s="175"/>
      <c r="F806" s="85"/>
      <c r="G806" s="18">
        <f>C806</f>
        <v>0</v>
      </c>
      <c r="H806" s="85"/>
      <c r="I806" s="85"/>
      <c r="J806" s="174"/>
      <c r="K806" s="173"/>
      <c r="L806" s="102"/>
      <c r="M806" s="85"/>
      <c r="N806" s="85"/>
      <c r="O806" s="85"/>
      <c r="P806" s="85"/>
      <c r="Q806" s="85"/>
      <c r="R806" s="85"/>
      <c r="S806" s="85"/>
    </row>
    <row r="807" spans="1:19" ht="15.75">
      <c r="A807" s="174"/>
      <c r="B807" s="176"/>
      <c r="C807" s="85"/>
      <c r="D807" s="175"/>
      <c r="E807" s="175"/>
      <c r="F807" s="85"/>
      <c r="G807" s="18">
        <f>C807</f>
        <v>0</v>
      </c>
      <c r="H807" s="85"/>
      <c r="I807" s="85"/>
      <c r="J807" s="174"/>
      <c r="K807" s="173"/>
      <c r="L807" s="102"/>
      <c r="M807" s="85"/>
      <c r="N807" s="85"/>
      <c r="O807" s="85"/>
      <c r="P807" s="85"/>
      <c r="Q807" s="85"/>
      <c r="R807" s="85"/>
      <c r="S807" s="85"/>
    </row>
    <row r="808" spans="1:19" ht="15.75">
      <c r="A808" s="174"/>
      <c r="B808" s="176"/>
      <c r="C808" s="85"/>
      <c r="D808" s="175"/>
      <c r="E808" s="175"/>
      <c r="F808" s="85"/>
      <c r="G808" s="18">
        <f>C808</f>
        <v>0</v>
      </c>
      <c r="H808" s="85"/>
      <c r="I808" s="85"/>
      <c r="J808" s="174"/>
      <c r="K808" s="173"/>
      <c r="L808" s="102"/>
      <c r="M808" s="85"/>
      <c r="N808" s="85"/>
      <c r="O808" s="85"/>
      <c r="P808" s="85"/>
      <c r="Q808" s="85"/>
      <c r="R808" s="85"/>
      <c r="S808" s="85"/>
    </row>
    <row r="809" spans="1:19" ht="15.75">
      <c r="A809" s="174"/>
      <c r="B809" s="176"/>
      <c r="C809" s="85"/>
      <c r="D809" s="175"/>
      <c r="E809" s="175"/>
      <c r="F809" s="85"/>
      <c r="G809" s="18">
        <f>C809</f>
        <v>0</v>
      </c>
      <c r="H809" s="85"/>
      <c r="I809" s="85"/>
      <c r="J809" s="174"/>
      <c r="K809" s="173"/>
      <c r="L809" s="102"/>
      <c r="M809" s="85"/>
      <c r="N809" s="85"/>
      <c r="O809" s="85"/>
      <c r="P809" s="85"/>
      <c r="Q809" s="85"/>
      <c r="R809" s="85"/>
      <c r="S809" s="85"/>
    </row>
    <row r="810" spans="1:19" ht="15.75">
      <c r="A810" s="174"/>
      <c r="B810" s="176"/>
      <c r="C810" s="85"/>
      <c r="D810" s="175"/>
      <c r="E810" s="175"/>
      <c r="F810" s="85"/>
      <c r="G810" s="18">
        <f>C810</f>
        <v>0</v>
      </c>
      <c r="H810" s="85"/>
      <c r="I810" s="85"/>
      <c r="J810" s="174"/>
      <c r="K810" s="173"/>
      <c r="L810" s="102"/>
      <c r="M810" s="85"/>
      <c r="N810" s="85"/>
      <c r="O810" s="85"/>
      <c r="P810" s="85"/>
      <c r="Q810" s="85"/>
      <c r="R810" s="85"/>
      <c r="S810" s="85"/>
    </row>
    <row r="811" spans="1:19" ht="15.75">
      <c r="A811" s="174"/>
      <c r="B811" s="176"/>
      <c r="C811" s="85"/>
      <c r="D811" s="175"/>
      <c r="E811" s="175"/>
      <c r="F811" s="85"/>
      <c r="G811" s="18">
        <f>C811</f>
        <v>0</v>
      </c>
      <c r="H811" s="85"/>
      <c r="I811" s="85"/>
      <c r="J811" s="174"/>
      <c r="K811" s="173"/>
      <c r="L811" s="102"/>
      <c r="M811" s="85"/>
      <c r="N811" s="85"/>
      <c r="O811" s="85"/>
      <c r="P811" s="85"/>
      <c r="Q811" s="85"/>
      <c r="R811" s="85"/>
      <c r="S811" s="85"/>
    </row>
    <row r="812" spans="1:19" ht="15.75">
      <c r="A812" s="174"/>
      <c r="B812" s="176"/>
      <c r="C812" s="85"/>
      <c r="D812" s="175"/>
      <c r="E812" s="175"/>
      <c r="F812" s="85"/>
      <c r="G812" s="18">
        <f>C812</f>
        <v>0</v>
      </c>
      <c r="H812" s="85"/>
      <c r="I812" s="85"/>
      <c r="J812" s="174"/>
      <c r="K812" s="173"/>
      <c r="L812" s="102"/>
      <c r="M812" s="85"/>
      <c r="N812" s="85"/>
      <c r="O812" s="85"/>
      <c r="P812" s="85"/>
      <c r="Q812" s="85"/>
      <c r="R812" s="85"/>
      <c r="S812" s="85"/>
    </row>
    <row r="813" spans="1:19" ht="15.75">
      <c r="A813" s="174"/>
      <c r="B813" s="176"/>
      <c r="C813" s="85"/>
      <c r="D813" s="175"/>
      <c r="E813" s="175"/>
      <c r="F813" s="85"/>
      <c r="G813" s="18">
        <f>C813</f>
        <v>0</v>
      </c>
      <c r="H813" s="85"/>
      <c r="I813" s="85"/>
      <c r="J813" s="174"/>
      <c r="K813" s="173"/>
      <c r="L813" s="102"/>
      <c r="M813" s="85"/>
      <c r="N813" s="85"/>
      <c r="O813" s="85"/>
      <c r="P813" s="85"/>
      <c r="Q813" s="85"/>
      <c r="R813" s="85"/>
      <c r="S813" s="85"/>
    </row>
    <row r="814" spans="1:19" ht="15.75">
      <c r="A814" s="174"/>
      <c r="B814" s="176"/>
      <c r="C814" s="85"/>
      <c r="D814" s="175"/>
      <c r="E814" s="175"/>
      <c r="F814" s="85"/>
      <c r="G814" s="18">
        <f>C814</f>
        <v>0</v>
      </c>
      <c r="H814" s="85"/>
      <c r="I814" s="85"/>
      <c r="J814" s="174"/>
      <c r="K814" s="173"/>
      <c r="L814" s="102"/>
      <c r="M814" s="85"/>
      <c r="N814" s="85"/>
      <c r="O814" s="85"/>
      <c r="P814" s="85"/>
      <c r="Q814" s="85"/>
      <c r="R814" s="85"/>
      <c r="S814" s="85"/>
    </row>
    <row r="815" spans="1:19" ht="15.75">
      <c r="A815" s="174"/>
      <c r="B815" s="176"/>
      <c r="C815" s="85"/>
      <c r="D815" s="175"/>
      <c r="E815" s="175"/>
      <c r="F815" s="85"/>
      <c r="G815" s="18">
        <f>C815</f>
        <v>0</v>
      </c>
      <c r="H815" s="85"/>
      <c r="I815" s="85"/>
      <c r="J815" s="174"/>
      <c r="K815" s="173"/>
      <c r="L815" s="102"/>
      <c r="M815" s="85"/>
      <c r="N815" s="85"/>
      <c r="O815" s="85"/>
      <c r="P815" s="85"/>
      <c r="Q815" s="85"/>
      <c r="R815" s="85"/>
      <c r="S815" s="85"/>
    </row>
    <row r="816" spans="1:19" ht="15.75">
      <c r="A816" s="174"/>
      <c r="B816" s="176"/>
      <c r="C816" s="85"/>
      <c r="D816" s="175"/>
      <c r="E816" s="175"/>
      <c r="F816" s="85"/>
      <c r="G816" s="18">
        <f>C816</f>
        <v>0</v>
      </c>
      <c r="H816" s="85"/>
      <c r="I816" s="85"/>
      <c r="J816" s="174"/>
      <c r="K816" s="173"/>
      <c r="L816" s="102"/>
      <c r="M816" s="85"/>
      <c r="N816" s="85"/>
      <c r="O816" s="85"/>
      <c r="P816" s="85"/>
      <c r="Q816" s="85"/>
      <c r="R816" s="85"/>
      <c r="S816" s="85"/>
    </row>
    <row r="817" spans="1:19" ht="15.75">
      <c r="A817" s="174"/>
      <c r="B817" s="176"/>
      <c r="C817" s="85"/>
      <c r="D817" s="175"/>
      <c r="E817" s="175"/>
      <c r="F817" s="85"/>
      <c r="G817" s="18">
        <f>C817</f>
        <v>0</v>
      </c>
      <c r="H817" s="85"/>
      <c r="I817" s="85"/>
      <c r="J817" s="174"/>
      <c r="K817" s="173"/>
      <c r="L817" s="102"/>
      <c r="M817" s="85"/>
      <c r="N817" s="85"/>
      <c r="O817" s="85"/>
      <c r="P817" s="85"/>
      <c r="Q817" s="85"/>
      <c r="R817" s="85"/>
      <c r="S817" s="85"/>
    </row>
    <row r="818" spans="1:19" ht="15.75">
      <c r="A818" s="174"/>
      <c r="B818" s="176"/>
      <c r="C818" s="85"/>
      <c r="D818" s="175"/>
      <c r="E818" s="175"/>
      <c r="F818" s="85"/>
      <c r="G818" s="18">
        <f>C818</f>
        <v>0</v>
      </c>
      <c r="H818" s="85"/>
      <c r="I818" s="85"/>
      <c r="J818" s="174"/>
      <c r="K818" s="173"/>
      <c r="L818" s="102"/>
      <c r="M818" s="85"/>
      <c r="N818" s="85"/>
      <c r="O818" s="85"/>
      <c r="P818" s="85"/>
      <c r="Q818" s="85"/>
      <c r="R818" s="85"/>
      <c r="S818" s="85"/>
    </row>
    <row r="819" spans="1:19" ht="15.75">
      <c r="A819" s="174"/>
      <c r="B819" s="176"/>
      <c r="C819" s="85"/>
      <c r="D819" s="175"/>
      <c r="E819" s="175"/>
      <c r="F819" s="85"/>
      <c r="G819" s="18">
        <f>C819</f>
        <v>0</v>
      </c>
      <c r="H819" s="85"/>
      <c r="I819" s="85"/>
      <c r="J819" s="174"/>
      <c r="K819" s="173"/>
      <c r="L819" s="102"/>
      <c r="M819" s="85"/>
      <c r="N819" s="85"/>
      <c r="O819" s="85"/>
      <c r="P819" s="85"/>
      <c r="Q819" s="85"/>
      <c r="R819" s="85"/>
      <c r="S819" s="85"/>
    </row>
    <row r="820" spans="1:19" ht="15.75">
      <c r="A820" s="174"/>
      <c r="B820" s="176"/>
      <c r="C820" s="85"/>
      <c r="D820" s="175"/>
      <c r="E820" s="175"/>
      <c r="F820" s="85"/>
      <c r="G820" s="18">
        <f>C820</f>
        <v>0</v>
      </c>
      <c r="H820" s="85"/>
      <c r="I820" s="85"/>
      <c r="J820" s="174"/>
      <c r="K820" s="173"/>
      <c r="L820" s="102"/>
      <c r="M820" s="85"/>
      <c r="N820" s="85"/>
      <c r="O820" s="85"/>
      <c r="P820" s="85"/>
      <c r="Q820" s="85"/>
      <c r="R820" s="85"/>
      <c r="S820" s="85"/>
    </row>
    <row r="821" spans="1:19" ht="15.75">
      <c r="A821" s="174"/>
      <c r="B821" s="176"/>
      <c r="C821" s="85"/>
      <c r="D821" s="175"/>
      <c r="E821" s="175"/>
      <c r="F821" s="85"/>
      <c r="G821" s="18">
        <f>C821</f>
        <v>0</v>
      </c>
      <c r="H821" s="85"/>
      <c r="I821" s="85"/>
      <c r="J821" s="174"/>
      <c r="K821" s="173"/>
      <c r="L821" s="102"/>
      <c r="M821" s="85"/>
      <c r="N821" s="85"/>
      <c r="O821" s="85"/>
      <c r="P821" s="85"/>
      <c r="Q821" s="85"/>
      <c r="R821" s="85"/>
      <c r="S821" s="85"/>
    </row>
    <row r="822" spans="1:19" ht="15.75">
      <c r="A822" s="174"/>
      <c r="B822" s="176"/>
      <c r="C822" s="85"/>
      <c r="D822" s="175"/>
      <c r="E822" s="175"/>
      <c r="F822" s="85"/>
      <c r="G822" s="18">
        <f>C822</f>
        <v>0</v>
      </c>
      <c r="H822" s="85"/>
      <c r="I822" s="85"/>
      <c r="J822" s="174"/>
      <c r="K822" s="173"/>
      <c r="L822" s="102"/>
      <c r="M822" s="85"/>
      <c r="N822" s="85"/>
      <c r="O822" s="85"/>
      <c r="P822" s="85"/>
      <c r="Q822" s="85"/>
      <c r="R822" s="85"/>
      <c r="S822" s="85"/>
    </row>
    <row r="823" spans="1:19" ht="15.75">
      <c r="A823" s="174"/>
      <c r="B823" s="176"/>
      <c r="C823" s="85"/>
      <c r="D823" s="175"/>
      <c r="E823" s="175"/>
      <c r="F823" s="85"/>
      <c r="G823" s="18">
        <f>C823</f>
        <v>0</v>
      </c>
      <c r="H823" s="85"/>
      <c r="I823" s="85"/>
      <c r="J823" s="174"/>
      <c r="K823" s="173"/>
      <c r="L823" s="102"/>
      <c r="M823" s="85"/>
      <c r="N823" s="85"/>
      <c r="O823" s="85"/>
      <c r="P823" s="85"/>
      <c r="Q823" s="85"/>
      <c r="R823" s="85"/>
      <c r="S823" s="85"/>
    </row>
    <row r="824" spans="1:19" ht="15.75">
      <c r="A824" s="174"/>
      <c r="B824" s="176"/>
      <c r="C824" s="85"/>
      <c r="D824" s="175"/>
      <c r="E824" s="175"/>
      <c r="F824" s="85"/>
      <c r="G824" s="18">
        <f>C824</f>
        <v>0</v>
      </c>
      <c r="H824" s="85"/>
      <c r="I824" s="85"/>
      <c r="J824" s="174"/>
      <c r="K824" s="173"/>
      <c r="L824" s="102"/>
      <c r="M824" s="85"/>
      <c r="N824" s="85"/>
      <c r="O824" s="85"/>
      <c r="P824" s="85"/>
      <c r="Q824" s="85"/>
      <c r="R824" s="85"/>
      <c r="S824" s="85"/>
    </row>
    <row r="825" spans="1:19" ht="15.75">
      <c r="A825" s="174"/>
      <c r="B825" s="176"/>
      <c r="C825" s="85"/>
      <c r="D825" s="175"/>
      <c r="E825" s="175"/>
      <c r="F825" s="85"/>
      <c r="G825" s="18">
        <f>C825</f>
        <v>0</v>
      </c>
      <c r="H825" s="85"/>
      <c r="I825" s="85"/>
      <c r="J825" s="174"/>
      <c r="K825" s="173"/>
      <c r="L825" s="102"/>
      <c r="M825" s="85"/>
      <c r="N825" s="85"/>
      <c r="O825" s="85"/>
      <c r="P825" s="85"/>
      <c r="Q825" s="85"/>
      <c r="R825" s="85"/>
      <c r="S825" s="85"/>
    </row>
    <row r="826" spans="1:19" ht="15.75">
      <c r="A826" s="174"/>
      <c r="B826" s="176"/>
      <c r="C826" s="85"/>
      <c r="D826" s="175"/>
      <c r="E826" s="175"/>
      <c r="F826" s="85"/>
      <c r="G826" s="18">
        <f>C826</f>
        <v>0</v>
      </c>
      <c r="H826" s="85"/>
      <c r="I826" s="85"/>
      <c r="J826" s="174"/>
      <c r="K826" s="173"/>
      <c r="L826" s="102"/>
      <c r="M826" s="85"/>
      <c r="N826" s="85"/>
      <c r="O826" s="85"/>
      <c r="P826" s="85"/>
      <c r="Q826" s="85"/>
      <c r="R826" s="85"/>
      <c r="S826" s="85"/>
    </row>
    <row r="827" spans="1:19" ht="15.75">
      <c r="A827" s="174"/>
      <c r="B827" s="176"/>
      <c r="C827" s="85"/>
      <c r="D827" s="175"/>
      <c r="E827" s="175"/>
      <c r="F827" s="85"/>
      <c r="G827" s="18">
        <f>C827</f>
        <v>0</v>
      </c>
      <c r="H827" s="85"/>
      <c r="I827" s="85"/>
      <c r="J827" s="174"/>
      <c r="K827" s="173"/>
      <c r="L827" s="102"/>
      <c r="M827" s="85"/>
      <c r="N827" s="85"/>
      <c r="O827" s="85"/>
      <c r="P827" s="85"/>
      <c r="Q827" s="85"/>
      <c r="R827" s="85"/>
      <c r="S827" s="85"/>
    </row>
    <row r="828" spans="1:19" ht="15.75">
      <c r="A828" s="174"/>
      <c r="B828" s="176"/>
      <c r="C828" s="85"/>
      <c r="D828" s="175"/>
      <c r="E828" s="175"/>
      <c r="F828" s="85"/>
      <c r="G828" s="18">
        <f>C828</f>
        <v>0</v>
      </c>
      <c r="H828" s="85"/>
      <c r="I828" s="85"/>
      <c r="J828" s="174"/>
      <c r="K828" s="173"/>
      <c r="L828" s="102"/>
      <c r="M828" s="85"/>
      <c r="N828" s="85"/>
      <c r="O828" s="85"/>
      <c r="P828" s="85"/>
      <c r="Q828" s="85"/>
      <c r="R828" s="85"/>
      <c r="S828" s="85"/>
    </row>
    <row r="829" spans="1:19" ht="15.75">
      <c r="A829" s="174"/>
      <c r="B829" s="176"/>
      <c r="C829" s="85"/>
      <c r="D829" s="175"/>
      <c r="E829" s="175"/>
      <c r="F829" s="85"/>
      <c r="G829" s="18">
        <f>C829</f>
        <v>0</v>
      </c>
      <c r="H829" s="85"/>
      <c r="I829" s="85"/>
      <c r="J829" s="174"/>
      <c r="K829" s="173"/>
      <c r="L829" s="102"/>
      <c r="M829" s="85"/>
      <c r="N829" s="85"/>
      <c r="O829" s="85"/>
      <c r="P829" s="85"/>
      <c r="Q829" s="85"/>
      <c r="R829" s="85"/>
      <c r="S829" s="85"/>
    </row>
    <row r="830" spans="1:19" ht="15.75">
      <c r="A830" s="174"/>
      <c r="B830" s="176"/>
      <c r="C830" s="85"/>
      <c r="D830" s="175"/>
      <c r="E830" s="175"/>
      <c r="F830" s="85"/>
      <c r="G830" s="18">
        <f>C830</f>
        <v>0</v>
      </c>
      <c r="H830" s="85"/>
      <c r="I830" s="85"/>
      <c r="J830" s="174"/>
      <c r="K830" s="173"/>
      <c r="L830" s="102"/>
      <c r="M830" s="85"/>
      <c r="N830" s="85"/>
      <c r="O830" s="85"/>
      <c r="P830" s="85"/>
      <c r="Q830" s="85"/>
      <c r="R830" s="85"/>
      <c r="S830" s="85"/>
    </row>
    <row r="831" spans="1:19" ht="15.75">
      <c r="A831" s="174"/>
      <c r="B831" s="176"/>
      <c r="C831" s="85"/>
      <c r="D831" s="175"/>
      <c r="E831" s="175"/>
      <c r="F831" s="85"/>
      <c r="G831" s="18">
        <f>C831</f>
        <v>0</v>
      </c>
      <c r="H831" s="85"/>
      <c r="I831" s="85"/>
      <c r="J831" s="174"/>
      <c r="K831" s="173"/>
      <c r="L831" s="102"/>
      <c r="M831" s="85"/>
      <c r="N831" s="85"/>
      <c r="O831" s="85"/>
      <c r="P831" s="85"/>
      <c r="Q831" s="85"/>
      <c r="R831" s="85"/>
      <c r="S831" s="85"/>
    </row>
    <row r="832" spans="1:19" ht="15.75">
      <c r="A832" s="174"/>
      <c r="B832" s="176"/>
      <c r="C832" s="85"/>
      <c r="D832" s="175"/>
      <c r="E832" s="175"/>
      <c r="F832" s="85"/>
      <c r="G832" s="18">
        <f>C832</f>
        <v>0</v>
      </c>
      <c r="H832" s="85"/>
      <c r="I832" s="85"/>
      <c r="J832" s="174"/>
      <c r="K832" s="173"/>
      <c r="L832" s="102"/>
      <c r="M832" s="85"/>
      <c r="N832" s="85"/>
      <c r="O832" s="85"/>
      <c r="P832" s="85"/>
      <c r="Q832" s="85"/>
      <c r="R832" s="85"/>
      <c r="S832" s="85"/>
    </row>
    <row r="833" spans="1:19" ht="15.75">
      <c r="A833" s="174"/>
      <c r="B833" s="176"/>
      <c r="C833" s="85"/>
      <c r="D833" s="175"/>
      <c r="E833" s="175"/>
      <c r="F833" s="85"/>
      <c r="G833" s="18">
        <f>C833</f>
        <v>0</v>
      </c>
      <c r="H833" s="85"/>
      <c r="I833" s="85"/>
      <c r="J833" s="174"/>
      <c r="K833" s="173"/>
      <c r="L833" s="102"/>
      <c r="M833" s="85"/>
      <c r="N833" s="85"/>
      <c r="O833" s="85"/>
      <c r="P833" s="85"/>
      <c r="Q833" s="85"/>
      <c r="R833" s="85"/>
      <c r="S833" s="85"/>
    </row>
    <row r="834" spans="1:19" ht="15.75">
      <c r="A834" s="174"/>
      <c r="B834" s="176"/>
      <c r="C834" s="85"/>
      <c r="D834" s="175"/>
      <c r="E834" s="175"/>
      <c r="F834" s="85"/>
      <c r="G834" s="18">
        <f>C834</f>
        <v>0</v>
      </c>
      <c r="H834" s="85"/>
      <c r="I834" s="85"/>
      <c r="J834" s="174"/>
      <c r="K834" s="173"/>
      <c r="L834" s="102"/>
      <c r="M834" s="85"/>
      <c r="N834" s="85"/>
      <c r="O834" s="85"/>
      <c r="P834" s="85"/>
      <c r="Q834" s="85"/>
      <c r="R834" s="85"/>
      <c r="S834" s="85"/>
    </row>
    <row r="835" spans="1:19" ht="15.75">
      <c r="A835" s="174"/>
      <c r="B835" s="176"/>
      <c r="C835" s="85"/>
      <c r="D835" s="175"/>
      <c r="E835" s="175"/>
      <c r="F835" s="85"/>
      <c r="G835" s="18">
        <f>C835</f>
        <v>0</v>
      </c>
      <c r="H835" s="85"/>
      <c r="I835" s="85"/>
      <c r="J835" s="174"/>
      <c r="K835" s="173"/>
      <c r="L835" s="102"/>
      <c r="M835" s="85"/>
      <c r="N835" s="85"/>
      <c r="O835" s="85"/>
      <c r="P835" s="85"/>
      <c r="Q835" s="85"/>
      <c r="R835" s="85"/>
      <c r="S835" s="85"/>
    </row>
    <row r="836" spans="1:19" ht="15.75">
      <c r="A836" s="174"/>
      <c r="B836" s="176"/>
      <c r="C836" s="85"/>
      <c r="D836" s="175"/>
      <c r="E836" s="175"/>
      <c r="F836" s="85"/>
      <c r="G836" s="18">
        <f>C836</f>
        <v>0</v>
      </c>
      <c r="H836" s="85"/>
      <c r="I836" s="85"/>
      <c r="J836" s="174"/>
      <c r="K836" s="173"/>
      <c r="L836" s="102"/>
      <c r="M836" s="85"/>
      <c r="N836" s="85"/>
      <c r="O836" s="85"/>
      <c r="P836" s="85"/>
      <c r="Q836" s="85"/>
      <c r="R836" s="85"/>
      <c r="S836" s="85"/>
    </row>
    <row r="837" spans="1:19" ht="15.75">
      <c r="A837" s="174"/>
      <c r="B837" s="176"/>
      <c r="C837" s="85"/>
      <c r="D837" s="175"/>
      <c r="E837" s="175"/>
      <c r="F837" s="85"/>
      <c r="G837" s="18">
        <f>C837</f>
        <v>0</v>
      </c>
      <c r="H837" s="85"/>
      <c r="I837" s="85"/>
      <c r="J837" s="174"/>
      <c r="K837" s="173"/>
      <c r="L837" s="102"/>
      <c r="M837" s="85"/>
      <c r="N837" s="85"/>
      <c r="O837" s="85"/>
      <c r="P837" s="85"/>
      <c r="Q837" s="85"/>
      <c r="R837" s="85"/>
      <c r="S837" s="85"/>
    </row>
    <row r="838" spans="1:19" ht="15.75">
      <c r="A838" s="174"/>
      <c r="B838" s="176"/>
      <c r="C838" s="85"/>
      <c r="D838" s="175"/>
      <c r="E838" s="175"/>
      <c r="F838" s="85"/>
      <c r="G838" s="18">
        <f>C838</f>
        <v>0</v>
      </c>
      <c r="H838" s="85"/>
      <c r="I838" s="85"/>
      <c r="J838" s="174"/>
      <c r="K838" s="173"/>
      <c r="L838" s="102"/>
      <c r="M838" s="85"/>
      <c r="N838" s="85"/>
      <c r="O838" s="85"/>
      <c r="P838" s="85"/>
      <c r="Q838" s="85"/>
      <c r="R838" s="85"/>
      <c r="S838" s="85"/>
    </row>
    <row r="839" spans="1:19" ht="15.75">
      <c r="A839" s="174"/>
      <c r="B839" s="176"/>
      <c r="C839" s="85"/>
      <c r="D839" s="175"/>
      <c r="E839" s="175"/>
      <c r="F839" s="85"/>
      <c r="G839" s="18">
        <f>C839</f>
        <v>0</v>
      </c>
      <c r="H839" s="85"/>
      <c r="I839" s="85"/>
      <c r="J839" s="174"/>
      <c r="K839" s="173"/>
      <c r="L839" s="102"/>
      <c r="M839" s="85"/>
      <c r="N839" s="85"/>
      <c r="O839" s="85"/>
      <c r="P839" s="85"/>
      <c r="Q839" s="85"/>
      <c r="R839" s="85"/>
      <c r="S839" s="85"/>
    </row>
    <row r="840" spans="1:19" ht="15.75">
      <c r="A840" s="174"/>
      <c r="B840" s="176"/>
      <c r="C840" s="85"/>
      <c r="D840" s="175"/>
      <c r="E840" s="175"/>
      <c r="F840" s="85"/>
      <c r="G840" s="18">
        <f>C840</f>
        <v>0</v>
      </c>
      <c r="H840" s="85"/>
      <c r="I840" s="85"/>
      <c r="J840" s="174"/>
      <c r="K840" s="173"/>
      <c r="L840" s="102"/>
      <c r="M840" s="85"/>
      <c r="N840" s="85"/>
      <c r="O840" s="85"/>
      <c r="P840" s="85"/>
      <c r="Q840" s="85"/>
      <c r="R840" s="85"/>
      <c r="S840" s="85"/>
    </row>
    <row r="841" spans="1:19" ht="15.75">
      <c r="A841" s="174"/>
      <c r="B841" s="176"/>
      <c r="C841" s="85"/>
      <c r="D841" s="175"/>
      <c r="E841" s="175"/>
      <c r="F841" s="85"/>
      <c r="G841" s="18">
        <f>C841</f>
        <v>0</v>
      </c>
      <c r="H841" s="85"/>
      <c r="I841" s="85"/>
      <c r="J841" s="174"/>
      <c r="K841" s="173"/>
      <c r="L841" s="102"/>
      <c r="M841" s="85"/>
      <c r="N841" s="85"/>
      <c r="O841" s="85"/>
      <c r="P841" s="85"/>
      <c r="Q841" s="85"/>
      <c r="R841" s="85"/>
      <c r="S841" s="85"/>
    </row>
    <row r="842" spans="1:19" ht="15.75">
      <c r="A842" s="174"/>
      <c r="B842" s="176"/>
      <c r="C842" s="85"/>
      <c r="D842" s="175"/>
      <c r="E842" s="175"/>
      <c r="F842" s="85"/>
      <c r="G842" s="18">
        <f>C842</f>
        <v>0</v>
      </c>
      <c r="H842" s="85"/>
      <c r="I842" s="85"/>
      <c r="J842" s="174"/>
      <c r="K842" s="173"/>
      <c r="L842" s="102"/>
      <c r="M842" s="85"/>
      <c r="N842" s="85"/>
      <c r="O842" s="85"/>
      <c r="P842" s="85"/>
      <c r="Q842" s="85"/>
      <c r="R842" s="85"/>
      <c r="S842" s="85"/>
    </row>
    <row r="843" spans="1:19" ht="15.75">
      <c r="A843" s="174"/>
      <c r="B843" s="176"/>
      <c r="C843" s="85"/>
      <c r="D843" s="175"/>
      <c r="E843" s="175"/>
      <c r="F843" s="85"/>
      <c r="G843" s="18">
        <f>C843</f>
        <v>0</v>
      </c>
      <c r="H843" s="85"/>
      <c r="I843" s="85"/>
      <c r="J843" s="174"/>
      <c r="K843" s="173"/>
      <c r="L843" s="102"/>
      <c r="M843" s="85"/>
      <c r="N843" s="85"/>
      <c r="O843" s="85"/>
      <c r="P843" s="85"/>
      <c r="Q843" s="85"/>
      <c r="R843" s="85"/>
      <c r="S843" s="85"/>
    </row>
    <row r="844" spans="1:19" ht="15.75">
      <c r="A844" s="174"/>
      <c r="B844" s="176"/>
      <c r="C844" s="85"/>
      <c r="D844" s="175"/>
      <c r="E844" s="175"/>
      <c r="F844" s="85"/>
      <c r="G844" s="18">
        <f>C844</f>
        <v>0</v>
      </c>
      <c r="H844" s="85"/>
      <c r="I844" s="85"/>
      <c r="J844" s="174"/>
      <c r="K844" s="173"/>
      <c r="L844" s="102"/>
      <c r="M844" s="85"/>
      <c r="N844" s="85"/>
      <c r="O844" s="85"/>
      <c r="P844" s="85"/>
      <c r="Q844" s="85"/>
      <c r="R844" s="85"/>
      <c r="S844" s="85"/>
    </row>
    <row r="845" spans="1:19" ht="15.75">
      <c r="A845" s="174"/>
      <c r="B845" s="176"/>
      <c r="C845" s="85"/>
      <c r="D845" s="175"/>
      <c r="E845" s="175"/>
      <c r="F845" s="85"/>
      <c r="G845" s="18">
        <f>C845</f>
        <v>0</v>
      </c>
      <c r="H845" s="85"/>
      <c r="I845" s="85"/>
      <c r="J845" s="174"/>
      <c r="K845" s="173"/>
      <c r="L845" s="102"/>
      <c r="M845" s="85"/>
      <c r="N845" s="85"/>
      <c r="O845" s="85"/>
      <c r="P845" s="85"/>
      <c r="Q845" s="85"/>
      <c r="R845" s="85"/>
      <c r="S845" s="85"/>
    </row>
    <row r="846" spans="1:19" ht="15.75">
      <c r="A846" s="174"/>
      <c r="B846" s="176"/>
      <c r="C846" s="85"/>
      <c r="D846" s="175"/>
      <c r="E846" s="175"/>
      <c r="F846" s="85"/>
      <c r="G846" s="18">
        <f>C846</f>
        <v>0</v>
      </c>
      <c r="H846" s="85"/>
      <c r="I846" s="85"/>
      <c r="J846" s="174"/>
      <c r="K846" s="173"/>
      <c r="L846" s="102"/>
      <c r="M846" s="85"/>
      <c r="N846" s="85"/>
      <c r="O846" s="85"/>
      <c r="P846" s="85"/>
      <c r="Q846" s="85"/>
      <c r="R846" s="85"/>
      <c r="S846" s="85"/>
    </row>
    <row r="847" spans="1:19" ht="15.75">
      <c r="A847" s="174"/>
      <c r="B847" s="176"/>
      <c r="C847" s="85"/>
      <c r="D847" s="175"/>
      <c r="E847" s="175"/>
      <c r="F847" s="85"/>
      <c r="G847" s="18">
        <f>C847</f>
        <v>0</v>
      </c>
      <c r="H847" s="85"/>
      <c r="I847" s="85"/>
      <c r="J847" s="174"/>
      <c r="K847" s="173"/>
      <c r="L847" s="102"/>
      <c r="M847" s="85"/>
      <c r="N847" s="85"/>
      <c r="O847" s="85"/>
      <c r="P847" s="85"/>
      <c r="Q847" s="85"/>
      <c r="R847" s="85"/>
      <c r="S847" s="85"/>
    </row>
    <row r="848" spans="1:19" ht="15.75">
      <c r="A848" s="174"/>
      <c r="B848" s="176"/>
      <c r="C848" s="85"/>
      <c r="D848" s="175"/>
      <c r="E848" s="175"/>
      <c r="F848" s="85"/>
      <c r="G848" s="18">
        <f>C848</f>
        <v>0</v>
      </c>
      <c r="H848" s="85"/>
      <c r="I848" s="85"/>
      <c r="J848" s="174"/>
      <c r="K848" s="173"/>
      <c r="L848" s="102"/>
      <c r="M848" s="85"/>
      <c r="N848" s="85"/>
      <c r="O848" s="85"/>
      <c r="P848" s="85"/>
      <c r="Q848" s="85"/>
      <c r="R848" s="85"/>
      <c r="S848" s="85"/>
    </row>
    <row r="849" spans="1:19" ht="15.75">
      <c r="A849" s="174"/>
      <c r="B849" s="176"/>
      <c r="C849" s="85"/>
      <c r="D849" s="175"/>
      <c r="E849" s="175"/>
      <c r="F849" s="85"/>
      <c r="G849" s="18">
        <f>C849</f>
        <v>0</v>
      </c>
      <c r="H849" s="85"/>
      <c r="I849" s="85"/>
      <c r="J849" s="174"/>
      <c r="K849" s="173"/>
      <c r="L849" s="102"/>
      <c r="M849" s="85"/>
      <c r="N849" s="85"/>
      <c r="O849" s="85"/>
      <c r="P849" s="85"/>
      <c r="Q849" s="85"/>
      <c r="R849" s="85"/>
      <c r="S849" s="85"/>
    </row>
    <row r="850" spans="1:19" ht="15.75">
      <c r="A850" s="174"/>
      <c r="B850" s="176"/>
      <c r="C850" s="85"/>
      <c r="D850" s="175"/>
      <c r="E850" s="175"/>
      <c r="F850" s="85"/>
      <c r="G850" s="18">
        <f>C850</f>
        <v>0</v>
      </c>
      <c r="H850" s="85"/>
      <c r="I850" s="85"/>
      <c r="J850" s="174"/>
      <c r="K850" s="173"/>
      <c r="L850" s="102"/>
      <c r="M850" s="85"/>
      <c r="N850" s="85"/>
      <c r="O850" s="85"/>
      <c r="P850" s="85"/>
      <c r="Q850" s="85"/>
      <c r="R850" s="85"/>
      <c r="S850" s="85"/>
    </row>
    <row r="851" spans="1:19" ht="15.75">
      <c r="A851" s="174"/>
      <c r="B851" s="176"/>
      <c r="C851" s="85"/>
      <c r="D851" s="175"/>
      <c r="E851" s="175"/>
      <c r="F851" s="85"/>
      <c r="G851" s="18">
        <f>C851</f>
        <v>0</v>
      </c>
      <c r="H851" s="85"/>
      <c r="I851" s="85"/>
      <c r="J851" s="174"/>
      <c r="K851" s="173"/>
      <c r="L851" s="102"/>
      <c r="M851" s="85"/>
      <c r="N851" s="85"/>
      <c r="O851" s="85"/>
      <c r="P851" s="85"/>
      <c r="Q851" s="85"/>
      <c r="R851" s="85"/>
      <c r="S851" s="85"/>
    </row>
    <row r="852" spans="1:19" ht="15.75">
      <c r="A852" s="174"/>
      <c r="B852" s="176"/>
      <c r="C852" s="85"/>
      <c r="D852" s="175"/>
      <c r="E852" s="175"/>
      <c r="F852" s="85"/>
      <c r="G852" s="18">
        <f>C852</f>
        <v>0</v>
      </c>
      <c r="H852" s="85"/>
      <c r="I852" s="85"/>
      <c r="J852" s="174"/>
      <c r="K852" s="173"/>
      <c r="L852" s="102"/>
      <c r="M852" s="85"/>
      <c r="N852" s="85"/>
      <c r="O852" s="85"/>
      <c r="P852" s="85"/>
      <c r="Q852" s="85"/>
      <c r="R852" s="85"/>
      <c r="S852" s="85"/>
    </row>
    <row r="853" spans="1:19" ht="15.75">
      <c r="A853" s="174"/>
      <c r="B853" s="176"/>
      <c r="C853" s="85"/>
      <c r="D853" s="175"/>
      <c r="E853" s="175"/>
      <c r="F853" s="85"/>
      <c r="G853" s="18">
        <f>C853</f>
        <v>0</v>
      </c>
      <c r="H853" s="85"/>
      <c r="I853" s="85"/>
      <c r="J853" s="174"/>
      <c r="K853" s="173"/>
      <c r="L853" s="102"/>
      <c r="M853" s="85"/>
      <c r="N853" s="85"/>
      <c r="O853" s="85"/>
      <c r="P853" s="85"/>
      <c r="Q853" s="85"/>
      <c r="R853" s="85"/>
      <c r="S853" s="85"/>
    </row>
    <row r="854" spans="1:19" ht="15.75">
      <c r="A854" s="174"/>
      <c r="B854" s="176"/>
      <c r="C854" s="85"/>
      <c r="D854" s="175"/>
      <c r="E854" s="175"/>
      <c r="F854" s="85"/>
      <c r="G854" s="18">
        <f>C854</f>
        <v>0</v>
      </c>
      <c r="H854" s="85"/>
      <c r="I854" s="85"/>
      <c r="J854" s="174"/>
      <c r="K854" s="173"/>
      <c r="L854" s="102"/>
      <c r="M854" s="85"/>
      <c r="N854" s="85"/>
      <c r="O854" s="85"/>
      <c r="P854" s="85"/>
      <c r="Q854" s="85"/>
      <c r="R854" s="85"/>
      <c r="S854" s="85"/>
    </row>
    <row r="855" spans="1:19" ht="15.75">
      <c r="A855" s="174"/>
      <c r="B855" s="176"/>
      <c r="C855" s="85"/>
      <c r="D855" s="175"/>
      <c r="E855" s="175"/>
      <c r="F855" s="85"/>
      <c r="G855" s="18">
        <f>C855</f>
        <v>0</v>
      </c>
      <c r="H855" s="85"/>
      <c r="I855" s="85"/>
      <c r="J855" s="174"/>
      <c r="K855" s="173"/>
      <c r="L855" s="102"/>
      <c r="M855" s="85"/>
      <c r="N855" s="85"/>
      <c r="O855" s="85"/>
      <c r="P855" s="85"/>
      <c r="Q855" s="85"/>
      <c r="R855" s="85"/>
      <c r="S855" s="85"/>
    </row>
    <row r="856" spans="1:19" ht="15.75">
      <c r="A856" s="174"/>
      <c r="B856" s="176"/>
      <c r="C856" s="85"/>
      <c r="D856" s="175"/>
      <c r="E856" s="175"/>
      <c r="F856" s="85"/>
      <c r="G856" s="18">
        <f>C856</f>
        <v>0</v>
      </c>
      <c r="H856" s="85"/>
      <c r="I856" s="85"/>
      <c r="J856" s="174"/>
      <c r="K856" s="173"/>
      <c r="L856" s="102"/>
      <c r="M856" s="85"/>
      <c r="N856" s="85"/>
      <c r="O856" s="85"/>
      <c r="P856" s="85"/>
      <c r="Q856" s="85"/>
      <c r="R856" s="85"/>
      <c r="S856" s="85"/>
    </row>
    <row r="857" spans="1:19" ht="15.75">
      <c r="A857" s="174"/>
      <c r="B857" s="176"/>
      <c r="C857" s="85"/>
      <c r="D857" s="175"/>
      <c r="E857" s="175"/>
      <c r="F857" s="85"/>
      <c r="G857" s="18">
        <f>C857</f>
        <v>0</v>
      </c>
      <c r="H857" s="85"/>
      <c r="I857" s="85"/>
      <c r="J857" s="174"/>
      <c r="K857" s="173"/>
      <c r="L857" s="102"/>
      <c r="M857" s="85"/>
      <c r="N857" s="85"/>
      <c r="O857" s="85"/>
      <c r="P857" s="85"/>
      <c r="Q857" s="85"/>
      <c r="R857" s="85"/>
      <c r="S857" s="85"/>
    </row>
    <row r="858" spans="1:19" ht="15.75">
      <c r="A858" s="174"/>
      <c r="B858" s="176"/>
      <c r="C858" s="85"/>
      <c r="D858" s="175"/>
      <c r="E858" s="175"/>
      <c r="F858" s="85"/>
      <c r="G858" s="18">
        <f>C858</f>
        <v>0</v>
      </c>
      <c r="H858" s="85"/>
      <c r="I858" s="85"/>
      <c r="J858" s="174"/>
      <c r="K858" s="173"/>
      <c r="L858" s="102"/>
      <c r="M858" s="85"/>
      <c r="N858" s="85"/>
      <c r="O858" s="85"/>
      <c r="P858" s="85"/>
      <c r="Q858" s="85"/>
      <c r="R858" s="85"/>
      <c r="S858" s="85"/>
    </row>
    <row r="859" spans="1:19" ht="15.75">
      <c r="A859" s="174"/>
      <c r="B859" s="176"/>
      <c r="C859" s="85"/>
      <c r="D859" s="175"/>
      <c r="E859" s="175"/>
      <c r="F859" s="85"/>
      <c r="G859" s="18">
        <f>C859</f>
        <v>0</v>
      </c>
      <c r="H859" s="85"/>
      <c r="I859" s="85"/>
      <c r="J859" s="174"/>
      <c r="K859" s="173"/>
      <c r="L859" s="102"/>
      <c r="M859" s="85"/>
      <c r="N859" s="85"/>
      <c r="O859" s="85"/>
      <c r="P859" s="85"/>
      <c r="Q859" s="85"/>
      <c r="R859" s="85"/>
      <c r="S859" s="85"/>
    </row>
    <row r="860" spans="1:19" ht="15.75">
      <c r="A860" s="174"/>
      <c r="B860" s="176"/>
      <c r="C860" s="85"/>
      <c r="D860" s="175"/>
      <c r="E860" s="175"/>
      <c r="F860" s="85"/>
      <c r="G860" s="18">
        <f>C860</f>
        <v>0</v>
      </c>
      <c r="H860" s="85"/>
      <c r="I860" s="85"/>
      <c r="J860" s="174"/>
      <c r="K860" s="173"/>
      <c r="L860" s="102"/>
      <c r="M860" s="85"/>
      <c r="N860" s="85"/>
      <c r="O860" s="85"/>
      <c r="P860" s="85"/>
      <c r="Q860" s="85"/>
      <c r="R860" s="85"/>
      <c r="S860" s="85"/>
    </row>
    <row r="861" spans="1:19" ht="15.75">
      <c r="A861" s="174"/>
      <c r="B861" s="176"/>
      <c r="C861" s="85"/>
      <c r="D861" s="175"/>
      <c r="E861" s="175"/>
      <c r="F861" s="85"/>
      <c r="G861" s="18">
        <f>C861</f>
        <v>0</v>
      </c>
      <c r="H861" s="85"/>
      <c r="I861" s="85"/>
      <c r="J861" s="174"/>
      <c r="K861" s="173"/>
      <c r="L861" s="102"/>
      <c r="M861" s="85"/>
      <c r="N861" s="85"/>
      <c r="O861" s="85"/>
      <c r="P861" s="85"/>
      <c r="Q861" s="85"/>
      <c r="R861" s="85"/>
      <c r="S861" s="85"/>
    </row>
    <row r="862" spans="1:19" ht="15.75">
      <c r="A862" s="174"/>
      <c r="B862" s="176"/>
      <c r="C862" s="85"/>
      <c r="D862" s="175"/>
      <c r="E862" s="175"/>
      <c r="F862" s="85"/>
      <c r="G862" s="18">
        <f>C862</f>
        <v>0</v>
      </c>
      <c r="H862" s="85"/>
      <c r="I862" s="85"/>
      <c r="J862" s="174"/>
      <c r="K862" s="173"/>
      <c r="L862" s="102"/>
      <c r="M862" s="85"/>
      <c r="N862" s="85"/>
      <c r="O862" s="85"/>
      <c r="P862" s="85"/>
      <c r="Q862" s="85"/>
      <c r="R862" s="85"/>
      <c r="S862" s="85"/>
    </row>
    <row r="863" spans="1:19" ht="15.75">
      <c r="A863" s="174"/>
      <c r="B863" s="176"/>
      <c r="C863" s="85"/>
      <c r="D863" s="175"/>
      <c r="E863" s="175"/>
      <c r="F863" s="85"/>
      <c r="G863" s="18">
        <f>C863</f>
        <v>0</v>
      </c>
      <c r="H863" s="85"/>
      <c r="I863" s="85"/>
      <c r="J863" s="174"/>
      <c r="K863" s="173"/>
      <c r="L863" s="102"/>
      <c r="M863" s="85"/>
      <c r="N863" s="85"/>
      <c r="O863" s="85"/>
      <c r="P863" s="85"/>
      <c r="Q863" s="85"/>
      <c r="R863" s="85"/>
      <c r="S863" s="85"/>
    </row>
    <row r="864" spans="1:19" ht="15.75">
      <c r="A864" s="174"/>
      <c r="B864" s="176"/>
      <c r="C864" s="85"/>
      <c r="D864" s="175"/>
      <c r="E864" s="175"/>
      <c r="F864" s="85"/>
      <c r="G864" s="18">
        <f>C864</f>
        <v>0</v>
      </c>
      <c r="H864" s="85"/>
      <c r="I864" s="85"/>
      <c r="J864" s="174"/>
      <c r="K864" s="173"/>
      <c r="L864" s="102"/>
      <c r="M864" s="85"/>
      <c r="N864" s="85"/>
      <c r="O864" s="85"/>
      <c r="P864" s="85"/>
      <c r="Q864" s="85"/>
      <c r="R864" s="85"/>
      <c r="S864" s="85"/>
    </row>
    <row r="865" spans="1:19" ht="15.75">
      <c r="A865" s="174"/>
      <c r="B865" s="176"/>
      <c r="C865" s="85"/>
      <c r="D865" s="175"/>
      <c r="E865" s="175"/>
      <c r="F865" s="85"/>
      <c r="G865" s="18">
        <f>C865</f>
        <v>0</v>
      </c>
      <c r="H865" s="85"/>
      <c r="I865" s="85"/>
      <c r="J865" s="174"/>
      <c r="K865" s="173"/>
      <c r="L865" s="102"/>
      <c r="M865" s="85"/>
      <c r="N865" s="85"/>
      <c r="O865" s="85"/>
      <c r="P865" s="85"/>
      <c r="Q865" s="85"/>
      <c r="R865" s="85"/>
      <c r="S865" s="85"/>
    </row>
    <row r="866" spans="1:19" ht="15.75">
      <c r="A866" s="174"/>
      <c r="B866" s="176"/>
      <c r="C866" s="85"/>
      <c r="D866" s="175"/>
      <c r="E866" s="175"/>
      <c r="F866" s="85"/>
      <c r="G866" s="18">
        <f>C866</f>
        <v>0</v>
      </c>
      <c r="H866" s="85"/>
      <c r="I866" s="85"/>
      <c r="J866" s="174"/>
      <c r="K866" s="173"/>
      <c r="L866" s="102"/>
      <c r="M866" s="85"/>
      <c r="N866" s="85"/>
      <c r="O866" s="85"/>
      <c r="P866" s="85"/>
      <c r="Q866" s="85"/>
      <c r="R866" s="85"/>
      <c r="S866" s="85"/>
    </row>
    <row r="867" spans="1:19" ht="15.75">
      <c r="A867" s="174"/>
      <c r="B867" s="176"/>
      <c r="C867" s="85"/>
      <c r="D867" s="175"/>
      <c r="E867" s="175"/>
      <c r="F867" s="85"/>
      <c r="G867" s="18">
        <f>C867</f>
        <v>0</v>
      </c>
      <c r="H867" s="85"/>
      <c r="I867" s="85"/>
      <c r="J867" s="174"/>
      <c r="K867" s="173"/>
      <c r="L867" s="102"/>
      <c r="M867" s="85"/>
      <c r="N867" s="85"/>
      <c r="O867" s="85"/>
      <c r="P867" s="85"/>
      <c r="Q867" s="85"/>
      <c r="R867" s="85"/>
      <c r="S867" s="85"/>
    </row>
    <row r="868" spans="1:19" ht="15.75">
      <c r="A868" s="174"/>
      <c r="B868" s="176"/>
      <c r="C868" s="85"/>
      <c r="D868" s="175"/>
      <c r="E868" s="175"/>
      <c r="F868" s="85"/>
      <c r="G868" s="18">
        <f>C868</f>
        <v>0</v>
      </c>
      <c r="H868" s="85"/>
      <c r="I868" s="85"/>
      <c r="J868" s="174"/>
      <c r="K868" s="173"/>
      <c r="L868" s="102"/>
      <c r="M868" s="85"/>
      <c r="N868" s="85"/>
      <c r="O868" s="85"/>
      <c r="P868" s="85"/>
      <c r="Q868" s="85"/>
      <c r="R868" s="85"/>
      <c r="S868" s="85"/>
    </row>
    <row r="869" spans="1:19" ht="15.75">
      <c r="A869" s="174"/>
      <c r="B869" s="176"/>
      <c r="C869" s="85"/>
      <c r="D869" s="175"/>
      <c r="E869" s="175"/>
      <c r="F869" s="85"/>
      <c r="G869" s="18">
        <f>C869</f>
        <v>0</v>
      </c>
      <c r="H869" s="85"/>
      <c r="I869" s="85"/>
      <c r="J869" s="174"/>
      <c r="K869" s="173"/>
      <c r="L869" s="102"/>
      <c r="M869" s="85"/>
      <c r="N869" s="85"/>
      <c r="O869" s="85"/>
      <c r="P869" s="85"/>
      <c r="Q869" s="85"/>
      <c r="R869" s="85"/>
      <c r="S869" s="85"/>
    </row>
    <row r="870" spans="1:19" ht="15.75">
      <c r="A870" s="174"/>
      <c r="B870" s="176"/>
      <c r="C870" s="85"/>
      <c r="D870" s="175"/>
      <c r="E870" s="175"/>
      <c r="F870" s="85"/>
      <c r="G870" s="18">
        <f>C870</f>
        <v>0</v>
      </c>
      <c r="H870" s="85"/>
      <c r="I870" s="85"/>
      <c r="J870" s="174"/>
      <c r="K870" s="173"/>
      <c r="L870" s="102"/>
      <c r="M870" s="85"/>
      <c r="N870" s="85"/>
      <c r="O870" s="85"/>
      <c r="P870" s="85"/>
      <c r="Q870" s="85"/>
      <c r="R870" s="85"/>
      <c r="S870" s="85"/>
    </row>
    <row r="871" spans="1:19" ht="15.75">
      <c r="A871" s="174"/>
      <c r="B871" s="176"/>
      <c r="C871" s="85"/>
      <c r="D871" s="175"/>
      <c r="E871" s="175"/>
      <c r="F871" s="85"/>
      <c r="G871" s="18">
        <f>C871</f>
        <v>0</v>
      </c>
      <c r="H871" s="85"/>
      <c r="I871" s="85"/>
      <c r="J871" s="174"/>
      <c r="K871" s="173"/>
      <c r="L871" s="102"/>
      <c r="M871" s="85"/>
      <c r="N871" s="85"/>
      <c r="O871" s="85"/>
      <c r="P871" s="85"/>
      <c r="Q871" s="85"/>
      <c r="R871" s="85"/>
      <c r="S871" s="85"/>
    </row>
    <row r="872" spans="1:19" ht="15.75">
      <c r="A872" s="174"/>
      <c r="B872" s="176"/>
      <c r="C872" s="85"/>
      <c r="D872" s="175"/>
      <c r="E872" s="175"/>
      <c r="F872" s="85"/>
      <c r="G872" s="18">
        <f>C872</f>
        <v>0</v>
      </c>
      <c r="H872" s="85"/>
      <c r="I872" s="85"/>
      <c r="J872" s="174"/>
      <c r="K872" s="173"/>
      <c r="L872" s="102"/>
      <c r="M872" s="85"/>
      <c r="N872" s="85"/>
      <c r="O872" s="85"/>
      <c r="P872" s="85"/>
      <c r="Q872" s="85"/>
      <c r="R872" s="85"/>
      <c r="S872" s="85"/>
    </row>
    <row r="873" spans="1:19" ht="15.75">
      <c r="A873" s="174"/>
      <c r="B873" s="176"/>
      <c r="C873" s="85"/>
      <c r="D873" s="175"/>
      <c r="E873" s="175"/>
      <c r="F873" s="85"/>
      <c r="G873" s="18">
        <f>C873</f>
        <v>0</v>
      </c>
      <c r="H873" s="85"/>
      <c r="I873" s="85"/>
      <c r="J873" s="174"/>
      <c r="K873" s="173"/>
      <c r="L873" s="102"/>
      <c r="M873" s="85"/>
      <c r="N873" s="85"/>
      <c r="O873" s="85"/>
      <c r="P873" s="85"/>
      <c r="Q873" s="85"/>
      <c r="R873" s="85"/>
      <c r="S873" s="85"/>
    </row>
    <row r="874" spans="1:19" ht="15.75">
      <c r="A874" s="174"/>
      <c r="B874" s="176"/>
      <c r="C874" s="85"/>
      <c r="D874" s="175"/>
      <c r="E874" s="175"/>
      <c r="F874" s="85"/>
      <c r="G874" s="18">
        <f>C874</f>
        <v>0</v>
      </c>
      <c r="H874" s="85"/>
      <c r="I874" s="85"/>
      <c r="J874" s="174"/>
      <c r="K874" s="173"/>
      <c r="L874" s="102"/>
      <c r="M874" s="85"/>
      <c r="N874" s="85"/>
      <c r="O874" s="85"/>
      <c r="P874" s="85"/>
      <c r="Q874" s="85"/>
      <c r="R874" s="85"/>
      <c r="S874" s="85"/>
    </row>
    <row r="875" spans="1:19" ht="15.75">
      <c r="A875" s="174"/>
      <c r="B875" s="176"/>
      <c r="C875" s="85"/>
      <c r="D875" s="175"/>
      <c r="E875" s="175"/>
      <c r="F875" s="85"/>
      <c r="G875" s="18">
        <f>C875</f>
        <v>0</v>
      </c>
      <c r="H875" s="85"/>
      <c r="I875" s="85"/>
      <c r="J875" s="174"/>
      <c r="K875" s="173"/>
      <c r="L875" s="102"/>
      <c r="M875" s="85"/>
      <c r="N875" s="85"/>
      <c r="O875" s="85"/>
      <c r="P875" s="85"/>
      <c r="Q875" s="85"/>
      <c r="R875" s="85"/>
      <c r="S875" s="85"/>
    </row>
    <row r="876" spans="1:19" ht="15.75">
      <c r="A876" s="174"/>
      <c r="B876" s="176"/>
      <c r="C876" s="85"/>
      <c r="D876" s="175"/>
      <c r="E876" s="175"/>
      <c r="F876" s="85"/>
      <c r="G876" s="18">
        <f>C876</f>
        <v>0</v>
      </c>
      <c r="H876" s="85"/>
      <c r="I876" s="85"/>
      <c r="J876" s="174"/>
      <c r="K876" s="173"/>
      <c r="L876" s="102"/>
      <c r="M876" s="85"/>
      <c r="N876" s="85"/>
      <c r="O876" s="85"/>
      <c r="P876" s="85"/>
      <c r="Q876" s="85"/>
      <c r="R876" s="85"/>
      <c r="S876" s="85"/>
    </row>
    <row r="877" spans="1:19" ht="15.75">
      <c r="A877" s="174"/>
      <c r="B877" s="176"/>
      <c r="C877" s="85"/>
      <c r="D877" s="175"/>
      <c r="E877" s="175"/>
      <c r="F877" s="85"/>
      <c r="G877" s="18">
        <f>C877</f>
        <v>0</v>
      </c>
      <c r="H877" s="85"/>
      <c r="I877" s="85"/>
      <c r="J877" s="174"/>
      <c r="K877" s="173"/>
      <c r="L877" s="102"/>
      <c r="M877" s="85"/>
      <c r="N877" s="85"/>
      <c r="O877" s="85"/>
      <c r="P877" s="85"/>
      <c r="Q877" s="85"/>
      <c r="R877" s="85"/>
      <c r="S877" s="85"/>
    </row>
    <row r="878" spans="1:19" ht="15.75">
      <c r="A878" s="174"/>
      <c r="B878" s="176"/>
      <c r="C878" s="85"/>
      <c r="D878" s="175"/>
      <c r="E878" s="175"/>
      <c r="F878" s="85"/>
      <c r="G878" s="18">
        <f>C878</f>
        <v>0</v>
      </c>
      <c r="H878" s="85"/>
      <c r="I878" s="85"/>
      <c r="J878" s="174"/>
      <c r="K878" s="173"/>
      <c r="L878" s="102"/>
      <c r="M878" s="85"/>
      <c r="N878" s="85"/>
      <c r="O878" s="85"/>
      <c r="P878" s="85"/>
      <c r="Q878" s="85"/>
      <c r="R878" s="85"/>
      <c r="S878" s="85"/>
    </row>
    <row r="879" spans="1:19" ht="15.75">
      <c r="A879" s="174"/>
      <c r="B879" s="176"/>
      <c r="C879" s="85"/>
      <c r="D879" s="175"/>
      <c r="E879" s="175"/>
      <c r="F879" s="85"/>
      <c r="G879" s="18">
        <f>C879</f>
        <v>0</v>
      </c>
      <c r="H879" s="85"/>
      <c r="I879" s="85"/>
      <c r="J879" s="174"/>
      <c r="K879" s="173"/>
      <c r="L879" s="102"/>
      <c r="M879" s="85"/>
      <c r="N879" s="85"/>
      <c r="O879" s="85"/>
      <c r="P879" s="85"/>
      <c r="Q879" s="85"/>
      <c r="R879" s="85"/>
      <c r="S879" s="85"/>
    </row>
    <row r="880" spans="1:19" ht="15.75">
      <c r="A880" s="174"/>
      <c r="B880" s="176"/>
      <c r="C880" s="85"/>
      <c r="D880" s="175"/>
      <c r="E880" s="175"/>
      <c r="F880" s="85"/>
      <c r="G880" s="18">
        <f>C880</f>
        <v>0</v>
      </c>
      <c r="H880" s="85"/>
      <c r="I880" s="85"/>
      <c r="J880" s="174"/>
      <c r="K880" s="173"/>
      <c r="L880" s="102"/>
      <c r="M880" s="85"/>
      <c r="N880" s="85"/>
      <c r="O880" s="85"/>
      <c r="P880" s="85"/>
      <c r="Q880" s="85"/>
      <c r="R880" s="85"/>
      <c r="S880" s="85"/>
    </row>
    <row r="881" spans="1:19" ht="15.75">
      <c r="A881" s="174"/>
      <c r="B881" s="176"/>
      <c r="C881" s="85"/>
      <c r="D881" s="175"/>
      <c r="E881" s="175"/>
      <c r="F881" s="85"/>
      <c r="G881" s="18">
        <f>C881</f>
        <v>0</v>
      </c>
      <c r="H881" s="85"/>
      <c r="I881" s="85"/>
      <c r="J881" s="174"/>
      <c r="K881" s="173"/>
      <c r="L881" s="102"/>
      <c r="M881" s="85"/>
      <c r="N881" s="85"/>
      <c r="O881" s="85"/>
      <c r="P881" s="85"/>
      <c r="Q881" s="85"/>
      <c r="R881" s="85"/>
      <c r="S881" s="85"/>
    </row>
    <row r="882" spans="1:19" ht="15.75">
      <c r="A882" s="174"/>
      <c r="B882" s="176"/>
      <c r="C882" s="85"/>
      <c r="D882" s="175"/>
      <c r="E882" s="175"/>
      <c r="F882" s="85"/>
      <c r="G882" s="18">
        <f>C882</f>
        <v>0</v>
      </c>
      <c r="H882" s="85"/>
      <c r="I882" s="85"/>
      <c r="J882" s="174"/>
      <c r="K882" s="173"/>
      <c r="L882" s="102"/>
      <c r="M882" s="85"/>
      <c r="N882" s="85"/>
      <c r="O882" s="85"/>
      <c r="P882" s="85"/>
      <c r="Q882" s="85"/>
      <c r="R882" s="85"/>
      <c r="S882" s="85"/>
    </row>
    <row r="883" spans="1:19" ht="15.75">
      <c r="A883" s="174"/>
      <c r="B883" s="176"/>
      <c r="C883" s="85"/>
      <c r="D883" s="175"/>
      <c r="E883" s="175"/>
      <c r="F883" s="85"/>
      <c r="G883" s="18">
        <f>C883</f>
        <v>0</v>
      </c>
      <c r="H883" s="85"/>
      <c r="I883" s="85"/>
      <c r="J883" s="174"/>
      <c r="K883" s="173"/>
      <c r="L883" s="102"/>
      <c r="M883" s="85"/>
      <c r="N883" s="85"/>
      <c r="O883" s="85"/>
      <c r="P883" s="85"/>
      <c r="Q883" s="85"/>
      <c r="R883" s="85"/>
      <c r="S883" s="85"/>
    </row>
    <row r="884" spans="1:19" ht="15.75">
      <c r="A884" s="174"/>
      <c r="B884" s="176"/>
      <c r="C884" s="85"/>
      <c r="D884" s="175"/>
      <c r="E884" s="175"/>
      <c r="F884" s="85"/>
      <c r="G884" s="18">
        <f>C884</f>
        <v>0</v>
      </c>
      <c r="H884" s="85"/>
      <c r="I884" s="85"/>
      <c r="J884" s="174"/>
      <c r="K884" s="173"/>
      <c r="L884" s="102"/>
      <c r="M884" s="85"/>
      <c r="N884" s="85"/>
      <c r="O884" s="85"/>
      <c r="P884" s="85"/>
      <c r="Q884" s="85"/>
      <c r="R884" s="85"/>
      <c r="S884" s="85"/>
    </row>
    <row r="885" spans="1:19" ht="15.75">
      <c r="A885" s="174"/>
      <c r="B885" s="176"/>
      <c r="C885" s="85"/>
      <c r="D885" s="175"/>
      <c r="E885" s="175"/>
      <c r="F885" s="85"/>
      <c r="G885" s="18">
        <f>C885</f>
        <v>0</v>
      </c>
      <c r="H885" s="85"/>
      <c r="I885" s="85"/>
      <c r="J885" s="174"/>
      <c r="K885" s="173"/>
      <c r="L885" s="102"/>
      <c r="M885" s="85"/>
      <c r="N885" s="85"/>
      <c r="O885" s="85"/>
      <c r="P885" s="85"/>
      <c r="Q885" s="85"/>
      <c r="R885" s="85"/>
      <c r="S885" s="85"/>
    </row>
    <row r="886" spans="1:19" ht="15.75">
      <c r="A886" s="174"/>
      <c r="B886" s="176"/>
      <c r="C886" s="85"/>
      <c r="D886" s="175"/>
      <c r="E886" s="175"/>
      <c r="F886" s="85"/>
      <c r="G886" s="18">
        <f>C886</f>
        <v>0</v>
      </c>
      <c r="H886" s="85"/>
      <c r="I886" s="85"/>
      <c r="J886" s="174"/>
      <c r="K886" s="173"/>
      <c r="L886" s="102"/>
      <c r="M886" s="85"/>
      <c r="N886" s="85"/>
      <c r="O886" s="85"/>
      <c r="P886" s="85"/>
      <c r="Q886" s="85"/>
      <c r="R886" s="85"/>
      <c r="S886" s="85"/>
    </row>
    <row r="887" spans="1:19" ht="15.75">
      <c r="A887" s="174"/>
      <c r="B887" s="176"/>
      <c r="C887" s="85"/>
      <c r="D887" s="175"/>
      <c r="E887" s="175"/>
      <c r="F887" s="85"/>
      <c r="G887" s="18">
        <f>C887</f>
        <v>0</v>
      </c>
      <c r="H887" s="85"/>
      <c r="I887" s="85"/>
      <c r="J887" s="174"/>
      <c r="K887" s="173"/>
      <c r="L887" s="102"/>
      <c r="M887" s="85"/>
      <c r="N887" s="85"/>
      <c r="O887" s="85"/>
      <c r="P887" s="85"/>
      <c r="Q887" s="85"/>
      <c r="R887" s="85"/>
      <c r="S887" s="85"/>
    </row>
    <row r="888" spans="1:19" ht="15.75">
      <c r="A888" s="174"/>
      <c r="B888" s="176"/>
      <c r="C888" s="85"/>
      <c r="D888" s="175"/>
      <c r="E888" s="175"/>
      <c r="F888" s="85"/>
      <c r="G888" s="18">
        <f>C888</f>
        <v>0</v>
      </c>
      <c r="H888" s="85"/>
      <c r="I888" s="85"/>
      <c r="J888" s="174"/>
      <c r="K888" s="173"/>
      <c r="L888" s="102"/>
      <c r="M888" s="85"/>
      <c r="N888" s="85"/>
      <c r="O888" s="85"/>
      <c r="P888" s="85"/>
      <c r="Q888" s="85"/>
      <c r="R888" s="85"/>
      <c r="S888" s="85"/>
    </row>
    <row r="889" spans="1:19" ht="15.75">
      <c r="A889" s="174"/>
      <c r="B889" s="176"/>
      <c r="C889" s="85"/>
      <c r="D889" s="175"/>
      <c r="E889" s="175"/>
      <c r="F889" s="85"/>
      <c r="G889" s="18">
        <f>C889</f>
        <v>0</v>
      </c>
      <c r="H889" s="85"/>
      <c r="I889" s="85"/>
      <c r="J889" s="174"/>
      <c r="K889" s="173"/>
      <c r="L889" s="102"/>
      <c r="M889" s="85"/>
      <c r="N889" s="85"/>
      <c r="O889" s="85"/>
      <c r="P889" s="85"/>
      <c r="Q889" s="85"/>
      <c r="R889" s="85"/>
      <c r="S889" s="85"/>
    </row>
    <row r="890" spans="1:19" ht="15.75">
      <c r="A890" s="174"/>
      <c r="B890" s="176"/>
      <c r="C890" s="85"/>
      <c r="D890" s="175"/>
      <c r="E890" s="175"/>
      <c r="F890" s="85"/>
      <c r="G890" s="18">
        <f>C890</f>
        <v>0</v>
      </c>
      <c r="H890" s="85"/>
      <c r="I890" s="85"/>
      <c r="J890" s="174"/>
      <c r="K890" s="173"/>
      <c r="L890" s="102"/>
      <c r="M890" s="85"/>
      <c r="N890" s="85"/>
      <c r="O890" s="85"/>
      <c r="P890" s="85"/>
      <c r="Q890" s="85"/>
      <c r="R890" s="85"/>
      <c r="S890" s="85"/>
    </row>
    <row r="891" spans="1:19" ht="15.75">
      <c r="A891" s="174"/>
      <c r="B891" s="176"/>
      <c r="C891" s="85"/>
      <c r="D891" s="175"/>
      <c r="E891" s="175"/>
      <c r="F891" s="85"/>
      <c r="G891" s="18">
        <f>C891</f>
        <v>0</v>
      </c>
      <c r="H891" s="85"/>
      <c r="I891" s="85"/>
      <c r="J891" s="174"/>
      <c r="K891" s="173"/>
      <c r="L891" s="102"/>
      <c r="M891" s="85"/>
      <c r="N891" s="85"/>
      <c r="O891" s="85"/>
      <c r="P891" s="85"/>
      <c r="Q891" s="85"/>
      <c r="R891" s="85"/>
      <c r="S891" s="85"/>
    </row>
    <row r="892" spans="1:19" ht="15.75">
      <c r="A892" s="174"/>
      <c r="B892" s="176"/>
      <c r="C892" s="85"/>
      <c r="D892" s="175"/>
      <c r="E892" s="175"/>
      <c r="F892" s="85"/>
      <c r="G892" s="18">
        <f>C892</f>
        <v>0</v>
      </c>
      <c r="H892" s="85"/>
      <c r="I892" s="85"/>
      <c r="J892" s="174"/>
      <c r="K892" s="173"/>
      <c r="L892" s="102"/>
      <c r="M892" s="85"/>
      <c r="N892" s="85"/>
      <c r="O892" s="85"/>
      <c r="P892" s="85"/>
      <c r="Q892" s="85"/>
      <c r="R892" s="85"/>
      <c r="S892" s="85"/>
    </row>
    <row r="893" spans="1:19" ht="15.75">
      <c r="A893" s="174"/>
      <c r="B893" s="176"/>
      <c r="C893" s="85"/>
      <c r="D893" s="175"/>
      <c r="E893" s="175"/>
      <c r="F893" s="85"/>
      <c r="G893" s="18">
        <f>C893</f>
        <v>0</v>
      </c>
      <c r="H893" s="85"/>
      <c r="I893" s="85"/>
      <c r="J893" s="174"/>
      <c r="K893" s="173"/>
      <c r="L893" s="102"/>
      <c r="M893" s="85"/>
      <c r="N893" s="85"/>
      <c r="O893" s="85"/>
      <c r="P893" s="85"/>
      <c r="Q893" s="85"/>
      <c r="R893" s="85"/>
      <c r="S893" s="85"/>
    </row>
    <row r="894" spans="1:19" ht="15.75">
      <c r="A894" s="174"/>
      <c r="B894" s="176"/>
      <c r="C894" s="85"/>
      <c r="D894" s="175"/>
      <c r="E894" s="175"/>
      <c r="F894" s="85"/>
      <c r="G894" s="18">
        <f>C894</f>
        <v>0</v>
      </c>
      <c r="H894" s="85"/>
      <c r="I894" s="85"/>
      <c r="J894" s="174"/>
      <c r="K894" s="173"/>
      <c r="L894" s="102"/>
      <c r="M894" s="85"/>
      <c r="N894" s="85"/>
      <c r="O894" s="85"/>
      <c r="P894" s="85"/>
      <c r="Q894" s="85"/>
      <c r="R894" s="85"/>
      <c r="S894" s="85"/>
    </row>
    <row r="895" spans="1:19" ht="15.75">
      <c r="A895" s="174"/>
      <c r="B895" s="176"/>
      <c r="C895" s="85"/>
      <c r="D895" s="175"/>
      <c r="E895" s="175"/>
      <c r="F895" s="85"/>
      <c r="G895" s="18">
        <f>C895</f>
        <v>0</v>
      </c>
      <c r="H895" s="85"/>
      <c r="I895" s="85"/>
      <c r="J895" s="174"/>
      <c r="K895" s="173"/>
      <c r="L895" s="102"/>
      <c r="M895" s="85"/>
      <c r="N895" s="85"/>
      <c r="O895" s="85"/>
      <c r="P895" s="85"/>
      <c r="Q895" s="85"/>
      <c r="R895" s="85"/>
      <c r="S895" s="85"/>
    </row>
    <row r="896" spans="1:19" ht="15.75">
      <c r="A896" s="174"/>
      <c r="B896" s="176"/>
      <c r="C896" s="85"/>
      <c r="D896" s="175"/>
      <c r="E896" s="175"/>
      <c r="F896" s="85"/>
      <c r="G896" s="18">
        <f>C896</f>
        <v>0</v>
      </c>
      <c r="H896" s="85"/>
      <c r="I896" s="85"/>
      <c r="J896" s="174"/>
      <c r="K896" s="173"/>
      <c r="L896" s="102"/>
      <c r="M896" s="85"/>
      <c r="N896" s="85"/>
      <c r="O896" s="85"/>
      <c r="P896" s="85"/>
      <c r="Q896" s="85"/>
      <c r="R896" s="85"/>
      <c r="S896" s="85"/>
    </row>
    <row r="897" spans="1:19" ht="15.75">
      <c r="A897" s="174"/>
      <c r="B897" s="176"/>
      <c r="C897" s="85"/>
      <c r="D897" s="175"/>
      <c r="E897" s="175"/>
      <c r="F897" s="85"/>
      <c r="G897" s="18">
        <f>C897</f>
        <v>0</v>
      </c>
      <c r="H897" s="85"/>
      <c r="I897" s="85"/>
      <c r="J897" s="174"/>
      <c r="K897" s="173"/>
      <c r="L897" s="102"/>
      <c r="M897" s="85"/>
      <c r="N897" s="85"/>
      <c r="O897" s="85"/>
      <c r="P897" s="85"/>
      <c r="Q897" s="85"/>
      <c r="R897" s="85"/>
      <c r="S897" s="85"/>
    </row>
    <row r="898" spans="1:19" ht="15.75">
      <c r="A898" s="174"/>
      <c r="B898" s="176"/>
      <c r="C898" s="85"/>
      <c r="D898" s="175"/>
      <c r="E898" s="175"/>
      <c r="F898" s="85"/>
      <c r="G898" s="18">
        <f>C898</f>
        <v>0</v>
      </c>
      <c r="H898" s="85"/>
      <c r="I898" s="85"/>
      <c r="J898" s="174"/>
      <c r="K898" s="173"/>
      <c r="L898" s="102"/>
      <c r="M898" s="85"/>
      <c r="N898" s="85"/>
      <c r="O898" s="85"/>
      <c r="P898" s="85"/>
      <c r="Q898" s="85"/>
      <c r="R898" s="85"/>
      <c r="S898" s="85"/>
    </row>
    <row r="899" spans="1:19" ht="15.75">
      <c r="A899" s="174"/>
      <c r="B899" s="176"/>
      <c r="C899" s="85"/>
      <c r="D899" s="175"/>
      <c r="E899" s="175"/>
      <c r="F899" s="85"/>
      <c r="G899" s="18">
        <f>C899</f>
        <v>0</v>
      </c>
      <c r="H899" s="85"/>
      <c r="I899" s="85"/>
      <c r="J899" s="174"/>
      <c r="K899" s="173"/>
      <c r="L899" s="102"/>
      <c r="M899" s="85"/>
      <c r="N899" s="85"/>
      <c r="O899" s="85"/>
      <c r="P899" s="85"/>
      <c r="Q899" s="85"/>
      <c r="R899" s="85"/>
      <c r="S899" s="85"/>
    </row>
    <row r="900" spans="1:19" ht="15.75">
      <c r="A900" s="174"/>
      <c r="B900" s="176"/>
      <c r="C900" s="85"/>
      <c r="D900" s="175"/>
      <c r="E900" s="175"/>
      <c r="F900" s="85"/>
      <c r="G900" s="18">
        <f>C900</f>
        <v>0</v>
      </c>
      <c r="H900" s="85"/>
      <c r="I900" s="85"/>
      <c r="J900" s="174"/>
      <c r="K900" s="173"/>
      <c r="L900" s="102"/>
      <c r="M900" s="85"/>
      <c r="N900" s="85"/>
      <c r="O900" s="85"/>
      <c r="P900" s="85"/>
      <c r="Q900" s="85"/>
      <c r="R900" s="85"/>
      <c r="S900" s="85"/>
    </row>
    <row r="901" spans="1:19" ht="15.75">
      <c r="A901" s="174"/>
      <c r="B901" s="176"/>
      <c r="C901" s="85"/>
      <c r="D901" s="175"/>
      <c r="E901" s="175"/>
      <c r="F901" s="85"/>
      <c r="G901" s="18">
        <f>C901</f>
        <v>0</v>
      </c>
      <c r="H901" s="85"/>
      <c r="I901" s="85"/>
      <c r="J901" s="174"/>
      <c r="K901" s="173"/>
      <c r="L901" s="102"/>
      <c r="M901" s="85"/>
      <c r="N901" s="85"/>
      <c r="O901" s="85"/>
      <c r="P901" s="85"/>
      <c r="Q901" s="85"/>
      <c r="R901" s="85"/>
      <c r="S901" s="85"/>
    </row>
    <row r="902" spans="1:19" ht="15.75">
      <c r="A902" s="174"/>
      <c r="B902" s="176"/>
      <c r="C902" s="85"/>
      <c r="D902" s="175"/>
      <c r="E902" s="175"/>
      <c r="F902" s="85"/>
      <c r="G902" s="18">
        <f>C902</f>
        <v>0</v>
      </c>
      <c r="H902" s="85"/>
      <c r="I902" s="85"/>
      <c r="J902" s="174"/>
      <c r="K902" s="173"/>
      <c r="L902" s="102"/>
      <c r="M902" s="85"/>
      <c r="N902" s="85"/>
      <c r="O902" s="85"/>
      <c r="P902" s="85"/>
      <c r="Q902" s="85"/>
      <c r="R902" s="85"/>
      <c r="S902" s="85"/>
    </row>
    <row r="903" spans="1:19" ht="15.75">
      <c r="A903" s="174"/>
      <c r="B903" s="176"/>
      <c r="C903" s="85"/>
      <c r="D903" s="175"/>
      <c r="E903" s="175"/>
      <c r="F903" s="85"/>
      <c r="G903" s="18">
        <f>C903</f>
        <v>0</v>
      </c>
      <c r="H903" s="85"/>
      <c r="I903" s="85"/>
      <c r="J903" s="174"/>
      <c r="K903" s="173"/>
      <c r="L903" s="102"/>
      <c r="M903" s="85"/>
      <c r="N903" s="85"/>
      <c r="O903" s="85"/>
      <c r="P903" s="85"/>
      <c r="Q903" s="85"/>
      <c r="R903" s="85"/>
      <c r="S903" s="85"/>
    </row>
    <row r="904" spans="1:19" ht="15.75">
      <c r="A904" s="174"/>
      <c r="B904" s="176"/>
      <c r="C904" s="85"/>
      <c r="D904" s="175"/>
      <c r="E904" s="175"/>
      <c r="F904" s="85"/>
      <c r="G904" s="18">
        <f>C904</f>
        <v>0</v>
      </c>
      <c r="H904" s="85"/>
      <c r="I904" s="85"/>
      <c r="J904" s="174"/>
      <c r="K904" s="173"/>
      <c r="L904" s="102"/>
      <c r="M904" s="85"/>
      <c r="N904" s="85"/>
      <c r="O904" s="85"/>
      <c r="P904" s="85"/>
      <c r="Q904" s="85"/>
      <c r="R904" s="85"/>
      <c r="S904" s="85"/>
    </row>
    <row r="905" spans="1:19" ht="15.75">
      <c r="A905" s="174"/>
      <c r="B905" s="176"/>
      <c r="C905" s="85"/>
      <c r="D905" s="175"/>
      <c r="E905" s="175"/>
      <c r="F905" s="85"/>
      <c r="G905" s="18">
        <f>C905</f>
        <v>0</v>
      </c>
      <c r="H905" s="85"/>
      <c r="I905" s="85"/>
      <c r="J905" s="174"/>
      <c r="K905" s="173"/>
      <c r="L905" s="102"/>
      <c r="M905" s="85"/>
      <c r="N905" s="85"/>
      <c r="O905" s="85"/>
      <c r="P905" s="85"/>
      <c r="Q905" s="85"/>
      <c r="R905" s="85"/>
      <c r="S905" s="85"/>
    </row>
    <row r="906" spans="1:19" ht="15.75">
      <c r="A906" s="174"/>
      <c r="B906" s="176"/>
      <c r="C906" s="85"/>
      <c r="D906" s="175"/>
      <c r="E906" s="175"/>
      <c r="F906" s="85"/>
      <c r="G906" s="18">
        <f>C906</f>
        <v>0</v>
      </c>
      <c r="H906" s="85"/>
      <c r="I906" s="85"/>
      <c r="J906" s="174"/>
      <c r="K906" s="173"/>
      <c r="L906" s="102"/>
      <c r="M906" s="85"/>
      <c r="N906" s="85"/>
      <c r="O906" s="85"/>
      <c r="P906" s="85"/>
      <c r="Q906" s="85"/>
      <c r="R906" s="85"/>
      <c r="S906" s="85"/>
    </row>
    <row r="907" spans="1:19" ht="15.75">
      <c r="A907" s="174"/>
      <c r="B907" s="176"/>
      <c r="C907" s="85"/>
      <c r="D907" s="175"/>
      <c r="E907" s="175"/>
      <c r="F907" s="85"/>
      <c r="G907" s="18">
        <f>C907</f>
        <v>0</v>
      </c>
      <c r="H907" s="85"/>
      <c r="I907" s="85"/>
      <c r="J907" s="174"/>
      <c r="K907" s="173"/>
      <c r="L907" s="102"/>
      <c r="M907" s="85"/>
      <c r="N907" s="85"/>
      <c r="O907" s="85"/>
      <c r="P907" s="85"/>
      <c r="Q907" s="85"/>
      <c r="R907" s="85"/>
      <c r="S907" s="85"/>
    </row>
    <row r="908" spans="1:19" ht="15.75">
      <c r="A908" s="174"/>
      <c r="B908" s="176"/>
      <c r="C908" s="85"/>
      <c r="D908" s="175"/>
      <c r="E908" s="175"/>
      <c r="F908" s="85"/>
      <c r="G908" s="18">
        <f>C908</f>
        <v>0</v>
      </c>
      <c r="H908" s="85"/>
      <c r="I908" s="85"/>
      <c r="J908" s="174"/>
      <c r="K908" s="173"/>
      <c r="L908" s="102"/>
      <c r="M908" s="85"/>
      <c r="N908" s="85"/>
      <c r="O908" s="85"/>
      <c r="P908" s="85"/>
      <c r="Q908" s="85"/>
      <c r="R908" s="85"/>
      <c r="S908" s="85"/>
    </row>
    <row r="909" spans="1:19" ht="15.75">
      <c r="A909" s="174"/>
      <c r="B909" s="176"/>
      <c r="C909" s="85"/>
      <c r="D909" s="175"/>
      <c r="E909" s="175"/>
      <c r="F909" s="85"/>
      <c r="G909" s="18">
        <f>C909</f>
        <v>0</v>
      </c>
      <c r="H909" s="85"/>
      <c r="I909" s="85"/>
      <c r="J909" s="174"/>
      <c r="K909" s="173"/>
      <c r="L909" s="102"/>
      <c r="M909" s="85"/>
      <c r="N909" s="85"/>
      <c r="O909" s="85"/>
      <c r="P909" s="85"/>
      <c r="Q909" s="85"/>
      <c r="R909" s="85"/>
      <c r="S909" s="85"/>
    </row>
    <row r="910" spans="1:19" ht="15.75">
      <c r="A910" s="174"/>
      <c r="B910" s="176"/>
      <c r="C910" s="85"/>
      <c r="D910" s="175"/>
      <c r="E910" s="175"/>
      <c r="F910" s="85"/>
      <c r="G910" s="18">
        <f>C910</f>
        <v>0</v>
      </c>
      <c r="H910" s="85"/>
      <c r="I910" s="85"/>
      <c r="J910" s="174"/>
      <c r="K910" s="173"/>
      <c r="L910" s="102"/>
      <c r="M910" s="85"/>
      <c r="N910" s="85"/>
      <c r="O910" s="85"/>
      <c r="P910" s="85"/>
      <c r="Q910" s="85"/>
      <c r="R910" s="85"/>
      <c r="S910" s="85"/>
    </row>
    <row r="911" spans="1:19" ht="15.75">
      <c r="A911" s="174"/>
      <c r="B911" s="176"/>
      <c r="C911" s="85"/>
      <c r="D911" s="175"/>
      <c r="E911" s="175"/>
      <c r="F911" s="85"/>
      <c r="G911" s="18">
        <f>C911</f>
        <v>0</v>
      </c>
      <c r="H911" s="85"/>
      <c r="I911" s="85"/>
      <c r="J911" s="174"/>
      <c r="K911" s="173"/>
      <c r="L911" s="102"/>
      <c r="M911" s="85"/>
      <c r="N911" s="85"/>
      <c r="O911" s="85"/>
      <c r="P911" s="85"/>
      <c r="Q911" s="85"/>
      <c r="R911" s="85"/>
      <c r="S911" s="85"/>
    </row>
    <row r="912" spans="1:19" ht="15.75">
      <c r="A912" s="174"/>
      <c r="B912" s="176"/>
      <c r="C912" s="85"/>
      <c r="D912" s="175"/>
      <c r="E912" s="175"/>
      <c r="F912" s="85"/>
      <c r="G912" s="18">
        <f>C912</f>
        <v>0</v>
      </c>
      <c r="H912" s="85"/>
      <c r="I912" s="85"/>
      <c r="J912" s="174"/>
      <c r="K912" s="173"/>
      <c r="L912" s="102"/>
      <c r="M912" s="85"/>
      <c r="N912" s="85"/>
      <c r="O912" s="85"/>
      <c r="P912" s="85"/>
      <c r="Q912" s="85"/>
      <c r="R912" s="85"/>
      <c r="S912" s="85"/>
    </row>
    <row r="913" spans="1:19" ht="15.75">
      <c r="A913" s="174"/>
      <c r="B913" s="176"/>
      <c r="C913" s="85"/>
      <c r="D913" s="175"/>
      <c r="E913" s="175"/>
      <c r="F913" s="85"/>
      <c r="G913" s="18">
        <f>C913</f>
        <v>0</v>
      </c>
      <c r="H913" s="85"/>
      <c r="I913" s="85"/>
      <c r="J913" s="174"/>
      <c r="K913" s="173"/>
      <c r="L913" s="102"/>
      <c r="M913" s="85"/>
      <c r="N913" s="85"/>
      <c r="O913" s="85"/>
      <c r="P913" s="85"/>
      <c r="Q913" s="85"/>
      <c r="R913" s="85"/>
      <c r="S913" s="85"/>
    </row>
    <row r="914" spans="1:19" ht="15.75">
      <c r="A914" s="174"/>
      <c r="B914" s="176"/>
      <c r="C914" s="85"/>
      <c r="D914" s="175"/>
      <c r="E914" s="175"/>
      <c r="F914" s="85"/>
      <c r="G914" s="18">
        <f>C914</f>
        <v>0</v>
      </c>
      <c r="H914" s="85"/>
      <c r="I914" s="85"/>
      <c r="J914" s="174"/>
      <c r="K914" s="173"/>
      <c r="L914" s="102"/>
      <c r="M914" s="85"/>
      <c r="N914" s="85"/>
      <c r="O914" s="85"/>
      <c r="P914" s="85"/>
      <c r="Q914" s="85"/>
      <c r="R914" s="85"/>
      <c r="S914" s="85"/>
    </row>
    <row r="915" spans="1:19" ht="15.75">
      <c r="A915" s="174"/>
      <c r="B915" s="176"/>
      <c r="C915" s="85"/>
      <c r="D915" s="175"/>
      <c r="E915" s="175"/>
      <c r="F915" s="85"/>
      <c r="G915" s="18">
        <f>C915</f>
        <v>0</v>
      </c>
      <c r="H915" s="85"/>
      <c r="I915" s="85"/>
      <c r="J915" s="174"/>
      <c r="K915" s="173"/>
      <c r="L915" s="102"/>
      <c r="M915" s="85"/>
      <c r="N915" s="85"/>
      <c r="O915" s="85"/>
      <c r="P915" s="85"/>
      <c r="Q915" s="85"/>
      <c r="R915" s="85"/>
      <c r="S915" s="85"/>
    </row>
    <row r="916" spans="1:19" ht="15.75">
      <c r="A916" s="174"/>
      <c r="B916" s="176"/>
      <c r="C916" s="85"/>
      <c r="D916" s="175"/>
      <c r="E916" s="175"/>
      <c r="F916" s="85"/>
      <c r="G916" s="18">
        <f>C916</f>
        <v>0</v>
      </c>
      <c r="H916" s="85"/>
      <c r="I916" s="85"/>
      <c r="J916" s="174"/>
      <c r="K916" s="173"/>
      <c r="L916" s="102"/>
      <c r="M916" s="85"/>
      <c r="N916" s="85"/>
      <c r="O916" s="85"/>
      <c r="P916" s="85"/>
      <c r="Q916" s="85"/>
      <c r="R916" s="85"/>
      <c r="S916" s="85"/>
    </row>
    <row r="917" spans="1:19" ht="15.75">
      <c r="A917" s="174"/>
      <c r="B917" s="176"/>
      <c r="C917" s="85"/>
      <c r="D917" s="175"/>
      <c r="E917" s="175"/>
      <c r="F917" s="85"/>
      <c r="G917" s="18">
        <f>C917</f>
        <v>0</v>
      </c>
      <c r="H917" s="85"/>
      <c r="I917" s="85"/>
      <c r="J917" s="174"/>
      <c r="K917" s="173"/>
      <c r="L917" s="102"/>
      <c r="M917" s="85"/>
      <c r="N917" s="85"/>
      <c r="O917" s="85"/>
      <c r="P917" s="85"/>
      <c r="Q917" s="85"/>
      <c r="R917" s="85"/>
      <c r="S917" s="85"/>
    </row>
    <row r="918" spans="1:19" ht="15.75">
      <c r="A918" s="174"/>
      <c r="B918" s="176"/>
      <c r="C918" s="85"/>
      <c r="D918" s="175"/>
      <c r="E918" s="175"/>
      <c r="F918" s="85"/>
      <c r="G918" s="18">
        <f>C918</f>
        <v>0</v>
      </c>
      <c r="H918" s="85"/>
      <c r="I918" s="85"/>
      <c r="J918" s="174"/>
      <c r="K918" s="173"/>
      <c r="L918" s="102"/>
      <c r="M918" s="85"/>
      <c r="N918" s="85"/>
      <c r="O918" s="85"/>
      <c r="P918" s="85"/>
      <c r="Q918" s="85"/>
      <c r="R918" s="85"/>
      <c r="S918" s="85"/>
    </row>
    <row r="919" spans="1:19" ht="15.75">
      <c r="A919" s="174"/>
      <c r="B919" s="176"/>
      <c r="C919" s="85"/>
      <c r="D919" s="175"/>
      <c r="E919" s="175"/>
      <c r="F919" s="85"/>
      <c r="G919" s="18">
        <f>C919</f>
        <v>0</v>
      </c>
      <c r="H919" s="85"/>
      <c r="I919" s="85"/>
      <c r="J919" s="174"/>
      <c r="K919" s="173"/>
      <c r="L919" s="102"/>
      <c r="M919" s="85"/>
      <c r="N919" s="85"/>
      <c r="O919" s="85"/>
      <c r="P919" s="85"/>
      <c r="Q919" s="85"/>
      <c r="R919" s="85"/>
      <c r="S919" s="85"/>
    </row>
    <row r="920" spans="1:19" ht="15.75">
      <c r="A920" s="174"/>
      <c r="B920" s="176"/>
      <c r="C920" s="85"/>
      <c r="D920" s="175"/>
      <c r="E920" s="175"/>
      <c r="F920" s="85"/>
      <c r="G920" s="18">
        <f>C920</f>
        <v>0</v>
      </c>
      <c r="H920" s="85"/>
      <c r="I920" s="85"/>
      <c r="J920" s="174"/>
      <c r="K920" s="173"/>
      <c r="L920" s="102"/>
      <c r="M920" s="85"/>
      <c r="N920" s="85"/>
      <c r="O920" s="85"/>
      <c r="P920" s="85"/>
      <c r="Q920" s="85"/>
      <c r="R920" s="85"/>
      <c r="S920" s="85"/>
    </row>
    <row r="921" spans="1:19" ht="15.75">
      <c r="A921" s="174"/>
      <c r="B921" s="176"/>
      <c r="C921" s="85"/>
      <c r="D921" s="175"/>
      <c r="E921" s="175"/>
      <c r="F921" s="85"/>
      <c r="G921" s="18">
        <f>C921</f>
        <v>0</v>
      </c>
      <c r="H921" s="85"/>
      <c r="I921" s="85"/>
      <c r="J921" s="174"/>
      <c r="K921" s="173"/>
      <c r="L921" s="102"/>
      <c r="M921" s="85"/>
      <c r="N921" s="85"/>
      <c r="O921" s="85"/>
      <c r="P921" s="85"/>
      <c r="Q921" s="85"/>
      <c r="R921" s="85"/>
      <c r="S921" s="85"/>
    </row>
    <row r="922" spans="1:19" ht="15.75">
      <c r="A922" s="174"/>
      <c r="B922" s="176"/>
      <c r="C922" s="85"/>
      <c r="D922" s="175"/>
      <c r="E922" s="175"/>
      <c r="F922" s="85"/>
      <c r="G922" s="18">
        <f>C922</f>
        <v>0</v>
      </c>
      <c r="H922" s="85"/>
      <c r="I922" s="85"/>
      <c r="J922" s="174"/>
      <c r="K922" s="173"/>
      <c r="L922" s="102"/>
      <c r="M922" s="85"/>
      <c r="N922" s="85"/>
      <c r="O922" s="85"/>
      <c r="P922" s="85"/>
      <c r="Q922" s="85"/>
      <c r="R922" s="85"/>
      <c r="S922" s="85"/>
    </row>
    <row r="923" spans="1:19" ht="15.75">
      <c r="A923" s="174"/>
      <c r="B923" s="176"/>
      <c r="C923" s="85"/>
      <c r="D923" s="175"/>
      <c r="E923" s="175"/>
      <c r="F923" s="85"/>
      <c r="G923" s="18">
        <f>C923</f>
        <v>0</v>
      </c>
      <c r="H923" s="85"/>
      <c r="I923" s="85"/>
      <c r="J923" s="174"/>
      <c r="K923" s="173"/>
      <c r="L923" s="102"/>
      <c r="M923" s="85"/>
      <c r="N923" s="85"/>
      <c r="O923" s="85"/>
      <c r="P923" s="85"/>
      <c r="Q923" s="85"/>
      <c r="R923" s="85"/>
      <c r="S923" s="85"/>
    </row>
    <row r="924" spans="1:19" ht="15.75">
      <c r="A924" s="174"/>
      <c r="B924" s="176"/>
      <c r="C924" s="85"/>
      <c r="D924" s="175"/>
      <c r="E924" s="175"/>
      <c r="F924" s="85"/>
      <c r="G924" s="18">
        <f>C924</f>
        <v>0</v>
      </c>
      <c r="H924" s="85"/>
      <c r="I924" s="85"/>
      <c r="J924" s="174"/>
      <c r="K924" s="173"/>
      <c r="L924" s="102"/>
      <c r="M924" s="85"/>
      <c r="N924" s="85"/>
      <c r="O924" s="85"/>
      <c r="P924" s="85"/>
      <c r="Q924" s="85"/>
      <c r="R924" s="85"/>
      <c r="S924" s="85"/>
    </row>
    <row r="925" spans="1:19" ht="15.75">
      <c r="A925" s="174"/>
      <c r="B925" s="176"/>
      <c r="C925" s="85"/>
      <c r="D925" s="175"/>
      <c r="E925" s="175"/>
      <c r="F925" s="85"/>
      <c r="G925" s="18">
        <f>C925</f>
        <v>0</v>
      </c>
      <c r="H925" s="85"/>
      <c r="I925" s="85"/>
      <c r="J925" s="174"/>
      <c r="K925" s="173"/>
      <c r="L925" s="102"/>
      <c r="M925" s="85"/>
      <c r="N925" s="85"/>
      <c r="O925" s="85"/>
      <c r="P925" s="85"/>
      <c r="Q925" s="85"/>
      <c r="R925" s="85"/>
      <c r="S925" s="85"/>
    </row>
    <row r="926" spans="1:19" ht="15.75">
      <c r="A926" s="174"/>
      <c r="B926" s="176"/>
      <c r="C926" s="85"/>
      <c r="D926" s="175"/>
      <c r="E926" s="175"/>
      <c r="F926" s="85"/>
      <c r="G926" s="18">
        <f>C926</f>
        <v>0</v>
      </c>
      <c r="H926" s="85"/>
      <c r="I926" s="85"/>
      <c r="J926" s="174"/>
      <c r="K926" s="173"/>
      <c r="L926" s="102"/>
      <c r="M926" s="85"/>
      <c r="N926" s="85"/>
      <c r="O926" s="85"/>
      <c r="P926" s="85"/>
      <c r="Q926" s="85"/>
      <c r="R926" s="85"/>
      <c r="S926" s="85"/>
    </row>
    <row r="927" spans="1:19" ht="15.75">
      <c r="A927" s="174"/>
      <c r="B927" s="176"/>
      <c r="C927" s="85"/>
      <c r="D927" s="175"/>
      <c r="E927" s="175"/>
      <c r="F927" s="85"/>
      <c r="G927" s="18">
        <f>C927</f>
        <v>0</v>
      </c>
      <c r="H927" s="85"/>
      <c r="I927" s="85"/>
      <c r="J927" s="174"/>
      <c r="K927" s="173"/>
      <c r="L927" s="102"/>
      <c r="M927" s="85"/>
      <c r="N927" s="85"/>
      <c r="O927" s="85"/>
      <c r="P927" s="85"/>
      <c r="Q927" s="85"/>
      <c r="R927" s="85"/>
      <c r="S927" s="85"/>
    </row>
    <row r="928" spans="1:19" ht="15.75">
      <c r="A928" s="174"/>
      <c r="B928" s="176"/>
      <c r="C928" s="85"/>
      <c r="D928" s="175"/>
      <c r="E928" s="175"/>
      <c r="F928" s="85"/>
      <c r="G928" s="18">
        <f>C928</f>
        <v>0</v>
      </c>
      <c r="H928" s="85"/>
      <c r="I928" s="85"/>
      <c r="J928" s="174"/>
      <c r="K928" s="173"/>
      <c r="L928" s="102"/>
      <c r="M928" s="85"/>
      <c r="N928" s="85"/>
      <c r="O928" s="85"/>
      <c r="P928" s="85"/>
      <c r="Q928" s="85"/>
      <c r="R928" s="85"/>
      <c r="S928" s="85"/>
    </row>
    <row r="929" spans="1:19" ht="15.75">
      <c r="A929" s="174"/>
      <c r="B929" s="176"/>
      <c r="C929" s="85"/>
      <c r="D929" s="175"/>
      <c r="E929" s="175"/>
      <c r="F929" s="85"/>
      <c r="G929" s="18">
        <f>C929</f>
        <v>0</v>
      </c>
      <c r="H929" s="85"/>
      <c r="I929" s="85"/>
      <c r="J929" s="174"/>
      <c r="K929" s="173"/>
      <c r="L929" s="102"/>
      <c r="M929" s="85"/>
      <c r="N929" s="85"/>
      <c r="O929" s="85"/>
      <c r="P929" s="85"/>
      <c r="Q929" s="85"/>
      <c r="R929" s="85"/>
      <c r="S929" s="85"/>
    </row>
    <row r="930" spans="1:19" ht="15.75">
      <c r="A930" s="174"/>
      <c r="B930" s="176"/>
      <c r="C930" s="85"/>
      <c r="D930" s="175"/>
      <c r="E930" s="175"/>
      <c r="F930" s="85"/>
      <c r="G930" s="18">
        <f>C930</f>
        <v>0</v>
      </c>
      <c r="H930" s="85"/>
      <c r="I930" s="85"/>
      <c r="J930" s="174"/>
      <c r="K930" s="173"/>
      <c r="L930" s="102"/>
      <c r="M930" s="85"/>
      <c r="N930" s="85"/>
      <c r="O930" s="85"/>
      <c r="P930" s="85"/>
      <c r="Q930" s="85"/>
      <c r="R930" s="85"/>
      <c r="S930" s="85"/>
    </row>
    <row r="931" spans="1:19" ht="15.75">
      <c r="A931" s="174"/>
      <c r="B931" s="176"/>
      <c r="C931" s="85"/>
      <c r="D931" s="175"/>
      <c r="E931" s="175"/>
      <c r="F931" s="85"/>
      <c r="G931" s="18">
        <f>C931</f>
        <v>0</v>
      </c>
      <c r="H931" s="85"/>
      <c r="I931" s="85"/>
      <c r="J931" s="174"/>
      <c r="K931" s="173"/>
      <c r="L931" s="102"/>
      <c r="M931" s="85"/>
      <c r="N931" s="85"/>
      <c r="O931" s="85"/>
      <c r="P931" s="85"/>
      <c r="Q931" s="85"/>
      <c r="R931" s="85"/>
      <c r="S931" s="85"/>
    </row>
    <row r="932" spans="1:19" ht="15.75">
      <c r="A932" s="174"/>
      <c r="B932" s="176"/>
      <c r="C932" s="85"/>
      <c r="D932" s="175"/>
      <c r="E932" s="175"/>
      <c r="F932" s="85"/>
      <c r="G932" s="18">
        <f>C932</f>
        <v>0</v>
      </c>
      <c r="H932" s="85"/>
      <c r="I932" s="85"/>
      <c r="J932" s="174"/>
      <c r="K932" s="173"/>
      <c r="L932" s="102"/>
      <c r="M932" s="85"/>
      <c r="N932" s="85"/>
      <c r="O932" s="85"/>
      <c r="P932" s="85"/>
      <c r="Q932" s="85"/>
      <c r="R932" s="85"/>
      <c r="S932" s="85"/>
    </row>
    <row r="933" spans="1:19" ht="15.75">
      <c r="A933" s="174"/>
      <c r="B933" s="176"/>
      <c r="C933" s="85"/>
      <c r="D933" s="175"/>
      <c r="E933" s="175"/>
      <c r="F933" s="85"/>
      <c r="G933" s="18">
        <f>C933</f>
        <v>0</v>
      </c>
      <c r="H933" s="85"/>
      <c r="I933" s="85"/>
      <c r="J933" s="174"/>
      <c r="K933" s="173"/>
      <c r="L933" s="102"/>
      <c r="M933" s="85"/>
      <c r="N933" s="85"/>
      <c r="O933" s="85"/>
      <c r="P933" s="85"/>
      <c r="Q933" s="85"/>
      <c r="R933" s="85"/>
      <c r="S933" s="85"/>
    </row>
    <row r="934" spans="1:19" ht="15.75">
      <c r="A934" s="174"/>
      <c r="B934" s="176"/>
      <c r="C934" s="85"/>
      <c r="D934" s="175"/>
      <c r="E934" s="175"/>
      <c r="F934" s="85"/>
      <c r="G934" s="18">
        <f>C934</f>
        <v>0</v>
      </c>
      <c r="H934" s="85"/>
      <c r="I934" s="85"/>
      <c r="J934" s="174"/>
      <c r="K934" s="173"/>
      <c r="L934" s="102"/>
      <c r="M934" s="85"/>
      <c r="N934" s="85"/>
      <c r="O934" s="85"/>
      <c r="P934" s="85"/>
      <c r="Q934" s="85"/>
      <c r="R934" s="85"/>
      <c r="S934" s="85"/>
    </row>
    <row r="935" spans="1:19" ht="15.75">
      <c r="A935" s="174"/>
      <c r="B935" s="176"/>
      <c r="C935" s="85"/>
      <c r="D935" s="175"/>
      <c r="E935" s="175"/>
      <c r="F935" s="85"/>
      <c r="G935" s="18">
        <f>C935</f>
        <v>0</v>
      </c>
      <c r="H935" s="85"/>
      <c r="I935" s="85"/>
      <c r="J935" s="174"/>
      <c r="K935" s="173"/>
      <c r="L935" s="102"/>
      <c r="M935" s="85"/>
      <c r="N935" s="85"/>
      <c r="O935" s="85"/>
      <c r="P935" s="85"/>
      <c r="Q935" s="85"/>
      <c r="R935" s="85"/>
      <c r="S935" s="85"/>
    </row>
    <row r="936" spans="1:19" ht="15.75">
      <c r="A936" s="174"/>
      <c r="B936" s="176"/>
      <c r="C936" s="85"/>
      <c r="D936" s="175"/>
      <c r="E936" s="175"/>
      <c r="F936" s="85"/>
      <c r="G936" s="18">
        <f>C936</f>
        <v>0</v>
      </c>
      <c r="H936" s="85"/>
      <c r="I936" s="85"/>
      <c r="J936" s="174"/>
      <c r="K936" s="173"/>
      <c r="L936" s="102"/>
      <c r="M936" s="85"/>
      <c r="N936" s="85"/>
      <c r="O936" s="85"/>
      <c r="P936" s="85"/>
      <c r="Q936" s="85"/>
      <c r="R936" s="85"/>
      <c r="S936" s="85"/>
    </row>
    <row r="937" spans="1:19" ht="15.75">
      <c r="A937" s="174"/>
      <c r="B937" s="176"/>
      <c r="C937" s="85"/>
      <c r="D937" s="175"/>
      <c r="E937" s="175"/>
      <c r="F937" s="85"/>
      <c r="G937" s="18">
        <f>C937</f>
        <v>0</v>
      </c>
      <c r="H937" s="85"/>
      <c r="I937" s="85"/>
      <c r="J937" s="174"/>
      <c r="K937" s="173"/>
      <c r="L937" s="102"/>
      <c r="M937" s="85"/>
      <c r="N937" s="85"/>
      <c r="O937" s="85"/>
      <c r="P937" s="85"/>
      <c r="Q937" s="85"/>
      <c r="R937" s="85"/>
      <c r="S937" s="85"/>
    </row>
    <row r="938" spans="1:19" ht="15.75">
      <c r="A938" s="174"/>
      <c r="B938" s="176"/>
      <c r="C938" s="85"/>
      <c r="D938" s="175"/>
      <c r="E938" s="175"/>
      <c r="F938" s="85"/>
      <c r="G938" s="18">
        <f>C938</f>
        <v>0</v>
      </c>
      <c r="H938" s="85"/>
      <c r="I938" s="85"/>
      <c r="J938" s="174"/>
      <c r="K938" s="173"/>
      <c r="L938" s="102"/>
      <c r="M938" s="85"/>
      <c r="N938" s="85"/>
      <c r="O938" s="85"/>
      <c r="P938" s="85"/>
      <c r="Q938" s="85"/>
      <c r="R938" s="85"/>
      <c r="S938" s="85"/>
    </row>
    <row r="939" spans="1:19" ht="15.75">
      <c r="A939" s="174"/>
      <c r="B939" s="176"/>
      <c r="C939" s="85"/>
      <c r="D939" s="175"/>
      <c r="E939" s="175"/>
      <c r="F939" s="85"/>
      <c r="G939" s="18">
        <f>C939</f>
        <v>0</v>
      </c>
      <c r="H939" s="85"/>
      <c r="I939" s="85"/>
      <c r="J939" s="174"/>
      <c r="K939" s="173"/>
      <c r="L939" s="102"/>
      <c r="M939" s="85"/>
      <c r="N939" s="85"/>
      <c r="O939" s="85"/>
      <c r="P939" s="85"/>
      <c r="Q939" s="85"/>
      <c r="R939" s="85"/>
      <c r="S939" s="85"/>
    </row>
    <row r="940" spans="1:19" ht="15.75">
      <c r="A940" s="174"/>
      <c r="B940" s="176"/>
      <c r="C940" s="85"/>
      <c r="D940" s="175"/>
      <c r="E940" s="175"/>
      <c r="F940" s="85"/>
      <c r="G940" s="18">
        <f>C940</f>
        <v>0</v>
      </c>
      <c r="H940" s="85"/>
      <c r="I940" s="85"/>
      <c r="J940" s="174"/>
      <c r="K940" s="173"/>
      <c r="L940" s="102"/>
      <c r="M940" s="85"/>
      <c r="N940" s="85"/>
      <c r="O940" s="85"/>
      <c r="P940" s="85"/>
      <c r="Q940" s="85"/>
      <c r="R940" s="85"/>
      <c r="S940" s="85"/>
    </row>
    <row r="941" spans="1:19" ht="15.75">
      <c r="A941" s="174"/>
      <c r="B941" s="176"/>
      <c r="C941" s="85"/>
      <c r="D941" s="175"/>
      <c r="E941" s="175"/>
      <c r="F941" s="85"/>
      <c r="G941" s="18">
        <f>C941</f>
        <v>0</v>
      </c>
      <c r="H941" s="85"/>
      <c r="I941" s="85"/>
      <c r="J941" s="174"/>
      <c r="K941" s="173"/>
      <c r="L941" s="102"/>
      <c r="M941" s="85"/>
      <c r="N941" s="85"/>
      <c r="O941" s="85"/>
      <c r="P941" s="85"/>
      <c r="Q941" s="85"/>
      <c r="R941" s="85"/>
      <c r="S941" s="85"/>
    </row>
    <row r="942" spans="1:19" ht="15.75">
      <c r="A942" s="174"/>
      <c r="B942" s="176"/>
      <c r="C942" s="85"/>
      <c r="D942" s="175"/>
      <c r="E942" s="175"/>
      <c r="F942" s="85"/>
      <c r="G942" s="18">
        <f>C942</f>
        <v>0</v>
      </c>
      <c r="H942" s="85"/>
      <c r="I942" s="85"/>
      <c r="J942" s="174"/>
      <c r="K942" s="173"/>
      <c r="L942" s="102"/>
      <c r="M942" s="85"/>
      <c r="N942" s="85"/>
      <c r="O942" s="85"/>
      <c r="P942" s="85"/>
      <c r="Q942" s="85"/>
      <c r="R942" s="85"/>
      <c r="S942" s="85"/>
    </row>
    <row r="943" spans="1:19" ht="15.75">
      <c r="A943" s="174"/>
      <c r="B943" s="176"/>
      <c r="C943" s="85"/>
      <c r="D943" s="175"/>
      <c r="E943" s="175"/>
      <c r="F943" s="85"/>
      <c r="G943" s="18">
        <f>C943</f>
        <v>0</v>
      </c>
      <c r="H943" s="85"/>
      <c r="I943" s="85"/>
      <c r="J943" s="174"/>
      <c r="K943" s="173"/>
      <c r="L943" s="102"/>
      <c r="M943" s="85"/>
      <c r="N943" s="85"/>
      <c r="O943" s="85"/>
      <c r="P943" s="85"/>
      <c r="Q943" s="85"/>
      <c r="R943" s="85"/>
      <c r="S943" s="85"/>
    </row>
    <row r="944" spans="1:19" ht="15.75">
      <c r="A944" s="174"/>
      <c r="B944" s="176"/>
      <c r="C944" s="85"/>
      <c r="D944" s="175"/>
      <c r="E944" s="175"/>
      <c r="F944" s="85"/>
      <c r="G944" s="18">
        <f>C944</f>
        <v>0</v>
      </c>
      <c r="H944" s="85"/>
      <c r="I944" s="85"/>
      <c r="J944" s="174"/>
      <c r="K944" s="173"/>
      <c r="L944" s="102"/>
      <c r="M944" s="85"/>
      <c r="N944" s="85"/>
      <c r="O944" s="85"/>
      <c r="P944" s="85"/>
      <c r="Q944" s="85"/>
      <c r="R944" s="85"/>
      <c r="S944" s="85"/>
    </row>
    <row r="945" spans="1:19" ht="15.75">
      <c r="A945" s="174"/>
      <c r="B945" s="176"/>
      <c r="C945" s="85"/>
      <c r="D945" s="175"/>
      <c r="E945" s="175"/>
      <c r="F945" s="85"/>
      <c r="G945" s="18">
        <f>C945</f>
        <v>0</v>
      </c>
      <c r="H945" s="85"/>
      <c r="I945" s="85"/>
      <c r="J945" s="174"/>
      <c r="K945" s="173"/>
      <c r="L945" s="102"/>
      <c r="M945" s="85"/>
      <c r="N945" s="85"/>
      <c r="O945" s="85"/>
      <c r="P945" s="85"/>
      <c r="Q945" s="85"/>
      <c r="R945" s="85"/>
      <c r="S945" s="85"/>
    </row>
    <row r="946" spans="1:19" ht="15.75">
      <c r="A946" s="174"/>
      <c r="B946" s="176"/>
      <c r="C946" s="85"/>
      <c r="D946" s="175"/>
      <c r="E946" s="175"/>
      <c r="F946" s="85"/>
      <c r="G946" s="18">
        <f>C946</f>
        <v>0</v>
      </c>
      <c r="H946" s="85"/>
      <c r="I946" s="85"/>
      <c r="J946" s="174"/>
      <c r="K946" s="173"/>
      <c r="L946" s="102"/>
      <c r="M946" s="85"/>
      <c r="N946" s="85"/>
      <c r="O946" s="85"/>
      <c r="P946" s="85"/>
      <c r="Q946" s="85"/>
      <c r="R946" s="85"/>
      <c r="S946" s="85"/>
    </row>
    <row r="947" spans="1:19" ht="15.75">
      <c r="A947" s="174"/>
      <c r="B947" s="176"/>
      <c r="C947" s="85"/>
      <c r="D947" s="175"/>
      <c r="E947" s="175"/>
      <c r="F947" s="85"/>
      <c r="G947" s="18">
        <f>C947</f>
        <v>0</v>
      </c>
      <c r="H947" s="85"/>
      <c r="I947" s="85"/>
      <c r="J947" s="174"/>
      <c r="K947" s="173"/>
      <c r="L947" s="102"/>
      <c r="M947" s="85"/>
      <c r="N947" s="85"/>
      <c r="O947" s="85"/>
      <c r="P947" s="85"/>
      <c r="Q947" s="85"/>
      <c r="R947" s="85"/>
      <c r="S947" s="85"/>
    </row>
    <row r="948" spans="1:19" ht="15.75">
      <c r="A948" s="174"/>
      <c r="B948" s="176"/>
      <c r="C948" s="85"/>
      <c r="D948" s="175"/>
      <c r="E948" s="175"/>
      <c r="F948" s="85"/>
      <c r="G948" s="18">
        <f>C948</f>
        <v>0</v>
      </c>
      <c r="H948" s="85"/>
      <c r="I948" s="85"/>
      <c r="J948" s="174"/>
      <c r="K948" s="173"/>
      <c r="L948" s="102"/>
      <c r="M948" s="85"/>
      <c r="N948" s="85"/>
      <c r="O948" s="85"/>
      <c r="P948" s="85"/>
      <c r="Q948" s="85"/>
      <c r="R948" s="85"/>
      <c r="S948" s="85"/>
    </row>
    <row r="949" spans="1:19" ht="15.75">
      <c r="A949" s="174"/>
      <c r="B949" s="176"/>
      <c r="C949" s="85"/>
      <c r="D949" s="175"/>
      <c r="E949" s="175"/>
      <c r="F949" s="85"/>
      <c r="G949" s="18">
        <f>C949</f>
        <v>0</v>
      </c>
      <c r="H949" s="85"/>
      <c r="I949" s="85"/>
      <c r="J949" s="174"/>
      <c r="K949" s="173"/>
      <c r="L949" s="102"/>
      <c r="M949" s="85"/>
      <c r="N949" s="85"/>
      <c r="O949" s="85"/>
      <c r="P949" s="85"/>
      <c r="Q949" s="85"/>
      <c r="R949" s="85"/>
      <c r="S949" s="85"/>
    </row>
    <row r="950" spans="1:19" ht="15.75">
      <c r="A950" s="174"/>
      <c r="B950" s="176"/>
      <c r="C950" s="85"/>
      <c r="D950" s="175"/>
      <c r="E950" s="175"/>
      <c r="F950" s="85"/>
      <c r="G950" s="18">
        <f>C950</f>
        <v>0</v>
      </c>
      <c r="H950" s="85"/>
      <c r="I950" s="85"/>
      <c r="J950" s="174"/>
      <c r="K950" s="173"/>
      <c r="L950" s="102"/>
      <c r="M950" s="85"/>
      <c r="N950" s="85"/>
      <c r="O950" s="85"/>
      <c r="P950" s="85"/>
      <c r="Q950" s="85"/>
      <c r="R950" s="85"/>
      <c r="S950" s="85"/>
    </row>
    <row r="951" spans="1:19" ht="15.75">
      <c r="A951" s="174"/>
      <c r="B951" s="176"/>
      <c r="C951" s="85"/>
      <c r="D951" s="175"/>
      <c r="E951" s="175"/>
      <c r="F951" s="85"/>
      <c r="G951" s="18">
        <f>C951</f>
        <v>0</v>
      </c>
      <c r="H951" s="85"/>
      <c r="I951" s="85"/>
      <c r="J951" s="174"/>
      <c r="K951" s="173"/>
      <c r="L951" s="102"/>
      <c r="M951" s="85"/>
      <c r="N951" s="85"/>
      <c r="O951" s="85"/>
      <c r="P951" s="85"/>
      <c r="Q951" s="85"/>
      <c r="R951" s="85"/>
      <c r="S951" s="85"/>
    </row>
    <row r="952" spans="1:19" ht="15.75">
      <c r="A952" s="174"/>
      <c r="B952" s="176"/>
      <c r="C952" s="85"/>
      <c r="D952" s="175"/>
      <c r="E952" s="175"/>
      <c r="F952" s="85"/>
      <c r="G952" s="18">
        <f>C952</f>
        <v>0</v>
      </c>
      <c r="H952" s="85"/>
      <c r="I952" s="85"/>
      <c r="J952" s="174"/>
      <c r="K952" s="173"/>
      <c r="L952" s="102"/>
      <c r="M952" s="85"/>
      <c r="N952" s="85"/>
      <c r="O952" s="85"/>
      <c r="P952" s="85"/>
      <c r="Q952" s="85"/>
      <c r="R952" s="85"/>
      <c r="S952" s="85"/>
    </row>
    <row r="953" spans="1:19" ht="15.75">
      <c r="A953" s="174"/>
      <c r="B953" s="176"/>
      <c r="C953" s="85"/>
      <c r="D953" s="175"/>
      <c r="E953" s="175"/>
      <c r="F953" s="85"/>
      <c r="G953" s="18">
        <f>C953</f>
        <v>0</v>
      </c>
      <c r="H953" s="85"/>
      <c r="I953" s="85"/>
      <c r="J953" s="174"/>
      <c r="K953" s="173"/>
      <c r="L953" s="102"/>
      <c r="M953" s="85"/>
      <c r="N953" s="85"/>
      <c r="O953" s="85"/>
      <c r="P953" s="85"/>
      <c r="Q953" s="85"/>
      <c r="R953" s="85"/>
      <c r="S953" s="85"/>
    </row>
    <row r="954" spans="1:19" ht="15.75">
      <c r="A954" s="174"/>
      <c r="B954" s="176"/>
      <c r="C954" s="85"/>
      <c r="D954" s="175"/>
      <c r="E954" s="175"/>
      <c r="F954" s="85"/>
      <c r="G954" s="18">
        <f>C954</f>
        <v>0</v>
      </c>
      <c r="H954" s="85"/>
      <c r="I954" s="85"/>
      <c r="J954" s="174"/>
      <c r="K954" s="173"/>
      <c r="L954" s="102"/>
      <c r="M954" s="85"/>
      <c r="N954" s="85"/>
      <c r="O954" s="85"/>
      <c r="P954" s="85"/>
      <c r="Q954" s="85"/>
      <c r="R954" s="85"/>
      <c r="S954" s="85"/>
    </row>
    <row r="955" spans="1:19" ht="15.75">
      <c r="A955" s="174"/>
      <c r="B955" s="176"/>
      <c r="C955" s="85"/>
      <c r="D955" s="175"/>
      <c r="E955" s="175"/>
      <c r="F955" s="85"/>
      <c r="G955" s="18">
        <f>C955</f>
        <v>0</v>
      </c>
      <c r="H955" s="85"/>
      <c r="I955" s="85"/>
      <c r="J955" s="174"/>
      <c r="K955" s="173"/>
      <c r="L955" s="102"/>
      <c r="M955" s="85"/>
      <c r="N955" s="85"/>
      <c r="O955" s="85"/>
      <c r="P955" s="85"/>
      <c r="Q955" s="85"/>
      <c r="R955" s="85"/>
      <c r="S955" s="85"/>
    </row>
    <row r="956" spans="1:19" ht="15.75">
      <c r="A956" s="174"/>
      <c r="B956" s="176"/>
      <c r="C956" s="85"/>
      <c r="D956" s="175"/>
      <c r="E956" s="175"/>
      <c r="F956" s="85"/>
      <c r="G956" s="18">
        <f>C956</f>
        <v>0</v>
      </c>
      <c r="H956" s="85"/>
      <c r="I956" s="85"/>
      <c r="J956" s="174"/>
      <c r="K956" s="173"/>
      <c r="L956" s="102"/>
      <c r="M956" s="85"/>
      <c r="N956" s="85"/>
      <c r="O956" s="85"/>
      <c r="P956" s="85"/>
      <c r="Q956" s="85"/>
      <c r="R956" s="85"/>
      <c r="S956" s="85"/>
    </row>
    <row r="957" spans="1:19" ht="15.75">
      <c r="A957" s="174"/>
      <c r="B957" s="176"/>
      <c r="C957" s="85"/>
      <c r="D957" s="175"/>
      <c r="E957" s="175"/>
      <c r="F957" s="85"/>
      <c r="G957" s="18">
        <f>C957</f>
        <v>0</v>
      </c>
      <c r="H957" s="85"/>
      <c r="I957" s="85"/>
      <c r="J957" s="174"/>
      <c r="K957" s="173"/>
      <c r="L957" s="102"/>
      <c r="M957" s="85"/>
      <c r="N957" s="85"/>
      <c r="O957" s="85"/>
      <c r="P957" s="85"/>
      <c r="Q957" s="85"/>
      <c r="R957" s="85"/>
      <c r="S957" s="85"/>
    </row>
    <row r="958" spans="1:19" ht="15.75">
      <c r="A958" s="174"/>
      <c r="B958" s="176"/>
      <c r="C958" s="85"/>
      <c r="D958" s="175"/>
      <c r="E958" s="175"/>
      <c r="F958" s="85"/>
      <c r="G958" s="18">
        <f>C958</f>
        <v>0</v>
      </c>
      <c r="H958" s="85"/>
      <c r="I958" s="85"/>
      <c r="J958" s="174"/>
      <c r="K958" s="173"/>
      <c r="L958" s="102"/>
      <c r="M958" s="85"/>
      <c r="N958" s="85"/>
      <c r="O958" s="85"/>
      <c r="P958" s="85"/>
      <c r="Q958" s="85"/>
      <c r="R958" s="85"/>
      <c r="S958" s="85"/>
    </row>
    <row r="959" spans="1:19" ht="15.75">
      <c r="A959" s="174"/>
      <c r="B959" s="176"/>
      <c r="C959" s="85"/>
      <c r="D959" s="175"/>
      <c r="E959" s="175"/>
      <c r="F959" s="85"/>
      <c r="G959" s="18">
        <f>C959</f>
        <v>0</v>
      </c>
      <c r="H959" s="85"/>
      <c r="I959" s="85"/>
      <c r="J959" s="174"/>
      <c r="K959" s="173"/>
      <c r="L959" s="102"/>
      <c r="M959" s="85"/>
      <c r="N959" s="85"/>
      <c r="O959" s="85"/>
      <c r="P959" s="85"/>
      <c r="Q959" s="85"/>
      <c r="R959" s="85"/>
      <c r="S959" s="85"/>
    </row>
    <row r="960" spans="1:19" ht="15.75">
      <c r="A960" s="174"/>
      <c r="B960" s="176"/>
      <c r="C960" s="85"/>
      <c r="D960" s="175"/>
      <c r="E960" s="175"/>
      <c r="F960" s="85"/>
      <c r="G960" s="18">
        <f>C960</f>
        <v>0</v>
      </c>
      <c r="H960" s="85"/>
      <c r="I960" s="85"/>
      <c r="J960" s="174"/>
      <c r="K960" s="173"/>
      <c r="L960" s="102"/>
      <c r="M960" s="85"/>
      <c r="N960" s="85"/>
      <c r="O960" s="85"/>
      <c r="P960" s="85"/>
      <c r="Q960" s="85"/>
      <c r="R960" s="85"/>
      <c r="S960" s="85"/>
    </row>
    <row r="961" spans="1:19" ht="15.75">
      <c r="A961" s="174"/>
      <c r="B961" s="176"/>
      <c r="C961" s="85"/>
      <c r="D961" s="175"/>
      <c r="E961" s="175"/>
      <c r="F961" s="85"/>
      <c r="G961" s="18">
        <f>C961</f>
        <v>0</v>
      </c>
      <c r="H961" s="85"/>
      <c r="I961" s="85"/>
      <c r="J961" s="174"/>
      <c r="K961" s="173"/>
      <c r="L961" s="102"/>
      <c r="M961" s="85"/>
      <c r="N961" s="85"/>
      <c r="O961" s="85"/>
      <c r="P961" s="85"/>
      <c r="Q961" s="85"/>
      <c r="R961" s="85"/>
      <c r="S961" s="85"/>
    </row>
    <row r="962" spans="1:19" ht="15.75">
      <c r="A962" s="174"/>
      <c r="B962" s="176"/>
      <c r="C962" s="85"/>
      <c r="D962" s="175"/>
      <c r="E962" s="175"/>
      <c r="F962" s="85"/>
      <c r="G962" s="18">
        <f>C962</f>
        <v>0</v>
      </c>
      <c r="H962" s="85"/>
      <c r="I962" s="85"/>
      <c r="J962" s="174"/>
      <c r="K962" s="173"/>
      <c r="L962" s="102"/>
      <c r="M962" s="85"/>
      <c r="N962" s="85"/>
      <c r="O962" s="85"/>
      <c r="P962" s="85"/>
      <c r="Q962" s="85"/>
      <c r="R962" s="85"/>
      <c r="S962" s="85"/>
    </row>
    <row r="963" spans="1:19" ht="15.75">
      <c r="A963" s="174"/>
      <c r="B963" s="176"/>
      <c r="C963" s="85"/>
      <c r="D963" s="175"/>
      <c r="E963" s="175"/>
      <c r="F963" s="85"/>
      <c r="G963" s="18">
        <f>C963</f>
        <v>0</v>
      </c>
      <c r="H963" s="85"/>
      <c r="I963" s="85"/>
      <c r="J963" s="174"/>
      <c r="K963" s="173"/>
      <c r="L963" s="102"/>
      <c r="M963" s="85"/>
      <c r="N963" s="85"/>
      <c r="O963" s="85"/>
      <c r="P963" s="85"/>
      <c r="Q963" s="85"/>
      <c r="R963" s="85"/>
      <c r="S963" s="85"/>
    </row>
    <row r="964" spans="1:19" ht="15.75">
      <c r="A964" s="174"/>
      <c r="B964" s="176"/>
      <c r="C964" s="85"/>
      <c r="D964" s="175"/>
      <c r="E964" s="175"/>
      <c r="F964" s="85"/>
      <c r="G964" s="18">
        <f>C964</f>
        <v>0</v>
      </c>
      <c r="H964" s="85"/>
      <c r="I964" s="85"/>
      <c r="J964" s="174"/>
      <c r="K964" s="173"/>
      <c r="L964" s="102"/>
      <c r="M964" s="85"/>
      <c r="N964" s="85"/>
      <c r="O964" s="85"/>
      <c r="P964" s="85"/>
      <c r="Q964" s="85"/>
      <c r="R964" s="85"/>
      <c r="S964" s="85"/>
    </row>
    <row r="965" spans="1:19" ht="15.75">
      <c r="A965" s="174"/>
      <c r="B965" s="176"/>
      <c r="C965" s="85"/>
      <c r="D965" s="175"/>
      <c r="E965" s="175"/>
      <c r="F965" s="85"/>
      <c r="G965" s="18">
        <f>C965</f>
        <v>0</v>
      </c>
      <c r="H965" s="85"/>
      <c r="I965" s="85"/>
      <c r="J965" s="174"/>
      <c r="K965" s="173"/>
      <c r="L965" s="102"/>
      <c r="M965" s="85"/>
      <c r="N965" s="85"/>
      <c r="O965" s="85"/>
      <c r="P965" s="85"/>
      <c r="Q965" s="85"/>
      <c r="R965" s="85"/>
      <c r="S965" s="85"/>
    </row>
    <row r="966" spans="1:19" ht="15.75">
      <c r="A966" s="174"/>
      <c r="B966" s="176"/>
      <c r="C966" s="85"/>
      <c r="D966" s="175"/>
      <c r="E966" s="175"/>
      <c r="F966" s="85"/>
      <c r="G966" s="18">
        <f>C966</f>
        <v>0</v>
      </c>
      <c r="H966" s="85"/>
      <c r="I966" s="85"/>
      <c r="J966" s="174"/>
      <c r="K966" s="173"/>
      <c r="L966" s="102"/>
      <c r="M966" s="85"/>
      <c r="N966" s="85"/>
      <c r="O966" s="85"/>
      <c r="P966" s="85"/>
      <c r="Q966" s="85"/>
      <c r="R966" s="85"/>
      <c r="S966" s="85"/>
    </row>
    <row r="967" spans="1:19" ht="15.75">
      <c r="A967" s="174"/>
      <c r="B967" s="176"/>
      <c r="C967" s="85"/>
      <c r="D967" s="175"/>
      <c r="E967" s="175"/>
      <c r="F967" s="85"/>
      <c r="G967" s="18">
        <f>C967</f>
        <v>0</v>
      </c>
      <c r="H967" s="85"/>
      <c r="I967" s="85"/>
      <c r="J967" s="174"/>
      <c r="K967" s="173"/>
      <c r="L967" s="102"/>
      <c r="M967" s="85"/>
      <c r="N967" s="85"/>
      <c r="O967" s="85"/>
      <c r="P967" s="85"/>
      <c r="Q967" s="85"/>
      <c r="R967" s="85"/>
      <c r="S967" s="85"/>
    </row>
    <row r="968" spans="1:19" ht="15.75">
      <c r="A968" s="174"/>
      <c r="B968" s="176"/>
      <c r="C968" s="85"/>
      <c r="D968" s="175"/>
      <c r="E968" s="175"/>
      <c r="F968" s="85"/>
      <c r="G968" s="18">
        <f>C968</f>
        <v>0</v>
      </c>
      <c r="H968" s="85"/>
      <c r="I968" s="85"/>
      <c r="J968" s="174"/>
      <c r="K968" s="173"/>
      <c r="L968" s="102"/>
      <c r="M968" s="85"/>
      <c r="N968" s="85"/>
      <c r="O968" s="85"/>
      <c r="P968" s="85"/>
      <c r="Q968" s="85"/>
      <c r="R968" s="85"/>
      <c r="S968" s="85"/>
    </row>
    <row r="969" spans="1:19" ht="15.75">
      <c r="A969" s="174"/>
      <c r="B969" s="176"/>
      <c r="C969" s="85"/>
      <c r="D969" s="175"/>
      <c r="E969" s="175"/>
      <c r="F969" s="85"/>
      <c r="G969" s="18">
        <f>C969</f>
        <v>0</v>
      </c>
      <c r="H969" s="85"/>
      <c r="I969" s="85"/>
      <c r="J969" s="174"/>
      <c r="K969" s="173"/>
      <c r="L969" s="102"/>
      <c r="M969" s="85"/>
      <c r="N969" s="85"/>
      <c r="O969" s="85"/>
      <c r="P969" s="85"/>
      <c r="Q969" s="85"/>
      <c r="R969" s="85"/>
      <c r="S969" s="85"/>
    </row>
    <row r="970" spans="1:19" ht="15.75">
      <c r="A970" s="174"/>
      <c r="B970" s="176"/>
      <c r="C970" s="85"/>
      <c r="D970" s="175"/>
      <c r="E970" s="175"/>
      <c r="F970" s="85"/>
      <c r="G970" s="18">
        <f>C970</f>
        <v>0</v>
      </c>
      <c r="H970" s="85"/>
      <c r="I970" s="85"/>
      <c r="J970" s="174"/>
      <c r="K970" s="173"/>
      <c r="L970" s="102"/>
      <c r="M970" s="85"/>
      <c r="N970" s="85"/>
      <c r="O970" s="85"/>
      <c r="P970" s="85"/>
      <c r="Q970" s="85"/>
      <c r="R970" s="85"/>
      <c r="S970" s="85"/>
    </row>
    <row r="971" spans="1:19" ht="15.75">
      <c r="A971" s="174"/>
      <c r="B971" s="176"/>
      <c r="C971" s="85"/>
      <c r="D971" s="175"/>
      <c r="E971" s="175"/>
      <c r="F971" s="85"/>
      <c r="G971" s="18">
        <f>C971</f>
        <v>0</v>
      </c>
      <c r="H971" s="85"/>
      <c r="I971" s="85"/>
      <c r="J971" s="174"/>
      <c r="K971" s="173"/>
      <c r="L971" s="102"/>
      <c r="M971" s="85"/>
      <c r="N971" s="85"/>
      <c r="O971" s="85"/>
      <c r="P971" s="85"/>
      <c r="Q971" s="85"/>
      <c r="R971" s="85"/>
      <c r="S971" s="85"/>
    </row>
    <row r="972" spans="1:19" ht="15.75">
      <c r="A972" s="174"/>
      <c r="B972" s="176"/>
      <c r="C972" s="85"/>
      <c r="D972" s="175"/>
      <c r="E972" s="175"/>
      <c r="F972" s="85"/>
      <c r="G972" s="18">
        <f>C972</f>
        <v>0</v>
      </c>
      <c r="H972" s="85"/>
      <c r="I972" s="85"/>
      <c r="J972" s="174"/>
      <c r="K972" s="173"/>
      <c r="L972" s="102"/>
      <c r="M972" s="85"/>
      <c r="N972" s="85"/>
      <c r="O972" s="85"/>
      <c r="P972" s="85"/>
      <c r="Q972" s="85"/>
      <c r="R972" s="85"/>
      <c r="S972" s="85"/>
    </row>
    <row r="973" spans="1:19" ht="15.75">
      <c r="A973" s="174"/>
      <c r="B973" s="176"/>
      <c r="C973" s="85"/>
      <c r="D973" s="175"/>
      <c r="E973" s="175"/>
      <c r="F973" s="85"/>
      <c r="G973" s="18">
        <f>C973</f>
        <v>0</v>
      </c>
      <c r="H973" s="85"/>
      <c r="I973" s="85"/>
      <c r="J973" s="174"/>
      <c r="K973" s="173"/>
      <c r="L973" s="102"/>
      <c r="M973" s="85"/>
      <c r="N973" s="85"/>
      <c r="O973" s="85"/>
      <c r="P973" s="85"/>
      <c r="Q973" s="85"/>
      <c r="R973" s="85"/>
      <c r="S973" s="85"/>
    </row>
    <row r="974" spans="1:19" ht="15.75">
      <c r="A974" s="174"/>
      <c r="B974" s="176"/>
      <c r="C974" s="85"/>
      <c r="D974" s="175"/>
      <c r="E974" s="175"/>
      <c r="F974" s="85"/>
      <c r="G974" s="18">
        <f>C974</f>
        <v>0</v>
      </c>
      <c r="H974" s="85"/>
      <c r="I974" s="85"/>
      <c r="J974" s="174"/>
      <c r="K974" s="173"/>
      <c r="L974" s="102"/>
      <c r="M974" s="85"/>
      <c r="N974" s="85"/>
      <c r="O974" s="85"/>
      <c r="P974" s="85"/>
      <c r="Q974" s="85"/>
      <c r="R974" s="85"/>
      <c r="S974" s="85"/>
    </row>
    <row r="975" spans="1:19" ht="15.75">
      <c r="A975" s="174"/>
      <c r="B975" s="176"/>
      <c r="C975" s="85"/>
      <c r="D975" s="175"/>
      <c r="E975" s="175"/>
      <c r="F975" s="85"/>
      <c r="G975" s="18">
        <f>C975</f>
        <v>0</v>
      </c>
      <c r="H975" s="85"/>
      <c r="I975" s="85"/>
      <c r="J975" s="174"/>
      <c r="K975" s="173"/>
      <c r="L975" s="102"/>
      <c r="M975" s="85"/>
      <c r="N975" s="85"/>
      <c r="O975" s="85"/>
      <c r="P975" s="85"/>
      <c r="Q975" s="85"/>
      <c r="R975" s="85"/>
      <c r="S975" s="85"/>
    </row>
    <row r="976" spans="1:19" ht="15.75">
      <c r="A976" s="174"/>
      <c r="B976" s="176"/>
      <c r="C976" s="85"/>
      <c r="D976" s="175"/>
      <c r="E976" s="175"/>
      <c r="F976" s="85"/>
      <c r="G976" s="18">
        <f>C976</f>
        <v>0</v>
      </c>
      <c r="H976" s="85"/>
      <c r="I976" s="85"/>
      <c r="J976" s="174"/>
      <c r="K976" s="173"/>
      <c r="L976" s="102"/>
      <c r="M976" s="85"/>
      <c r="N976" s="85"/>
      <c r="O976" s="85"/>
      <c r="P976" s="85"/>
      <c r="Q976" s="85"/>
      <c r="R976" s="85"/>
      <c r="S976" s="85"/>
    </row>
    <row r="977" spans="1:19" ht="15.75">
      <c r="A977" s="174"/>
      <c r="B977" s="176"/>
      <c r="C977" s="85"/>
      <c r="D977" s="175"/>
      <c r="E977" s="175"/>
      <c r="F977" s="85"/>
      <c r="G977" s="18">
        <f>C977</f>
        <v>0</v>
      </c>
      <c r="H977" s="85"/>
      <c r="I977" s="85"/>
      <c r="J977" s="174"/>
      <c r="K977" s="173"/>
      <c r="L977" s="102"/>
      <c r="M977" s="85"/>
      <c r="N977" s="85"/>
      <c r="O977" s="85"/>
      <c r="P977" s="85"/>
      <c r="Q977" s="85"/>
      <c r="R977" s="85"/>
      <c r="S977" s="85"/>
    </row>
    <row r="978" spans="1:19" ht="15.75">
      <c r="A978" s="174"/>
      <c r="B978" s="176"/>
      <c r="C978" s="85"/>
      <c r="D978" s="175"/>
      <c r="E978" s="175"/>
      <c r="F978" s="85"/>
      <c r="G978" s="18">
        <f>C978</f>
        <v>0</v>
      </c>
      <c r="H978" s="85"/>
      <c r="I978" s="85"/>
      <c r="J978" s="174"/>
      <c r="K978" s="173"/>
      <c r="L978" s="102"/>
      <c r="M978" s="85"/>
      <c r="N978" s="85"/>
      <c r="O978" s="85"/>
      <c r="P978" s="85"/>
      <c r="Q978" s="85"/>
      <c r="R978" s="85"/>
      <c r="S978" s="85"/>
    </row>
    <row r="979" spans="1:19" ht="15.75">
      <c r="A979" s="174"/>
      <c r="B979" s="176"/>
      <c r="C979" s="85"/>
      <c r="D979" s="175"/>
      <c r="E979" s="175"/>
      <c r="F979" s="85"/>
      <c r="G979" s="18">
        <f>C979</f>
        <v>0</v>
      </c>
      <c r="H979" s="85"/>
      <c r="I979" s="85"/>
      <c r="J979" s="174"/>
      <c r="K979" s="173"/>
      <c r="L979" s="102"/>
      <c r="M979" s="85"/>
      <c r="N979" s="85"/>
      <c r="O979" s="85"/>
      <c r="P979" s="85"/>
      <c r="Q979" s="85"/>
      <c r="R979" s="85"/>
      <c r="S979" s="85"/>
    </row>
    <row r="980" spans="1:19" ht="15.75">
      <c r="A980" s="174"/>
      <c r="B980" s="176"/>
      <c r="C980" s="85"/>
      <c r="D980" s="175"/>
      <c r="E980" s="175"/>
      <c r="F980" s="85"/>
      <c r="G980" s="18">
        <f>C980</f>
        <v>0</v>
      </c>
      <c r="H980" s="85"/>
      <c r="I980" s="85"/>
      <c r="J980" s="174"/>
      <c r="K980" s="173"/>
      <c r="L980" s="102"/>
      <c r="M980" s="85"/>
      <c r="N980" s="85"/>
      <c r="O980" s="85"/>
      <c r="P980" s="85"/>
      <c r="Q980" s="85"/>
      <c r="R980" s="85"/>
      <c r="S980" s="85"/>
    </row>
    <row r="981" spans="1:19" ht="15.75">
      <c r="A981" s="174"/>
      <c r="B981" s="176"/>
      <c r="C981" s="85"/>
      <c r="D981" s="175"/>
      <c r="E981" s="175"/>
      <c r="F981" s="85"/>
      <c r="G981" s="18">
        <f>C981</f>
        <v>0</v>
      </c>
      <c r="H981" s="85"/>
      <c r="I981" s="85"/>
      <c r="J981" s="174"/>
      <c r="K981" s="173"/>
      <c r="L981" s="102"/>
      <c r="M981" s="85"/>
      <c r="N981" s="85"/>
      <c r="O981" s="85"/>
      <c r="P981" s="85"/>
      <c r="Q981" s="85"/>
      <c r="R981" s="85"/>
      <c r="S981" s="85"/>
    </row>
    <row r="982" spans="1:19" ht="15.75">
      <c r="A982" s="174"/>
      <c r="B982" s="176"/>
      <c r="C982" s="85"/>
      <c r="D982" s="175"/>
      <c r="E982" s="175"/>
      <c r="F982" s="85"/>
      <c r="G982" s="18">
        <f>C982</f>
        <v>0</v>
      </c>
      <c r="H982" s="85"/>
      <c r="I982" s="85"/>
      <c r="J982" s="174"/>
      <c r="K982" s="173"/>
      <c r="L982" s="102"/>
      <c r="M982" s="85"/>
      <c r="N982" s="85"/>
      <c r="O982" s="85"/>
      <c r="P982" s="85"/>
      <c r="Q982" s="85"/>
      <c r="R982" s="85"/>
      <c r="S982" s="85"/>
    </row>
    <row r="983" spans="1:19" ht="15.75">
      <c r="A983" s="174"/>
      <c r="B983" s="176"/>
      <c r="C983" s="85"/>
      <c r="D983" s="175"/>
      <c r="E983" s="175"/>
      <c r="F983" s="85"/>
      <c r="G983" s="18">
        <f>C983</f>
        <v>0</v>
      </c>
      <c r="H983" s="85"/>
      <c r="I983" s="85"/>
      <c r="J983" s="174"/>
      <c r="K983" s="173"/>
      <c r="L983" s="102"/>
      <c r="M983" s="85"/>
      <c r="N983" s="85"/>
      <c r="O983" s="85"/>
      <c r="P983" s="85"/>
      <c r="Q983" s="85"/>
      <c r="R983" s="85"/>
      <c r="S983" s="85"/>
    </row>
    <row r="984" spans="1:19" ht="15.75">
      <c r="A984" s="174"/>
      <c r="B984" s="176"/>
      <c r="C984" s="85"/>
      <c r="D984" s="175"/>
      <c r="E984" s="175"/>
      <c r="F984" s="85"/>
      <c r="G984" s="18">
        <f>C984</f>
        <v>0</v>
      </c>
      <c r="H984" s="85"/>
      <c r="I984" s="85"/>
      <c r="J984" s="174"/>
      <c r="K984" s="173"/>
      <c r="L984" s="102"/>
      <c r="M984" s="85"/>
      <c r="N984" s="85"/>
      <c r="O984" s="85"/>
      <c r="P984" s="85"/>
      <c r="Q984" s="85"/>
      <c r="R984" s="85"/>
      <c r="S984" s="85"/>
    </row>
    <row r="985" spans="1:19" ht="15.75">
      <c r="A985" s="174"/>
      <c r="B985" s="176"/>
      <c r="C985" s="85"/>
      <c r="D985" s="175"/>
      <c r="E985" s="175"/>
      <c r="F985" s="85"/>
      <c r="G985" s="18">
        <f>C985</f>
        <v>0</v>
      </c>
      <c r="H985" s="85"/>
      <c r="I985" s="85"/>
      <c r="J985" s="174"/>
      <c r="K985" s="173"/>
      <c r="L985" s="102"/>
      <c r="M985" s="85"/>
      <c r="N985" s="85"/>
      <c r="O985" s="85"/>
      <c r="P985" s="85"/>
      <c r="Q985" s="85"/>
      <c r="R985" s="85"/>
      <c r="S985" s="85"/>
    </row>
    <row r="986" spans="1:19" ht="15.75">
      <c r="A986" s="174"/>
      <c r="B986" s="176"/>
      <c r="C986" s="85"/>
      <c r="D986" s="175"/>
      <c r="E986" s="175"/>
      <c r="F986" s="85"/>
      <c r="G986" s="18">
        <f>C986</f>
        <v>0</v>
      </c>
      <c r="H986" s="85"/>
      <c r="I986" s="85"/>
      <c r="J986" s="174"/>
      <c r="K986" s="173"/>
      <c r="L986" s="102"/>
      <c r="M986" s="85"/>
      <c r="N986" s="85"/>
      <c r="O986" s="85"/>
      <c r="P986" s="85"/>
      <c r="Q986" s="85"/>
      <c r="R986" s="85"/>
      <c r="S986" s="85"/>
    </row>
    <row r="987" spans="1:19" ht="15.75">
      <c r="A987" s="174"/>
      <c r="B987" s="176"/>
      <c r="C987" s="85"/>
      <c r="D987" s="175"/>
      <c r="E987" s="175"/>
      <c r="F987" s="85"/>
      <c r="G987" s="18">
        <f>C987</f>
        <v>0</v>
      </c>
      <c r="H987" s="85"/>
      <c r="I987" s="85"/>
      <c r="J987" s="174"/>
      <c r="K987" s="173"/>
      <c r="L987" s="102"/>
      <c r="M987" s="85"/>
      <c r="N987" s="85"/>
      <c r="O987" s="85"/>
      <c r="P987" s="85"/>
      <c r="Q987" s="85"/>
      <c r="R987" s="85"/>
      <c r="S987" s="85"/>
    </row>
    <row r="988" spans="1:19" ht="15.75">
      <c r="A988" s="174"/>
      <c r="B988" s="176"/>
      <c r="C988" s="85"/>
      <c r="D988" s="175"/>
      <c r="E988" s="175"/>
      <c r="F988" s="85"/>
      <c r="G988" s="18">
        <f>C988</f>
        <v>0</v>
      </c>
      <c r="H988" s="85"/>
      <c r="I988" s="85"/>
      <c r="J988" s="174"/>
      <c r="K988" s="173"/>
      <c r="L988" s="102"/>
      <c r="M988" s="85"/>
      <c r="N988" s="85"/>
      <c r="O988" s="85"/>
      <c r="P988" s="85"/>
      <c r="Q988" s="85"/>
      <c r="R988" s="85"/>
      <c r="S988" s="85"/>
    </row>
    <row r="989" spans="1:19" ht="15.75">
      <c r="A989" s="174"/>
      <c r="B989" s="176"/>
      <c r="C989" s="85"/>
      <c r="D989" s="175"/>
      <c r="E989" s="175"/>
      <c r="F989" s="85"/>
      <c r="G989" s="18">
        <f>C989</f>
        <v>0</v>
      </c>
      <c r="H989" s="85"/>
      <c r="I989" s="85"/>
      <c r="J989" s="174"/>
      <c r="K989" s="173"/>
      <c r="L989" s="102"/>
      <c r="M989" s="85"/>
      <c r="N989" s="85"/>
      <c r="O989" s="85"/>
      <c r="P989" s="85"/>
      <c r="Q989" s="85"/>
      <c r="R989" s="85"/>
      <c r="S989" s="85"/>
    </row>
    <row r="990" spans="1:19" ht="15.75">
      <c r="A990" s="174"/>
      <c r="B990" s="176"/>
      <c r="C990" s="85"/>
      <c r="D990" s="175"/>
      <c r="E990" s="175"/>
      <c r="F990" s="85"/>
      <c r="G990" s="18">
        <f>C990</f>
        <v>0</v>
      </c>
      <c r="H990" s="85"/>
      <c r="I990" s="85"/>
      <c r="J990" s="174"/>
      <c r="K990" s="173"/>
      <c r="L990" s="102"/>
      <c r="M990" s="85"/>
      <c r="N990" s="85"/>
      <c r="O990" s="85"/>
      <c r="P990" s="85"/>
      <c r="Q990" s="85"/>
      <c r="R990" s="85"/>
      <c r="S990" s="85"/>
    </row>
    <row r="991" spans="1:19" ht="15.75">
      <c r="A991" s="174"/>
      <c r="B991" s="176"/>
      <c r="C991" s="85"/>
      <c r="D991" s="175"/>
      <c r="E991" s="175"/>
      <c r="F991" s="85"/>
      <c r="G991" s="18">
        <f>C991</f>
        <v>0</v>
      </c>
      <c r="H991" s="85"/>
      <c r="I991" s="85"/>
      <c r="J991" s="174"/>
      <c r="K991" s="173"/>
      <c r="L991" s="102"/>
      <c r="M991" s="85"/>
      <c r="N991" s="85"/>
      <c r="O991" s="85"/>
      <c r="P991" s="85"/>
      <c r="Q991" s="85"/>
      <c r="R991" s="85"/>
      <c r="S991" s="85"/>
    </row>
    <row r="992" spans="1:19" ht="15.75">
      <c r="A992" s="174"/>
      <c r="B992" s="176"/>
      <c r="C992" s="85"/>
      <c r="D992" s="175"/>
      <c r="E992" s="175"/>
      <c r="F992" s="85"/>
      <c r="G992" s="18">
        <f>C992</f>
        <v>0</v>
      </c>
      <c r="H992" s="85"/>
      <c r="I992" s="85"/>
      <c r="J992" s="174"/>
      <c r="K992" s="173"/>
      <c r="L992" s="102"/>
      <c r="M992" s="85"/>
      <c r="N992" s="85"/>
      <c r="O992" s="85"/>
      <c r="P992" s="85"/>
      <c r="Q992" s="85"/>
      <c r="R992" s="85"/>
      <c r="S992" s="85"/>
    </row>
    <row r="993" spans="1:19" ht="15.75">
      <c r="A993" s="174"/>
      <c r="B993" s="176"/>
      <c r="C993" s="85"/>
      <c r="D993" s="175"/>
      <c r="E993" s="175"/>
      <c r="F993" s="85"/>
      <c r="G993" s="18">
        <f>C993</f>
        <v>0</v>
      </c>
      <c r="H993" s="85"/>
      <c r="I993" s="85"/>
      <c r="J993" s="174"/>
      <c r="K993" s="173"/>
      <c r="L993" s="102"/>
      <c r="M993" s="85"/>
      <c r="N993" s="85"/>
      <c r="O993" s="85"/>
      <c r="P993" s="85"/>
      <c r="Q993" s="85"/>
      <c r="R993" s="85"/>
      <c r="S993" s="85"/>
    </row>
    <row r="994" spans="1:19" ht="15.75">
      <c r="A994" s="174"/>
      <c r="B994" s="176"/>
      <c r="C994" s="85"/>
      <c r="D994" s="175"/>
      <c r="E994" s="175"/>
      <c r="F994" s="85"/>
      <c r="G994" s="18">
        <f>C994</f>
        <v>0</v>
      </c>
      <c r="H994" s="85"/>
      <c r="I994" s="85"/>
      <c r="J994" s="174"/>
      <c r="K994" s="173"/>
      <c r="L994" s="102"/>
      <c r="M994" s="85"/>
      <c r="N994" s="85"/>
      <c r="O994" s="85"/>
      <c r="P994" s="85"/>
      <c r="Q994" s="85"/>
      <c r="R994" s="85"/>
      <c r="S994" s="85"/>
    </row>
    <row r="995" spans="1:19" ht="15.75">
      <c r="A995" s="174"/>
      <c r="B995" s="176"/>
      <c r="C995" s="85"/>
      <c r="D995" s="175"/>
      <c r="E995" s="175"/>
      <c r="F995" s="85"/>
      <c r="G995" s="18">
        <f>C995</f>
        <v>0</v>
      </c>
      <c r="H995" s="85"/>
      <c r="I995" s="85"/>
      <c r="J995" s="174"/>
      <c r="K995" s="173"/>
      <c r="L995" s="102"/>
      <c r="M995" s="85"/>
      <c r="N995" s="85"/>
      <c r="O995" s="85"/>
      <c r="P995" s="85"/>
      <c r="Q995" s="85"/>
      <c r="R995" s="85"/>
      <c r="S995" s="85"/>
    </row>
    <row r="996" spans="1:19" ht="15.75">
      <c r="A996" s="174"/>
      <c r="B996" s="176"/>
      <c r="C996" s="85"/>
      <c r="D996" s="175"/>
      <c r="E996" s="175"/>
      <c r="F996" s="85"/>
      <c r="G996" s="18">
        <f>C996</f>
        <v>0</v>
      </c>
      <c r="H996" s="85"/>
      <c r="I996" s="85"/>
      <c r="J996" s="174"/>
      <c r="K996" s="173"/>
      <c r="L996" s="102"/>
      <c r="M996" s="85"/>
      <c r="N996" s="85"/>
      <c r="O996" s="85"/>
      <c r="P996" s="85"/>
      <c r="Q996" s="85"/>
      <c r="R996" s="85"/>
      <c r="S996" s="85"/>
    </row>
    <row r="997" spans="1:19" ht="15.75">
      <c r="A997" s="174"/>
      <c r="B997" s="176"/>
      <c r="C997" s="85"/>
      <c r="D997" s="175"/>
      <c r="E997" s="175"/>
      <c r="F997" s="85"/>
      <c r="G997" s="18">
        <f>C997</f>
        <v>0</v>
      </c>
      <c r="H997" s="85"/>
      <c r="I997" s="85"/>
      <c r="J997" s="174"/>
      <c r="K997" s="173"/>
      <c r="L997" s="102"/>
      <c r="M997" s="85"/>
      <c r="N997" s="85"/>
      <c r="O997" s="85"/>
      <c r="P997" s="85"/>
      <c r="Q997" s="85"/>
      <c r="R997" s="85"/>
      <c r="S997" s="85"/>
    </row>
    <row r="998" spans="1:19" ht="15.75">
      <c r="A998" s="174"/>
      <c r="B998" s="176"/>
      <c r="C998" s="85"/>
      <c r="D998" s="175"/>
      <c r="E998" s="175"/>
      <c r="F998" s="85"/>
      <c r="G998" s="18">
        <f>C998</f>
        <v>0</v>
      </c>
      <c r="H998" s="85"/>
      <c r="I998" s="85"/>
      <c r="J998" s="174"/>
      <c r="K998" s="173"/>
      <c r="L998" s="102"/>
      <c r="M998" s="85"/>
      <c r="N998" s="85"/>
      <c r="O998" s="85"/>
      <c r="P998" s="85"/>
      <c r="Q998" s="85"/>
      <c r="R998" s="85"/>
      <c r="S998" s="85"/>
    </row>
    <row r="999" spans="1:19" ht="15.75">
      <c r="A999" s="174"/>
      <c r="B999" s="176"/>
      <c r="C999" s="85"/>
      <c r="D999" s="175"/>
      <c r="E999" s="175"/>
      <c r="F999" s="85"/>
      <c r="G999" s="18">
        <f>C999</f>
        <v>0</v>
      </c>
      <c r="H999" s="85"/>
      <c r="I999" s="85"/>
      <c r="J999" s="174"/>
      <c r="K999" s="173"/>
      <c r="L999" s="102"/>
      <c r="M999" s="85"/>
      <c r="N999" s="85"/>
      <c r="O999" s="85"/>
      <c r="P999" s="85"/>
      <c r="Q999" s="85"/>
      <c r="R999" s="85"/>
      <c r="S999" s="85"/>
    </row>
    <row r="1000" spans="1:19" ht="15.75">
      <c r="A1000" s="174"/>
      <c r="B1000" s="176"/>
      <c r="C1000" s="85"/>
      <c r="D1000" s="175"/>
      <c r="E1000" s="175"/>
      <c r="F1000" s="85"/>
      <c r="G1000" s="18">
        <f>C1000</f>
        <v>0</v>
      </c>
      <c r="H1000" s="85"/>
      <c r="I1000" s="85"/>
      <c r="J1000" s="174"/>
      <c r="K1000" s="173"/>
      <c r="L1000" s="102"/>
      <c r="M1000" s="85"/>
      <c r="N1000" s="85"/>
      <c r="O1000" s="85"/>
      <c r="P1000" s="85"/>
      <c r="Q1000" s="85"/>
      <c r="R1000" s="85"/>
      <c r="S1000" s="85"/>
    </row>
    <row r="1001" spans="1:19" ht="15.75">
      <c r="A1001" s="174"/>
      <c r="B1001" s="176"/>
      <c r="C1001" s="85"/>
      <c r="D1001" s="175"/>
      <c r="E1001" s="175"/>
      <c r="F1001" s="85"/>
      <c r="G1001" s="18">
        <f>C1001</f>
        <v>0</v>
      </c>
      <c r="H1001" s="85"/>
      <c r="I1001" s="85"/>
      <c r="J1001" s="174"/>
      <c r="K1001" s="173"/>
      <c r="L1001" s="102"/>
      <c r="M1001" s="85"/>
      <c r="N1001" s="85"/>
      <c r="O1001" s="85"/>
      <c r="P1001" s="85"/>
      <c r="Q1001" s="85"/>
      <c r="R1001" s="85"/>
      <c r="S1001" s="85"/>
    </row>
    <row r="1002" spans="1:19" ht="15.75">
      <c r="A1002" s="174"/>
      <c r="B1002" s="176"/>
      <c r="C1002" s="85"/>
      <c r="D1002" s="175"/>
      <c r="E1002" s="175"/>
      <c r="F1002" s="85"/>
      <c r="G1002" s="18">
        <f>C1002</f>
        <v>0</v>
      </c>
      <c r="H1002" s="85"/>
      <c r="I1002" s="85"/>
      <c r="J1002" s="174"/>
      <c r="K1002" s="173"/>
      <c r="L1002" s="102"/>
      <c r="M1002" s="85"/>
      <c r="N1002" s="85"/>
      <c r="O1002" s="85"/>
      <c r="P1002" s="85"/>
      <c r="Q1002" s="85"/>
      <c r="R1002" s="85"/>
      <c r="S1002" s="85"/>
    </row>
    <row r="1003" spans="1:19" ht="15.75">
      <c r="A1003" s="174"/>
      <c r="B1003" s="176"/>
      <c r="C1003" s="85"/>
      <c r="D1003" s="175"/>
      <c r="E1003" s="175"/>
      <c r="F1003" s="85"/>
      <c r="G1003" s="18">
        <f>C1003</f>
        <v>0</v>
      </c>
      <c r="H1003" s="85"/>
      <c r="I1003" s="85"/>
      <c r="J1003" s="174"/>
      <c r="K1003" s="173"/>
      <c r="L1003" s="102"/>
      <c r="M1003" s="85"/>
      <c r="N1003" s="85"/>
      <c r="O1003" s="85"/>
      <c r="P1003" s="85"/>
      <c r="Q1003" s="85"/>
      <c r="R1003" s="85"/>
      <c r="S1003" s="85"/>
    </row>
    <row r="1004" spans="1:19" ht="15.75">
      <c r="A1004" s="174"/>
      <c r="B1004" s="176"/>
      <c r="C1004" s="85"/>
      <c r="D1004" s="175"/>
      <c r="E1004" s="175"/>
      <c r="F1004" s="85"/>
      <c r="G1004" s="18">
        <f>C1004</f>
        <v>0</v>
      </c>
      <c r="H1004" s="85"/>
      <c r="I1004" s="85"/>
      <c r="J1004" s="174"/>
      <c r="K1004" s="173"/>
      <c r="L1004" s="102"/>
      <c r="M1004" s="85"/>
      <c r="N1004" s="85"/>
      <c r="O1004" s="85"/>
      <c r="P1004" s="85"/>
      <c r="Q1004" s="85"/>
      <c r="R1004" s="85"/>
      <c r="S1004" s="85"/>
    </row>
    <row r="1005" spans="1:19" ht="15.75">
      <c r="A1005" s="174"/>
      <c r="B1005" s="176"/>
      <c r="C1005" s="85"/>
      <c r="D1005" s="175"/>
      <c r="E1005" s="175"/>
      <c r="F1005" s="85"/>
      <c r="G1005" s="18">
        <f>C1005</f>
        <v>0</v>
      </c>
      <c r="H1005" s="85"/>
      <c r="I1005" s="85"/>
      <c r="J1005" s="174"/>
      <c r="K1005" s="173"/>
      <c r="L1005" s="102"/>
      <c r="M1005" s="85"/>
      <c r="N1005" s="85"/>
      <c r="O1005" s="85"/>
      <c r="P1005" s="85"/>
      <c r="Q1005" s="85"/>
      <c r="R1005" s="85"/>
      <c r="S1005" s="85"/>
    </row>
    <row r="1006" spans="1:19" ht="15.75">
      <c r="A1006" s="174"/>
      <c r="B1006" s="176"/>
      <c r="C1006" s="85"/>
      <c r="D1006" s="175"/>
      <c r="E1006" s="175"/>
      <c r="F1006" s="85"/>
      <c r="G1006" s="18">
        <f>C1006</f>
        <v>0</v>
      </c>
      <c r="H1006" s="85"/>
      <c r="I1006" s="85"/>
      <c r="J1006" s="174"/>
      <c r="K1006" s="173"/>
      <c r="L1006" s="102"/>
      <c r="M1006" s="85"/>
      <c r="N1006" s="85"/>
      <c r="O1006" s="85"/>
      <c r="P1006" s="85"/>
      <c r="Q1006" s="85"/>
      <c r="R1006" s="85"/>
      <c r="S1006" s="85"/>
    </row>
    <row r="1007" spans="1:19" ht="15.75">
      <c r="A1007" s="174"/>
      <c r="B1007" s="176"/>
      <c r="C1007" s="85"/>
      <c r="D1007" s="175"/>
      <c r="E1007" s="175"/>
      <c r="F1007" s="85"/>
      <c r="G1007" s="18">
        <f>C1007</f>
        <v>0</v>
      </c>
      <c r="H1007" s="85"/>
      <c r="I1007" s="85"/>
      <c r="J1007" s="174"/>
      <c r="K1007" s="173"/>
      <c r="L1007" s="102"/>
      <c r="M1007" s="85"/>
      <c r="N1007" s="85"/>
      <c r="O1007" s="85"/>
      <c r="P1007" s="85"/>
      <c r="Q1007" s="85"/>
      <c r="R1007" s="85"/>
      <c r="S1007" s="85"/>
    </row>
    <row r="1008" spans="1:19" ht="15.75">
      <c r="A1008" s="174"/>
      <c r="B1008" s="176"/>
      <c r="C1008" s="85"/>
      <c r="D1008" s="175"/>
      <c r="E1008" s="175"/>
      <c r="F1008" s="85"/>
      <c r="G1008" s="18">
        <f>C1008</f>
        <v>0</v>
      </c>
      <c r="H1008" s="85"/>
      <c r="I1008" s="85"/>
      <c r="J1008" s="174"/>
      <c r="K1008" s="173"/>
      <c r="L1008" s="102"/>
      <c r="M1008" s="85"/>
      <c r="N1008" s="85"/>
      <c r="O1008" s="85"/>
      <c r="P1008" s="85"/>
      <c r="Q1008" s="85"/>
      <c r="R1008" s="85"/>
      <c r="S1008" s="85"/>
    </row>
    <row r="1009" spans="1:19" ht="15.75">
      <c r="A1009" s="174"/>
      <c r="B1009" s="176"/>
      <c r="C1009" s="85"/>
      <c r="D1009" s="175"/>
      <c r="E1009" s="175"/>
      <c r="F1009" s="85"/>
      <c r="G1009" s="18">
        <f>C1009</f>
        <v>0</v>
      </c>
      <c r="H1009" s="85"/>
      <c r="I1009" s="85"/>
      <c r="J1009" s="174"/>
      <c r="K1009" s="173"/>
      <c r="L1009" s="102"/>
      <c r="M1009" s="85"/>
      <c r="N1009" s="85"/>
      <c r="O1009" s="85"/>
      <c r="P1009" s="85"/>
      <c r="Q1009" s="85"/>
      <c r="R1009" s="85"/>
      <c r="S1009" s="85"/>
    </row>
    <row r="1010" spans="1:19" ht="15.75">
      <c r="A1010" s="174"/>
      <c r="B1010" s="176"/>
      <c r="C1010" s="85"/>
      <c r="D1010" s="175"/>
      <c r="E1010" s="175"/>
      <c r="F1010" s="85"/>
      <c r="G1010" s="18">
        <f>C1010</f>
        <v>0</v>
      </c>
      <c r="H1010" s="85"/>
      <c r="I1010" s="85"/>
      <c r="J1010" s="174"/>
      <c r="K1010" s="173"/>
      <c r="L1010" s="102"/>
      <c r="M1010" s="85"/>
      <c r="N1010" s="85"/>
      <c r="O1010" s="85"/>
      <c r="P1010" s="85"/>
      <c r="Q1010" s="85"/>
      <c r="R1010" s="85"/>
      <c r="S1010" s="85"/>
    </row>
    <row r="1011" spans="1:19" ht="15.75">
      <c r="A1011" s="174"/>
      <c r="B1011" s="176"/>
      <c r="C1011" s="85"/>
      <c r="D1011" s="175"/>
      <c r="E1011" s="175"/>
      <c r="F1011" s="85"/>
      <c r="G1011" s="18">
        <f>C1011</f>
        <v>0</v>
      </c>
      <c r="H1011" s="85"/>
      <c r="I1011" s="85"/>
      <c r="J1011" s="174"/>
      <c r="K1011" s="173"/>
      <c r="L1011" s="102"/>
      <c r="M1011" s="85"/>
      <c r="N1011" s="85"/>
      <c r="O1011" s="85"/>
      <c r="P1011" s="85"/>
      <c r="Q1011" s="85"/>
      <c r="R1011" s="85"/>
      <c r="S1011" s="85"/>
    </row>
    <row r="1012" spans="1:19" ht="15.75">
      <c r="A1012" s="174"/>
      <c r="B1012" s="176"/>
      <c r="C1012" s="85"/>
      <c r="D1012" s="175"/>
      <c r="E1012" s="175"/>
      <c r="F1012" s="85"/>
      <c r="G1012" s="18">
        <f>C1012</f>
        <v>0</v>
      </c>
      <c r="H1012" s="85"/>
      <c r="I1012" s="85"/>
      <c r="J1012" s="174"/>
      <c r="K1012" s="173"/>
      <c r="L1012" s="102"/>
      <c r="M1012" s="85"/>
      <c r="N1012" s="85"/>
      <c r="O1012" s="85"/>
      <c r="P1012" s="85"/>
      <c r="Q1012" s="85"/>
      <c r="R1012" s="85"/>
      <c r="S1012" s="85"/>
    </row>
    <row r="1013" spans="1:19" ht="15.75">
      <c r="A1013" s="174"/>
      <c r="B1013" s="176"/>
      <c r="C1013" s="85"/>
      <c r="D1013" s="175"/>
      <c r="E1013" s="175"/>
      <c r="F1013" s="85"/>
      <c r="G1013" s="18">
        <f>C1013</f>
        <v>0</v>
      </c>
      <c r="H1013" s="85"/>
      <c r="I1013" s="85"/>
      <c r="J1013" s="174"/>
      <c r="K1013" s="173"/>
      <c r="L1013" s="102"/>
      <c r="M1013" s="85"/>
      <c r="N1013" s="85"/>
      <c r="O1013" s="85"/>
      <c r="P1013" s="85"/>
      <c r="Q1013" s="85"/>
      <c r="R1013" s="85"/>
      <c r="S1013" s="85"/>
    </row>
    <row r="1014" spans="1:19" ht="15.75">
      <c r="A1014" s="174"/>
      <c r="B1014" s="176"/>
      <c r="C1014" s="85"/>
      <c r="D1014" s="175"/>
      <c r="E1014" s="175"/>
      <c r="F1014" s="85"/>
      <c r="G1014" s="18">
        <f>C1014</f>
        <v>0</v>
      </c>
      <c r="H1014" s="85"/>
      <c r="I1014" s="85"/>
      <c r="J1014" s="174"/>
      <c r="K1014" s="173"/>
      <c r="L1014" s="102"/>
      <c r="M1014" s="85"/>
      <c r="N1014" s="85"/>
      <c r="O1014" s="85"/>
      <c r="P1014" s="85"/>
      <c r="Q1014" s="85"/>
      <c r="R1014" s="85"/>
      <c r="S1014" s="85"/>
    </row>
    <row r="1015" spans="1:19" ht="15.75">
      <c r="A1015" s="174"/>
      <c r="B1015" s="176"/>
      <c r="C1015" s="85"/>
      <c r="D1015" s="175"/>
      <c r="E1015" s="175"/>
      <c r="F1015" s="85"/>
      <c r="G1015" s="18">
        <f>C1015</f>
        <v>0</v>
      </c>
      <c r="H1015" s="85"/>
      <c r="I1015" s="85"/>
      <c r="J1015" s="174"/>
      <c r="K1015" s="173"/>
      <c r="L1015" s="102"/>
      <c r="M1015" s="85"/>
      <c r="N1015" s="85"/>
      <c r="O1015" s="85"/>
      <c r="P1015" s="85"/>
      <c r="Q1015" s="85"/>
      <c r="R1015" s="85"/>
      <c r="S1015" s="85"/>
    </row>
    <row r="1016" spans="1:19" ht="15.75">
      <c r="A1016" s="174"/>
      <c r="B1016" s="176"/>
      <c r="C1016" s="85"/>
      <c r="D1016" s="175"/>
      <c r="E1016" s="175"/>
      <c r="F1016" s="85"/>
      <c r="G1016" s="18">
        <f>C1016</f>
        <v>0</v>
      </c>
      <c r="H1016" s="85"/>
      <c r="I1016" s="85"/>
      <c r="J1016" s="174"/>
      <c r="K1016" s="173"/>
      <c r="L1016" s="102"/>
      <c r="M1016" s="85"/>
      <c r="N1016" s="85"/>
      <c r="O1016" s="85"/>
      <c r="P1016" s="85"/>
      <c r="Q1016" s="85"/>
      <c r="R1016" s="85"/>
      <c r="S1016" s="85"/>
    </row>
    <row r="1017" spans="1:19" ht="15.75">
      <c r="A1017" s="174"/>
      <c r="B1017" s="176"/>
      <c r="C1017" s="85"/>
      <c r="D1017" s="175"/>
      <c r="E1017" s="175"/>
      <c r="F1017" s="85"/>
      <c r="G1017" s="18">
        <f>C1017</f>
        <v>0</v>
      </c>
      <c r="H1017" s="85"/>
      <c r="I1017" s="85"/>
      <c r="J1017" s="174"/>
      <c r="K1017" s="173"/>
      <c r="L1017" s="102"/>
      <c r="M1017" s="85"/>
      <c r="N1017" s="85"/>
      <c r="O1017" s="85"/>
      <c r="P1017" s="85"/>
      <c r="Q1017" s="85"/>
      <c r="R1017" s="85"/>
      <c r="S1017" s="85"/>
    </row>
    <row r="1018" spans="1:19" ht="15.75">
      <c r="A1018" s="174"/>
      <c r="B1018" s="176"/>
      <c r="C1018" s="85"/>
      <c r="D1018" s="175"/>
      <c r="E1018" s="175"/>
      <c r="F1018" s="85"/>
      <c r="G1018" s="18">
        <f>C1018</f>
        <v>0</v>
      </c>
      <c r="H1018" s="85"/>
      <c r="I1018" s="85"/>
      <c r="J1018" s="174"/>
      <c r="K1018" s="173"/>
      <c r="L1018" s="102"/>
      <c r="M1018" s="85"/>
      <c r="N1018" s="85"/>
      <c r="O1018" s="85"/>
      <c r="P1018" s="85"/>
      <c r="Q1018" s="85"/>
      <c r="R1018" s="85"/>
      <c r="S1018" s="85"/>
    </row>
    <row r="1019" spans="1:19" ht="15.75">
      <c r="A1019" s="174"/>
      <c r="B1019" s="176"/>
      <c r="C1019" s="85"/>
      <c r="D1019" s="175"/>
      <c r="E1019" s="175"/>
      <c r="F1019" s="85"/>
      <c r="G1019" s="18">
        <f>C1019</f>
        <v>0</v>
      </c>
      <c r="H1019" s="85"/>
      <c r="I1019" s="85"/>
      <c r="J1019" s="174"/>
      <c r="K1019" s="173"/>
      <c r="L1019" s="102"/>
      <c r="M1019" s="85"/>
      <c r="N1019" s="85"/>
      <c r="O1019" s="85"/>
      <c r="P1019" s="85"/>
      <c r="Q1019" s="85"/>
      <c r="R1019" s="85"/>
      <c r="S1019" s="85"/>
    </row>
    <row r="1020" spans="1:19" ht="15.75">
      <c r="A1020" s="174"/>
      <c r="B1020" s="176"/>
      <c r="C1020" s="85"/>
      <c r="D1020" s="175"/>
      <c r="E1020" s="175"/>
      <c r="F1020" s="85"/>
      <c r="G1020" s="18">
        <f>C1020</f>
        <v>0</v>
      </c>
      <c r="H1020" s="85"/>
      <c r="I1020" s="85"/>
      <c r="J1020" s="174"/>
      <c r="K1020" s="173"/>
      <c r="L1020" s="102"/>
      <c r="M1020" s="85"/>
      <c r="N1020" s="85"/>
      <c r="O1020" s="85"/>
      <c r="P1020" s="85"/>
      <c r="Q1020" s="85"/>
      <c r="R1020" s="85"/>
      <c r="S1020" s="85"/>
    </row>
    <row r="1021" spans="1:19" ht="15.75">
      <c r="A1021" s="174"/>
      <c r="B1021" s="176"/>
      <c r="C1021" s="85"/>
      <c r="D1021" s="175"/>
      <c r="E1021" s="175"/>
      <c r="F1021" s="85"/>
      <c r="G1021" s="18">
        <f>C1021</f>
        <v>0</v>
      </c>
      <c r="H1021" s="85"/>
      <c r="I1021" s="85"/>
      <c r="J1021" s="174"/>
      <c r="K1021" s="173"/>
      <c r="L1021" s="102"/>
      <c r="M1021" s="85"/>
      <c r="N1021" s="85"/>
      <c r="O1021" s="85"/>
      <c r="P1021" s="85"/>
      <c r="Q1021" s="85"/>
      <c r="R1021" s="85"/>
      <c r="S1021" s="85"/>
    </row>
    <row r="1022" spans="1:19" ht="15.75">
      <c r="A1022" s="174"/>
      <c r="B1022" s="176"/>
      <c r="C1022" s="85"/>
      <c r="D1022" s="175"/>
      <c r="E1022" s="175"/>
      <c r="F1022" s="85"/>
      <c r="G1022" s="18">
        <f>C1022</f>
        <v>0</v>
      </c>
      <c r="H1022" s="85"/>
      <c r="I1022" s="85"/>
      <c r="J1022" s="174"/>
      <c r="K1022" s="173"/>
      <c r="L1022" s="102"/>
      <c r="M1022" s="85"/>
      <c r="N1022" s="85"/>
      <c r="O1022" s="85"/>
      <c r="P1022" s="85"/>
      <c r="Q1022" s="85"/>
      <c r="R1022" s="85"/>
      <c r="S1022" s="85"/>
    </row>
    <row r="1023" spans="1:19" ht="15.75">
      <c r="A1023" s="174"/>
      <c r="B1023" s="176"/>
      <c r="C1023" s="85"/>
      <c r="D1023" s="175"/>
      <c r="E1023" s="175"/>
      <c r="F1023" s="85"/>
      <c r="G1023" s="18">
        <f>C1023</f>
        <v>0</v>
      </c>
      <c r="H1023" s="85"/>
      <c r="I1023" s="85"/>
      <c r="J1023" s="174"/>
      <c r="K1023" s="173"/>
      <c r="L1023" s="102"/>
      <c r="M1023" s="85"/>
      <c r="N1023" s="85"/>
      <c r="O1023" s="85"/>
      <c r="P1023" s="85"/>
      <c r="Q1023" s="85"/>
      <c r="R1023" s="85"/>
      <c r="S1023" s="85"/>
    </row>
    <row r="1024" spans="1:19" ht="15.75">
      <c r="A1024" s="174"/>
      <c r="B1024" s="176"/>
      <c r="C1024" s="85"/>
      <c r="D1024" s="175"/>
      <c r="E1024" s="175"/>
      <c r="F1024" s="85"/>
      <c r="G1024" s="18">
        <f>C1024</f>
        <v>0</v>
      </c>
      <c r="H1024" s="85"/>
      <c r="I1024" s="85"/>
      <c r="J1024" s="174"/>
      <c r="K1024" s="173"/>
      <c r="L1024" s="102"/>
      <c r="M1024" s="85"/>
      <c r="N1024" s="85"/>
      <c r="O1024" s="85"/>
      <c r="P1024" s="85"/>
      <c r="Q1024" s="85"/>
      <c r="R1024" s="85"/>
      <c r="S1024" s="85"/>
    </row>
    <row r="1025" spans="1:19" ht="15.75">
      <c r="A1025" s="174"/>
      <c r="B1025" s="176"/>
      <c r="C1025" s="85"/>
      <c r="D1025" s="175"/>
      <c r="E1025" s="175"/>
      <c r="F1025" s="85"/>
      <c r="G1025" s="18">
        <f>C1025</f>
        <v>0</v>
      </c>
      <c r="H1025" s="85"/>
      <c r="I1025" s="85"/>
      <c r="J1025" s="174"/>
      <c r="K1025" s="173"/>
      <c r="L1025" s="102"/>
      <c r="M1025" s="85"/>
      <c r="N1025" s="85"/>
      <c r="O1025" s="85"/>
      <c r="P1025" s="85"/>
      <c r="Q1025" s="85"/>
      <c r="R1025" s="85"/>
      <c r="S1025" s="85"/>
    </row>
    <row r="1026" spans="1:19" ht="15.75">
      <c r="A1026" s="174"/>
      <c r="B1026" s="176"/>
      <c r="C1026" s="85"/>
      <c r="D1026" s="175"/>
      <c r="E1026" s="175"/>
      <c r="F1026" s="85"/>
      <c r="G1026" s="18">
        <f>C1026</f>
        <v>0</v>
      </c>
      <c r="H1026" s="85"/>
      <c r="I1026" s="85"/>
      <c r="J1026" s="174"/>
      <c r="K1026" s="173"/>
      <c r="L1026" s="102"/>
      <c r="M1026" s="85"/>
      <c r="N1026" s="85"/>
      <c r="O1026" s="85"/>
      <c r="P1026" s="85"/>
      <c r="Q1026" s="85"/>
      <c r="R1026" s="85"/>
      <c r="S1026" s="85"/>
    </row>
    <row r="1027" spans="1:19" ht="15.75">
      <c r="A1027" s="174"/>
      <c r="B1027" s="176"/>
      <c r="C1027" s="85"/>
      <c r="D1027" s="175"/>
      <c r="E1027" s="175"/>
      <c r="F1027" s="85"/>
      <c r="G1027" s="18">
        <f>C1027</f>
        <v>0</v>
      </c>
      <c r="H1027" s="85"/>
      <c r="I1027" s="85"/>
      <c r="J1027" s="174"/>
      <c r="K1027" s="173"/>
      <c r="L1027" s="102"/>
      <c r="M1027" s="85"/>
      <c r="N1027" s="85"/>
      <c r="O1027" s="85"/>
      <c r="P1027" s="85"/>
      <c r="Q1027" s="85"/>
      <c r="R1027" s="85"/>
      <c r="S1027" s="85"/>
    </row>
    <row r="1028" spans="1:19" ht="15.75">
      <c r="A1028" s="174"/>
      <c r="B1028" s="176"/>
      <c r="C1028" s="85"/>
      <c r="D1028" s="175"/>
      <c r="E1028" s="175"/>
      <c r="F1028" s="85"/>
      <c r="G1028" s="18">
        <f>C1028</f>
        <v>0</v>
      </c>
      <c r="H1028" s="85"/>
      <c r="I1028" s="85"/>
      <c r="J1028" s="174"/>
      <c r="K1028" s="173"/>
      <c r="L1028" s="102"/>
      <c r="M1028" s="85"/>
      <c r="N1028" s="85"/>
      <c r="O1028" s="85"/>
      <c r="P1028" s="85"/>
      <c r="Q1028" s="85"/>
      <c r="R1028" s="85"/>
      <c r="S1028" s="85"/>
    </row>
    <row r="1029" spans="1:19" ht="15.75">
      <c r="A1029" s="174"/>
      <c r="B1029" s="176"/>
      <c r="C1029" s="85"/>
      <c r="D1029" s="175"/>
      <c r="E1029" s="175"/>
      <c r="F1029" s="85"/>
      <c r="G1029" s="18">
        <f>C1029</f>
        <v>0</v>
      </c>
      <c r="H1029" s="85"/>
      <c r="I1029" s="85"/>
      <c r="J1029" s="174"/>
      <c r="K1029" s="173"/>
      <c r="L1029" s="102"/>
      <c r="M1029" s="85"/>
      <c r="N1029" s="85"/>
      <c r="O1029" s="85"/>
      <c r="P1029" s="85"/>
      <c r="Q1029" s="85"/>
      <c r="R1029" s="85"/>
      <c r="S1029" s="85"/>
    </row>
    <row r="1030" spans="1:19" ht="15.75">
      <c r="A1030" s="174"/>
      <c r="B1030" s="176"/>
      <c r="C1030" s="85"/>
      <c r="D1030" s="175"/>
      <c r="E1030" s="175"/>
      <c r="F1030" s="85"/>
      <c r="G1030" s="18">
        <f>C1030</f>
        <v>0</v>
      </c>
      <c r="H1030" s="85"/>
      <c r="I1030" s="85"/>
      <c r="J1030" s="174"/>
      <c r="K1030" s="173"/>
      <c r="L1030" s="102"/>
      <c r="M1030" s="85"/>
      <c r="N1030" s="85"/>
      <c r="O1030" s="85"/>
      <c r="P1030" s="85"/>
      <c r="Q1030" s="85"/>
      <c r="R1030" s="85"/>
      <c r="S1030" s="85"/>
    </row>
    <row r="1031" spans="1:19" ht="15.75">
      <c r="A1031" s="174"/>
      <c r="B1031" s="176"/>
      <c r="C1031" s="85"/>
      <c r="D1031" s="175"/>
      <c r="E1031" s="175"/>
      <c r="F1031" s="85"/>
      <c r="G1031" s="18">
        <f>C1031</f>
        <v>0</v>
      </c>
      <c r="H1031" s="85"/>
      <c r="I1031" s="85"/>
      <c r="J1031" s="174"/>
      <c r="K1031" s="173"/>
      <c r="L1031" s="102"/>
      <c r="M1031" s="85"/>
      <c r="N1031" s="85"/>
      <c r="O1031" s="85"/>
      <c r="P1031" s="85"/>
      <c r="Q1031" s="85"/>
      <c r="R1031" s="85"/>
      <c r="S1031" s="85"/>
    </row>
    <row r="1032" spans="1:19" ht="15.75">
      <c r="A1032" s="174"/>
      <c r="B1032" s="176"/>
      <c r="C1032" s="85"/>
      <c r="D1032" s="175"/>
      <c r="E1032" s="175"/>
      <c r="F1032" s="85"/>
      <c r="G1032" s="18">
        <f>C1032</f>
        <v>0</v>
      </c>
      <c r="H1032" s="85"/>
      <c r="I1032" s="85"/>
      <c r="J1032" s="174"/>
      <c r="K1032" s="173"/>
      <c r="L1032" s="102"/>
      <c r="M1032" s="85"/>
      <c r="N1032" s="85"/>
      <c r="O1032" s="85"/>
      <c r="P1032" s="85"/>
      <c r="Q1032" s="85"/>
      <c r="R1032" s="85"/>
      <c r="S1032" s="85"/>
    </row>
    <row r="1033" spans="1:19" ht="15.75">
      <c r="A1033" s="174"/>
      <c r="B1033" s="176"/>
      <c r="C1033" s="85"/>
      <c r="D1033" s="175"/>
      <c r="E1033" s="175"/>
      <c r="F1033" s="85"/>
      <c r="G1033" s="18">
        <f>C1033</f>
        <v>0</v>
      </c>
      <c r="H1033" s="85"/>
      <c r="I1033" s="85"/>
      <c r="J1033" s="174"/>
      <c r="K1033" s="173"/>
      <c r="L1033" s="102"/>
      <c r="M1033" s="85"/>
      <c r="N1033" s="85"/>
      <c r="O1033" s="85"/>
      <c r="P1033" s="85"/>
      <c r="Q1033" s="85"/>
      <c r="R1033" s="85"/>
      <c r="S1033" s="85"/>
    </row>
    <row r="1034" spans="1:19" ht="15.75">
      <c r="A1034" s="174"/>
      <c r="B1034" s="176"/>
      <c r="C1034" s="85"/>
      <c r="D1034" s="175"/>
      <c r="E1034" s="175"/>
      <c r="F1034" s="85"/>
      <c r="G1034" s="18">
        <f>C1034</f>
        <v>0</v>
      </c>
      <c r="H1034" s="85"/>
      <c r="I1034" s="85"/>
      <c r="J1034" s="174"/>
      <c r="K1034" s="173"/>
      <c r="L1034" s="102"/>
      <c r="M1034" s="85"/>
      <c r="N1034" s="85"/>
      <c r="O1034" s="85"/>
      <c r="P1034" s="85"/>
      <c r="Q1034" s="85"/>
      <c r="R1034" s="85"/>
      <c r="S1034" s="85"/>
    </row>
    <row r="1035" spans="1:19" ht="15.75">
      <c r="A1035" s="174"/>
      <c r="B1035" s="176"/>
      <c r="C1035" s="85"/>
      <c r="D1035" s="175"/>
      <c r="E1035" s="175"/>
      <c r="F1035" s="85"/>
      <c r="G1035" s="18">
        <f>C1035</f>
        <v>0</v>
      </c>
      <c r="H1035" s="85"/>
      <c r="I1035" s="85"/>
      <c r="J1035" s="174"/>
      <c r="K1035" s="173"/>
      <c r="L1035" s="102"/>
      <c r="M1035" s="85"/>
      <c r="N1035" s="85"/>
      <c r="O1035" s="85"/>
      <c r="P1035" s="85"/>
      <c r="Q1035" s="85"/>
      <c r="R1035" s="85"/>
      <c r="S1035" s="85"/>
    </row>
    <row r="1036" spans="1:19" ht="15.75">
      <c r="A1036" s="174"/>
      <c r="B1036" s="176"/>
      <c r="C1036" s="85"/>
      <c r="D1036" s="175"/>
      <c r="E1036" s="175"/>
      <c r="F1036" s="85"/>
      <c r="G1036" s="18">
        <f>C1036</f>
        <v>0</v>
      </c>
      <c r="H1036" s="85"/>
      <c r="I1036" s="85"/>
      <c r="J1036" s="174"/>
      <c r="K1036" s="173"/>
      <c r="L1036" s="102"/>
      <c r="M1036" s="85"/>
      <c r="N1036" s="85"/>
      <c r="O1036" s="85"/>
      <c r="P1036" s="85"/>
      <c r="Q1036" s="85"/>
      <c r="R1036" s="85"/>
      <c r="S1036" s="85"/>
    </row>
    <row r="1037" spans="1:19" ht="15.75">
      <c r="A1037" s="174"/>
      <c r="B1037" s="176"/>
      <c r="C1037" s="85"/>
      <c r="D1037" s="175"/>
      <c r="E1037" s="175"/>
      <c r="F1037" s="85"/>
      <c r="G1037" s="18">
        <f>C1037</f>
        <v>0</v>
      </c>
      <c r="H1037" s="85"/>
      <c r="I1037" s="85"/>
      <c r="J1037" s="174"/>
      <c r="K1037" s="173"/>
      <c r="L1037" s="102"/>
      <c r="M1037" s="85"/>
      <c r="N1037" s="85"/>
      <c r="O1037" s="85"/>
      <c r="P1037" s="85"/>
      <c r="Q1037" s="85"/>
      <c r="R1037" s="85"/>
      <c r="S1037" s="85"/>
    </row>
    <row r="1038" spans="1:19" ht="15.75">
      <c r="A1038" s="174"/>
      <c r="B1038" s="176"/>
      <c r="C1038" s="85"/>
      <c r="D1038" s="175"/>
      <c r="E1038" s="175"/>
      <c r="F1038" s="85"/>
      <c r="G1038" s="18">
        <f>C1038</f>
        <v>0</v>
      </c>
      <c r="H1038" s="85"/>
      <c r="I1038" s="85"/>
      <c r="J1038" s="174"/>
      <c r="K1038" s="173"/>
      <c r="L1038" s="102"/>
      <c r="M1038" s="85"/>
      <c r="N1038" s="85"/>
      <c r="O1038" s="85"/>
      <c r="P1038" s="85"/>
      <c r="Q1038" s="85"/>
      <c r="R1038" s="85"/>
      <c r="S1038" s="85"/>
    </row>
    <row r="1039" spans="1:19" ht="15.75">
      <c r="A1039" s="174"/>
      <c r="B1039" s="176"/>
      <c r="C1039" s="85"/>
      <c r="D1039" s="175"/>
      <c r="E1039" s="175"/>
      <c r="F1039" s="85"/>
      <c r="G1039" s="18">
        <f>C1039</f>
        <v>0</v>
      </c>
      <c r="H1039" s="85"/>
      <c r="I1039" s="85"/>
      <c r="J1039" s="174"/>
      <c r="K1039" s="173"/>
      <c r="L1039" s="102"/>
      <c r="M1039" s="85"/>
      <c r="N1039" s="85"/>
      <c r="O1039" s="85"/>
      <c r="P1039" s="85"/>
      <c r="Q1039" s="85"/>
      <c r="R1039" s="85"/>
      <c r="S1039" s="85"/>
    </row>
    <row r="1040" spans="1:19" ht="15.75">
      <c r="A1040" s="174"/>
      <c r="B1040" s="176"/>
      <c r="C1040" s="85"/>
      <c r="D1040" s="175"/>
      <c r="E1040" s="175"/>
      <c r="F1040" s="85"/>
      <c r="G1040" s="18">
        <f>C1040</f>
        <v>0</v>
      </c>
      <c r="H1040" s="85"/>
      <c r="I1040" s="85"/>
      <c r="J1040" s="174"/>
      <c r="K1040" s="173"/>
      <c r="L1040" s="102"/>
      <c r="M1040" s="85"/>
      <c r="N1040" s="85"/>
      <c r="O1040" s="85"/>
      <c r="P1040" s="85"/>
      <c r="Q1040" s="85"/>
      <c r="R1040" s="85"/>
      <c r="S1040" s="85"/>
    </row>
    <row r="1041" spans="1:19" ht="15.75">
      <c r="A1041" s="174"/>
      <c r="B1041" s="176"/>
      <c r="C1041" s="85"/>
      <c r="D1041" s="175"/>
      <c r="E1041" s="175"/>
      <c r="F1041" s="85"/>
      <c r="G1041" s="18">
        <f>C1041</f>
        <v>0</v>
      </c>
      <c r="H1041" s="85"/>
      <c r="I1041" s="85"/>
      <c r="J1041" s="174"/>
      <c r="K1041" s="173"/>
      <c r="L1041" s="102"/>
      <c r="M1041" s="85"/>
      <c r="N1041" s="85"/>
      <c r="O1041" s="85"/>
      <c r="P1041" s="85"/>
      <c r="Q1041" s="85"/>
      <c r="R1041" s="85"/>
      <c r="S1041" s="85"/>
    </row>
    <row r="1042" spans="1:19" ht="15.75">
      <c r="A1042" s="174"/>
      <c r="B1042" s="176"/>
      <c r="C1042" s="85"/>
      <c r="D1042" s="175"/>
      <c r="E1042" s="175"/>
      <c r="F1042" s="85"/>
      <c r="G1042" s="18">
        <f>C1042</f>
        <v>0</v>
      </c>
      <c r="H1042" s="85"/>
      <c r="I1042" s="85"/>
      <c r="J1042" s="174"/>
      <c r="K1042" s="173"/>
      <c r="L1042" s="102"/>
      <c r="M1042" s="85"/>
      <c r="N1042" s="85"/>
      <c r="O1042" s="85"/>
      <c r="P1042" s="85"/>
      <c r="Q1042" s="85"/>
      <c r="R1042" s="85"/>
      <c r="S1042" s="85"/>
    </row>
    <row r="1043" spans="1:19" ht="15.75">
      <c r="A1043" s="174"/>
      <c r="B1043" s="176"/>
      <c r="C1043" s="85"/>
      <c r="D1043" s="175"/>
      <c r="E1043" s="175"/>
      <c r="F1043" s="85"/>
      <c r="G1043" s="18">
        <f>C1043</f>
        <v>0</v>
      </c>
      <c r="H1043" s="85"/>
      <c r="I1043" s="85"/>
      <c r="J1043" s="174"/>
      <c r="K1043" s="173"/>
      <c r="L1043" s="102"/>
      <c r="M1043" s="85"/>
      <c r="N1043" s="85"/>
      <c r="O1043" s="85"/>
      <c r="P1043" s="85"/>
      <c r="Q1043" s="85"/>
      <c r="R1043" s="85"/>
      <c r="S1043" s="85"/>
    </row>
    <row r="1044" spans="1:19" ht="15.75">
      <c r="A1044" s="174"/>
      <c r="B1044" s="176"/>
      <c r="C1044" s="85"/>
      <c r="D1044" s="175"/>
      <c r="E1044" s="175"/>
      <c r="F1044" s="85"/>
      <c r="G1044" s="18">
        <f>C1044</f>
        <v>0</v>
      </c>
      <c r="H1044" s="85"/>
      <c r="I1044" s="85"/>
      <c r="J1044" s="174"/>
      <c r="K1044" s="173"/>
      <c r="L1044" s="102"/>
      <c r="M1044" s="85"/>
      <c r="N1044" s="85"/>
      <c r="O1044" s="85"/>
      <c r="P1044" s="85"/>
      <c r="Q1044" s="85"/>
      <c r="R1044" s="85"/>
      <c r="S1044" s="85"/>
    </row>
    <row r="1045" spans="1:19" ht="15.75">
      <c r="A1045" s="174"/>
      <c r="B1045" s="176"/>
      <c r="C1045" s="85"/>
      <c r="D1045" s="175"/>
      <c r="E1045" s="175"/>
      <c r="F1045" s="85"/>
      <c r="G1045" s="18">
        <f>C1045</f>
        <v>0</v>
      </c>
      <c r="H1045" s="85"/>
      <c r="I1045" s="85"/>
      <c r="J1045" s="174"/>
      <c r="K1045" s="173"/>
      <c r="L1045" s="102"/>
      <c r="M1045" s="85"/>
      <c r="N1045" s="85"/>
      <c r="O1045" s="85"/>
      <c r="P1045" s="85"/>
      <c r="Q1045" s="85"/>
      <c r="R1045" s="85"/>
      <c r="S1045" s="85"/>
    </row>
    <row r="1046" spans="1:19" ht="15.75">
      <c r="A1046" s="174"/>
      <c r="B1046" s="176"/>
      <c r="C1046" s="85"/>
      <c r="D1046" s="175"/>
      <c r="E1046" s="175"/>
      <c r="F1046" s="85"/>
      <c r="G1046" s="18">
        <f>C1046</f>
        <v>0</v>
      </c>
      <c r="H1046" s="85"/>
      <c r="I1046" s="85"/>
      <c r="J1046" s="174"/>
      <c r="K1046" s="173"/>
      <c r="L1046" s="102"/>
      <c r="M1046" s="85"/>
      <c r="N1046" s="85"/>
      <c r="O1046" s="85"/>
      <c r="P1046" s="85"/>
      <c r="Q1046" s="85"/>
      <c r="R1046" s="85"/>
      <c r="S1046" s="85"/>
    </row>
    <row r="1047" spans="1:19" ht="15.75">
      <c r="A1047" s="174"/>
      <c r="B1047" s="176"/>
      <c r="C1047" s="85"/>
      <c r="D1047" s="175"/>
      <c r="E1047" s="175"/>
      <c r="F1047" s="85"/>
      <c r="G1047" s="18">
        <f>C1047</f>
        <v>0</v>
      </c>
      <c r="H1047" s="85"/>
      <c r="I1047" s="85"/>
      <c r="J1047" s="174"/>
      <c r="K1047" s="173"/>
      <c r="L1047" s="102"/>
      <c r="M1047" s="85"/>
      <c r="N1047" s="85"/>
      <c r="O1047" s="85"/>
      <c r="P1047" s="85"/>
      <c r="Q1047" s="85"/>
      <c r="R1047" s="85"/>
      <c r="S1047" s="85"/>
    </row>
    <row r="1048" spans="1:19" ht="15.75">
      <c r="A1048" s="174"/>
      <c r="B1048" s="176"/>
      <c r="C1048" s="85"/>
      <c r="D1048" s="175"/>
      <c r="E1048" s="175"/>
      <c r="F1048" s="85"/>
      <c r="G1048" s="18">
        <f>C1048</f>
        <v>0</v>
      </c>
      <c r="H1048" s="85"/>
      <c r="I1048" s="85"/>
      <c r="J1048" s="174"/>
      <c r="K1048" s="173"/>
      <c r="L1048" s="102"/>
      <c r="M1048" s="85"/>
      <c r="N1048" s="85"/>
      <c r="O1048" s="85"/>
      <c r="P1048" s="85"/>
      <c r="Q1048" s="85"/>
      <c r="R1048" s="85"/>
      <c r="S1048" s="85"/>
    </row>
    <row r="1049" spans="1:19" ht="15.75">
      <c r="A1049" s="174"/>
      <c r="B1049" s="176"/>
      <c r="C1049" s="85"/>
      <c r="D1049" s="175"/>
      <c r="E1049" s="175"/>
      <c r="F1049" s="85"/>
      <c r="G1049" s="18">
        <f>C1049</f>
        <v>0</v>
      </c>
      <c r="H1049" s="85"/>
      <c r="I1049" s="85"/>
      <c r="J1049" s="174"/>
      <c r="K1049" s="173"/>
      <c r="L1049" s="102"/>
      <c r="M1049" s="85"/>
      <c r="N1049" s="85"/>
      <c r="O1049" s="85"/>
      <c r="P1049" s="85"/>
      <c r="Q1049" s="85"/>
      <c r="R1049" s="85"/>
      <c r="S1049" s="85"/>
    </row>
    <row r="1050" spans="1:19" ht="15.75">
      <c r="A1050" s="174"/>
      <c r="B1050" s="176"/>
      <c r="C1050" s="85"/>
      <c r="D1050" s="175"/>
      <c r="E1050" s="175"/>
      <c r="F1050" s="85"/>
      <c r="G1050" s="18">
        <f>C1050</f>
        <v>0</v>
      </c>
      <c r="H1050" s="85"/>
      <c r="I1050" s="85"/>
      <c r="J1050" s="174"/>
      <c r="K1050" s="173"/>
      <c r="L1050" s="102"/>
      <c r="M1050" s="85"/>
      <c r="N1050" s="85"/>
      <c r="O1050" s="85"/>
      <c r="P1050" s="85"/>
      <c r="Q1050" s="85"/>
      <c r="R1050" s="85"/>
      <c r="S1050" s="85"/>
    </row>
    <row r="1051" spans="1:19" ht="15.75">
      <c r="A1051" s="174"/>
      <c r="B1051" s="176"/>
      <c r="C1051" s="85"/>
      <c r="D1051" s="175"/>
      <c r="E1051" s="175"/>
      <c r="F1051" s="85"/>
      <c r="G1051" s="18">
        <f>C1051</f>
        <v>0</v>
      </c>
      <c r="H1051" s="85"/>
      <c r="I1051" s="85"/>
      <c r="J1051" s="174"/>
      <c r="K1051" s="173"/>
      <c r="L1051" s="102"/>
      <c r="M1051" s="85"/>
      <c r="N1051" s="85"/>
      <c r="O1051" s="85"/>
      <c r="P1051" s="85"/>
      <c r="Q1051" s="85"/>
      <c r="R1051" s="85"/>
      <c r="S1051" s="85"/>
    </row>
    <row r="1052" spans="1:19" ht="15.75">
      <c r="A1052" s="174"/>
      <c r="B1052" s="176"/>
      <c r="C1052" s="85"/>
      <c r="D1052" s="175"/>
      <c r="E1052" s="175"/>
      <c r="F1052" s="85"/>
      <c r="G1052" s="18">
        <f>C1052</f>
        <v>0</v>
      </c>
      <c r="H1052" s="85"/>
      <c r="I1052" s="85"/>
      <c r="J1052" s="174"/>
      <c r="K1052" s="173"/>
      <c r="L1052" s="102"/>
      <c r="M1052" s="85"/>
      <c r="N1052" s="85"/>
      <c r="O1052" s="85"/>
      <c r="P1052" s="85"/>
      <c r="Q1052" s="85"/>
      <c r="R1052" s="85"/>
      <c r="S1052" s="85"/>
    </row>
    <row r="1053" spans="1:19" ht="15.75">
      <c r="A1053" s="174"/>
      <c r="B1053" s="176"/>
      <c r="C1053" s="85"/>
      <c r="D1053" s="175"/>
      <c r="E1053" s="175"/>
      <c r="F1053" s="85"/>
      <c r="G1053" s="18">
        <f>C1053</f>
        <v>0</v>
      </c>
      <c r="H1053" s="85"/>
      <c r="I1053" s="85"/>
      <c r="J1053" s="174"/>
      <c r="K1053" s="173"/>
      <c r="L1053" s="102"/>
      <c r="M1053" s="85"/>
      <c r="N1053" s="85"/>
      <c r="O1053" s="85"/>
      <c r="P1053" s="85"/>
      <c r="Q1053" s="85"/>
      <c r="R1053" s="85"/>
      <c r="S1053" s="85"/>
    </row>
    <row r="1054" spans="1:19" ht="15.75">
      <c r="A1054" s="174"/>
      <c r="B1054" s="176"/>
      <c r="C1054" s="85"/>
      <c r="D1054" s="175"/>
      <c r="E1054" s="175"/>
      <c r="F1054" s="85"/>
      <c r="G1054" s="18">
        <f>C1054</f>
        <v>0</v>
      </c>
      <c r="H1054" s="85"/>
      <c r="I1054" s="85"/>
      <c r="J1054" s="174"/>
      <c r="K1054" s="173"/>
      <c r="L1054" s="102"/>
      <c r="M1054" s="85"/>
      <c r="N1054" s="85"/>
      <c r="O1054" s="85"/>
      <c r="P1054" s="85"/>
      <c r="Q1054" s="85"/>
      <c r="R1054" s="85"/>
      <c r="S1054" s="85"/>
    </row>
    <row r="1055" spans="1:19" ht="15.75">
      <c r="A1055" s="174"/>
      <c r="B1055" s="176"/>
      <c r="C1055" s="85"/>
      <c r="D1055" s="175"/>
      <c r="E1055" s="175"/>
      <c r="F1055" s="85"/>
      <c r="G1055" s="18">
        <f>C1055</f>
        <v>0</v>
      </c>
      <c r="H1055" s="85"/>
      <c r="I1055" s="85"/>
      <c r="J1055" s="174"/>
      <c r="K1055" s="173"/>
      <c r="L1055" s="102"/>
      <c r="M1055" s="85"/>
      <c r="N1055" s="85"/>
      <c r="O1055" s="85"/>
      <c r="P1055" s="85"/>
      <c r="Q1055" s="85"/>
      <c r="R1055" s="85"/>
      <c r="S1055" s="85"/>
    </row>
    <row r="1056" spans="1:19" ht="15.75">
      <c r="A1056" s="174"/>
      <c r="B1056" s="176"/>
      <c r="C1056" s="85"/>
      <c r="D1056" s="175"/>
      <c r="E1056" s="175"/>
      <c r="F1056" s="85"/>
      <c r="G1056" s="18">
        <f>C1056</f>
        <v>0</v>
      </c>
      <c r="H1056" s="85"/>
      <c r="I1056" s="85"/>
      <c r="J1056" s="174"/>
      <c r="K1056" s="173"/>
      <c r="L1056" s="102"/>
      <c r="M1056" s="85"/>
      <c r="N1056" s="85"/>
      <c r="O1056" s="85"/>
      <c r="P1056" s="85"/>
      <c r="Q1056" s="85"/>
      <c r="R1056" s="85"/>
      <c r="S1056" s="85"/>
    </row>
    <row r="1057" spans="1:19" ht="15.75">
      <c r="A1057" s="174"/>
      <c r="B1057" s="176"/>
      <c r="C1057" s="85"/>
      <c r="D1057" s="175"/>
      <c r="E1057" s="175"/>
      <c r="F1057" s="85"/>
      <c r="G1057" s="18">
        <f>C1057</f>
        <v>0</v>
      </c>
      <c r="H1057" s="85"/>
      <c r="I1057" s="85"/>
      <c r="J1057" s="174"/>
      <c r="K1057" s="173"/>
      <c r="L1057" s="102"/>
      <c r="M1057" s="85"/>
      <c r="N1057" s="85"/>
      <c r="O1057" s="85"/>
      <c r="P1057" s="85"/>
      <c r="Q1057" s="85"/>
      <c r="R1057" s="85"/>
      <c r="S1057" s="85"/>
    </row>
    <row r="1058" spans="1:19" ht="15.75">
      <c r="A1058" s="174"/>
      <c r="B1058" s="176"/>
      <c r="C1058" s="85"/>
      <c r="D1058" s="175"/>
      <c r="E1058" s="175"/>
      <c r="F1058" s="85"/>
      <c r="G1058" s="18">
        <f>C1058</f>
        <v>0</v>
      </c>
      <c r="H1058" s="85"/>
      <c r="I1058" s="85"/>
      <c r="J1058" s="174"/>
      <c r="K1058" s="173"/>
      <c r="L1058" s="102"/>
      <c r="M1058" s="85"/>
      <c r="N1058" s="85"/>
      <c r="O1058" s="85"/>
      <c r="P1058" s="85"/>
      <c r="Q1058" s="85"/>
      <c r="R1058" s="85"/>
      <c r="S1058" s="85"/>
    </row>
    <row r="1059" spans="1:19" ht="15.75">
      <c r="A1059" s="174"/>
      <c r="B1059" s="176"/>
      <c r="C1059" s="85"/>
      <c r="D1059" s="175"/>
      <c r="E1059" s="175"/>
      <c r="F1059" s="85"/>
      <c r="G1059" s="18">
        <f>C1059</f>
        <v>0</v>
      </c>
      <c r="H1059" s="85"/>
      <c r="I1059" s="85"/>
      <c r="J1059" s="174"/>
      <c r="K1059" s="173"/>
      <c r="L1059" s="102"/>
      <c r="M1059" s="85"/>
      <c r="N1059" s="85"/>
      <c r="O1059" s="85"/>
      <c r="P1059" s="85"/>
      <c r="Q1059" s="85"/>
      <c r="R1059" s="85"/>
      <c r="S1059" s="85"/>
    </row>
    <row r="1060" spans="1:19" ht="15.75">
      <c r="A1060" s="174"/>
      <c r="B1060" s="176"/>
      <c r="C1060" s="85"/>
      <c r="D1060" s="175"/>
      <c r="E1060" s="175"/>
      <c r="F1060" s="85"/>
      <c r="G1060" s="18">
        <f>C1060</f>
        <v>0</v>
      </c>
      <c r="H1060" s="85"/>
      <c r="I1060" s="85"/>
      <c r="J1060" s="174"/>
      <c r="K1060" s="173"/>
      <c r="L1060" s="102"/>
      <c r="M1060" s="85"/>
      <c r="N1060" s="85"/>
      <c r="O1060" s="85"/>
      <c r="P1060" s="85"/>
      <c r="Q1060" s="85"/>
      <c r="R1060" s="85"/>
      <c r="S1060" s="85"/>
    </row>
    <row r="1061" spans="1:19" ht="15.75">
      <c r="A1061" s="174"/>
      <c r="B1061" s="176"/>
      <c r="C1061" s="85"/>
      <c r="D1061" s="175"/>
      <c r="E1061" s="175"/>
      <c r="F1061" s="85"/>
      <c r="G1061" s="18">
        <f>C1061</f>
        <v>0</v>
      </c>
      <c r="H1061" s="85"/>
      <c r="I1061" s="85"/>
      <c r="J1061" s="174"/>
      <c r="K1061" s="173"/>
      <c r="L1061" s="102"/>
      <c r="M1061" s="85"/>
      <c r="N1061" s="85"/>
      <c r="O1061" s="85"/>
      <c r="P1061" s="85"/>
      <c r="Q1061" s="85"/>
      <c r="R1061" s="85"/>
      <c r="S1061" s="85"/>
    </row>
    <row r="1062" spans="1:19" ht="15.75">
      <c r="A1062" s="174"/>
      <c r="B1062" s="176"/>
      <c r="C1062" s="85"/>
      <c r="D1062" s="175"/>
      <c r="E1062" s="175"/>
      <c r="F1062" s="85"/>
      <c r="G1062" s="18">
        <f>C1062</f>
        <v>0</v>
      </c>
      <c r="H1062" s="85"/>
      <c r="I1062" s="85"/>
      <c r="J1062" s="174"/>
      <c r="K1062" s="173"/>
      <c r="L1062" s="102"/>
      <c r="M1062" s="85"/>
      <c r="N1062" s="85"/>
      <c r="O1062" s="85"/>
      <c r="P1062" s="85"/>
      <c r="Q1062" s="85"/>
      <c r="R1062" s="85"/>
      <c r="S1062" s="85"/>
    </row>
    <row r="1063" spans="1:19" ht="15.75">
      <c r="A1063" s="174"/>
      <c r="B1063" s="176"/>
      <c r="C1063" s="85"/>
      <c r="D1063" s="175"/>
      <c r="E1063" s="175"/>
      <c r="F1063" s="85"/>
      <c r="G1063" s="18">
        <f>C1063</f>
        <v>0</v>
      </c>
      <c r="H1063" s="85"/>
      <c r="I1063" s="85"/>
      <c r="J1063" s="174"/>
      <c r="K1063" s="173"/>
      <c r="L1063" s="102"/>
      <c r="M1063" s="85"/>
      <c r="N1063" s="85"/>
      <c r="O1063" s="85"/>
      <c r="P1063" s="85"/>
      <c r="Q1063" s="85"/>
      <c r="R1063" s="85"/>
      <c r="S1063" s="85"/>
    </row>
    <row r="1064" spans="1:19" ht="15.75">
      <c r="A1064" s="174"/>
      <c r="B1064" s="176"/>
      <c r="C1064" s="85"/>
      <c r="D1064" s="175"/>
      <c r="E1064" s="175"/>
      <c r="F1064" s="85"/>
      <c r="G1064" s="18">
        <f>C1064</f>
        <v>0</v>
      </c>
      <c r="H1064" s="85"/>
      <c r="I1064" s="85"/>
      <c r="J1064" s="174"/>
      <c r="K1064" s="173"/>
      <c r="L1064" s="102"/>
      <c r="M1064" s="85"/>
      <c r="N1064" s="85"/>
      <c r="O1064" s="85"/>
      <c r="P1064" s="85"/>
      <c r="Q1064" s="85"/>
      <c r="R1064" s="85"/>
      <c r="S1064" s="85"/>
    </row>
    <row r="1065" spans="1:19" ht="15.75">
      <c r="A1065" s="174"/>
      <c r="B1065" s="176"/>
      <c r="C1065" s="85"/>
      <c r="D1065" s="175"/>
      <c r="E1065" s="175"/>
      <c r="F1065" s="85"/>
      <c r="G1065" s="18">
        <f>C1065</f>
        <v>0</v>
      </c>
      <c r="H1065" s="85"/>
      <c r="I1065" s="85"/>
      <c r="J1065" s="174"/>
      <c r="K1065" s="173"/>
      <c r="L1065" s="102"/>
      <c r="M1065" s="85"/>
      <c r="N1065" s="85"/>
      <c r="O1065" s="85"/>
      <c r="P1065" s="85"/>
      <c r="Q1065" s="85"/>
      <c r="R1065" s="85"/>
      <c r="S1065" s="85"/>
    </row>
    <row r="1066" spans="1:19" ht="15.75">
      <c r="A1066" s="174"/>
      <c r="B1066" s="176"/>
      <c r="C1066" s="85"/>
      <c r="D1066" s="175"/>
      <c r="E1066" s="175"/>
      <c r="F1066" s="85"/>
      <c r="G1066" s="18">
        <f>C1066</f>
        <v>0</v>
      </c>
      <c r="H1066" s="85"/>
      <c r="I1066" s="85"/>
      <c r="J1066" s="174"/>
      <c r="K1066" s="173"/>
      <c r="L1066" s="102"/>
      <c r="M1066" s="85"/>
      <c r="N1066" s="85"/>
      <c r="O1066" s="85"/>
      <c r="P1066" s="85"/>
      <c r="Q1066" s="85"/>
      <c r="R1066" s="85"/>
      <c r="S1066" s="85"/>
    </row>
    <row r="1067" spans="1:19" ht="15.75">
      <c r="A1067" s="174"/>
      <c r="B1067" s="176"/>
      <c r="C1067" s="85"/>
      <c r="D1067" s="175"/>
      <c r="E1067" s="175"/>
      <c r="F1067" s="85"/>
      <c r="G1067" s="18">
        <f>C1067</f>
        <v>0</v>
      </c>
      <c r="H1067" s="85"/>
      <c r="I1067" s="85"/>
      <c r="J1067" s="174"/>
      <c r="K1067" s="173"/>
      <c r="L1067" s="102"/>
      <c r="M1067" s="85"/>
      <c r="N1067" s="85"/>
      <c r="O1067" s="85"/>
      <c r="P1067" s="85"/>
      <c r="Q1067" s="85"/>
      <c r="R1067" s="85"/>
      <c r="S1067" s="85"/>
    </row>
    <row r="1068" spans="1:19" ht="15.75">
      <c r="A1068" s="174"/>
      <c r="B1068" s="176"/>
      <c r="C1068" s="85"/>
      <c r="D1068" s="175"/>
      <c r="E1068" s="175"/>
      <c r="F1068" s="85"/>
      <c r="G1068" s="18">
        <f>C1068</f>
        <v>0</v>
      </c>
      <c r="H1068" s="85"/>
      <c r="I1068" s="85"/>
      <c r="J1068" s="174"/>
      <c r="K1068" s="173"/>
      <c r="L1068" s="102"/>
      <c r="M1068" s="85"/>
      <c r="N1068" s="85"/>
      <c r="O1068" s="85"/>
      <c r="P1068" s="85"/>
      <c r="Q1068" s="85"/>
      <c r="R1068" s="85"/>
      <c r="S1068" s="85"/>
    </row>
    <row r="1069" spans="1:19" ht="15.75">
      <c r="A1069" s="174"/>
      <c r="B1069" s="176"/>
      <c r="C1069" s="85"/>
      <c r="D1069" s="175"/>
      <c r="E1069" s="175"/>
      <c r="F1069" s="85"/>
      <c r="G1069" s="18">
        <f>C1069</f>
        <v>0</v>
      </c>
      <c r="H1069" s="85"/>
      <c r="I1069" s="85"/>
      <c r="J1069" s="174"/>
      <c r="K1069" s="173"/>
      <c r="L1069" s="102"/>
      <c r="M1069" s="85"/>
      <c r="N1069" s="85"/>
      <c r="O1069" s="85"/>
      <c r="P1069" s="85"/>
      <c r="Q1069" s="85"/>
      <c r="R1069" s="85"/>
      <c r="S1069" s="85"/>
    </row>
    <row r="1070" spans="1:19" ht="15.75">
      <c r="A1070" s="174"/>
      <c r="B1070" s="176"/>
      <c r="C1070" s="85"/>
      <c r="D1070" s="175"/>
      <c r="E1070" s="175"/>
      <c r="F1070" s="85"/>
      <c r="G1070" s="18">
        <f>C1070</f>
        <v>0</v>
      </c>
      <c r="H1070" s="85"/>
      <c r="I1070" s="85"/>
      <c r="J1070" s="174"/>
      <c r="K1070" s="173"/>
      <c r="L1070" s="102"/>
      <c r="M1070" s="85"/>
      <c r="N1070" s="85"/>
      <c r="O1070" s="85"/>
      <c r="P1070" s="85"/>
      <c r="Q1070" s="85"/>
      <c r="R1070" s="85"/>
      <c r="S1070" s="85"/>
    </row>
    <row r="1071" spans="1:19" ht="15.75">
      <c r="A1071" s="174"/>
      <c r="B1071" s="176"/>
      <c r="C1071" s="85"/>
      <c r="D1071" s="175"/>
      <c r="E1071" s="175"/>
      <c r="F1071" s="85"/>
      <c r="G1071" s="18">
        <f>C1071</f>
        <v>0</v>
      </c>
      <c r="H1071" s="85"/>
      <c r="I1071" s="85"/>
      <c r="J1071" s="174"/>
      <c r="K1071" s="173"/>
      <c r="L1071" s="102"/>
      <c r="M1071" s="85"/>
      <c r="N1071" s="85"/>
      <c r="O1071" s="85"/>
      <c r="P1071" s="85"/>
      <c r="Q1071" s="85"/>
      <c r="R1071" s="85"/>
      <c r="S1071" s="85"/>
    </row>
    <row r="1072" spans="1:19" ht="15.75">
      <c r="A1072" s="174"/>
      <c r="B1072" s="176"/>
      <c r="C1072" s="85"/>
      <c r="D1072" s="175"/>
      <c r="E1072" s="175"/>
      <c r="F1072" s="85"/>
      <c r="G1072" s="18">
        <f>C1072</f>
        <v>0</v>
      </c>
      <c r="H1072" s="85"/>
      <c r="I1072" s="85"/>
      <c r="J1072" s="174"/>
      <c r="K1072" s="173"/>
      <c r="L1072" s="102"/>
      <c r="M1072" s="85"/>
      <c r="N1072" s="85"/>
      <c r="O1072" s="85"/>
      <c r="P1072" s="85"/>
      <c r="Q1072" s="85"/>
      <c r="R1072" s="85"/>
      <c r="S1072" s="85"/>
    </row>
  </sheetData>
  <dataValidations count="1">
    <dataValidation type="list" allowBlank="1" showErrorMessage="1" sqref="F2:F22 F24:F45 F47:F67 F69:F90 F92:F99 F101:F121 F123:F144 F146:F168 F170:F193 F195:F1072">
      <formula1>"SELECT,Conference,SCI Publication,Scopus Publication,Book Chapter,Citations,Book,Incentive"</formula1>
    </dataValidation>
  </dataValidations>
  <pageMargins left="0.70866141732283472" right="0.70866141732283472" top="0.74803149606299213" bottom="0.74803149606299213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'[Faculty Research Incentive 2024-2025_ Ver 3.0 dt. 15.07.2024 (1).xlsx]Name of the Department'!#REF!</xm:f>
          </x14:formula1>
          <xm:sqref>C2:C22 C24:C45 C47:C67 C69:C90 C92:C99 C101:C121 C123:C144 C146:C168 C170:C178 C180:C193 C195:C1072</xm:sqref>
        </x14:dataValidation>
        <x14:dataValidation type="list" allowBlank="1" showErrorMessage="1">
          <x14:formula1>
            <xm:f>'[Faculty Research Incentive 2024-2025_ Ver 3.0 dt. 15.07.2024 (1).xlsx]Name of the Faculty'!#REF!</xm:f>
          </x14:formula1>
          <xm:sqref>D2:D22 D24:D45 D47:D67 D69:D90 D92:D99 D101:D121 D123:D144 D146:D168 D170:D193 D195:D1072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S570"/>
  <sheetViews>
    <sheetView workbookViewId="0">
      <selection activeCell="D8" sqref="D8"/>
    </sheetView>
  </sheetViews>
  <sheetFormatPr defaultColWidth="14.42578125" defaultRowHeight="15" customHeight="1"/>
  <cols>
    <col min="1" max="1" width="7.7109375" style="1" bestFit="1" customWidth="1"/>
    <col min="2" max="2" width="14.7109375" style="1" customWidth="1"/>
    <col min="3" max="3" width="11.7109375" style="1" customWidth="1"/>
    <col min="4" max="4" width="36.5703125" style="1" customWidth="1"/>
    <col min="5" max="5" width="61.85546875" style="1" customWidth="1"/>
    <col min="6" max="6" width="24.28515625" style="1" customWidth="1"/>
    <col min="7" max="7" width="8.85546875" style="1" customWidth="1"/>
    <col min="8" max="8" width="14.7109375" style="1" customWidth="1"/>
    <col min="9" max="9" width="15.42578125" style="1" customWidth="1"/>
    <col min="10" max="10" width="20" style="1" customWidth="1"/>
    <col min="11" max="11" width="17.7109375" style="1" customWidth="1"/>
    <col min="12" max="12" width="16.5703125" style="1" customWidth="1"/>
    <col min="13" max="13" width="15.42578125" style="1" customWidth="1"/>
    <col min="14" max="19" width="13.7109375" style="1" customWidth="1"/>
    <col min="20" max="16384" width="14.42578125" style="1"/>
  </cols>
  <sheetData>
    <row r="1" spans="1:19" ht="47.25">
      <c r="A1" s="46" t="s">
        <v>2092</v>
      </c>
      <c r="B1" s="139" t="s">
        <v>2091</v>
      </c>
      <c r="C1" s="46" t="s">
        <v>154</v>
      </c>
      <c r="D1" s="46" t="s">
        <v>1421</v>
      </c>
      <c r="E1" s="54" t="s">
        <v>156</v>
      </c>
      <c r="F1" s="46" t="s">
        <v>155</v>
      </c>
      <c r="G1" s="46" t="s">
        <v>154</v>
      </c>
      <c r="H1" s="46" t="s">
        <v>153</v>
      </c>
      <c r="I1" s="55" t="s">
        <v>152</v>
      </c>
      <c r="J1" s="46" t="s">
        <v>151</v>
      </c>
      <c r="K1" s="46">
        <f>SUM(K2:K570)</f>
        <v>2511300</v>
      </c>
      <c r="L1" s="55" t="s">
        <v>717</v>
      </c>
      <c r="M1" s="55" t="s">
        <v>1420</v>
      </c>
      <c r="N1" s="138"/>
      <c r="O1" s="138"/>
      <c r="P1" s="138"/>
      <c r="Q1" s="138"/>
      <c r="R1" s="138"/>
      <c r="S1" s="138"/>
    </row>
    <row r="2" spans="1:19" ht="31.5">
      <c r="A2" s="83">
        <v>11630</v>
      </c>
      <c r="B2" s="170"/>
      <c r="C2" s="18" t="s">
        <v>6</v>
      </c>
      <c r="D2" s="21" t="s">
        <v>2088</v>
      </c>
      <c r="E2" s="21" t="s">
        <v>2090</v>
      </c>
      <c r="F2" s="20" t="s">
        <v>23</v>
      </c>
      <c r="G2" s="18" t="str">
        <f>C2</f>
        <v>CSE</v>
      </c>
      <c r="H2" s="86">
        <v>10000</v>
      </c>
      <c r="I2" s="146">
        <v>45680</v>
      </c>
      <c r="J2" s="87"/>
      <c r="K2" s="57"/>
      <c r="L2" s="86" t="s">
        <v>2089</v>
      </c>
      <c r="M2" s="86">
        <v>72</v>
      </c>
      <c r="N2" s="85"/>
      <c r="O2" s="85"/>
      <c r="P2" s="85"/>
      <c r="Q2" s="85"/>
      <c r="R2" s="85"/>
      <c r="S2" s="85"/>
    </row>
    <row r="3" spans="1:19" ht="31.5">
      <c r="A3" s="83">
        <v>1164</v>
      </c>
      <c r="B3" s="170"/>
      <c r="C3" s="18" t="s">
        <v>6</v>
      </c>
      <c r="D3" s="21" t="s">
        <v>2088</v>
      </c>
      <c r="E3" s="21" t="s">
        <v>2087</v>
      </c>
      <c r="F3" s="20" t="s">
        <v>324</v>
      </c>
      <c r="G3" s="18" t="str">
        <f>C3</f>
        <v>CSE</v>
      </c>
      <c r="H3" s="86">
        <v>5000</v>
      </c>
      <c r="I3" s="146">
        <v>45680</v>
      </c>
      <c r="J3" s="87"/>
      <c r="K3" s="57"/>
      <c r="L3" s="86" t="s">
        <v>1906</v>
      </c>
      <c r="M3" s="86">
        <v>72</v>
      </c>
      <c r="N3" s="85"/>
      <c r="O3" s="85"/>
      <c r="P3" s="85"/>
      <c r="Q3" s="85"/>
      <c r="R3" s="85"/>
      <c r="S3" s="85"/>
    </row>
    <row r="4" spans="1:19" ht="47.25">
      <c r="A4" s="83">
        <v>1165</v>
      </c>
      <c r="B4" s="170"/>
      <c r="C4" s="18" t="s">
        <v>6</v>
      </c>
      <c r="D4" s="21" t="s">
        <v>869</v>
      </c>
      <c r="E4" s="21" t="s">
        <v>2086</v>
      </c>
      <c r="F4" s="20" t="s">
        <v>324</v>
      </c>
      <c r="G4" s="18" t="str">
        <f>C4</f>
        <v>CSE</v>
      </c>
      <c r="H4" s="86">
        <v>5000</v>
      </c>
      <c r="I4" s="146">
        <v>45680</v>
      </c>
      <c r="J4" s="87"/>
      <c r="K4" s="57"/>
      <c r="L4" s="86" t="s">
        <v>2085</v>
      </c>
      <c r="M4" s="86">
        <v>72</v>
      </c>
      <c r="N4" s="85"/>
      <c r="O4" s="85"/>
      <c r="P4" s="85"/>
      <c r="Q4" s="85"/>
      <c r="R4" s="85"/>
      <c r="S4" s="85"/>
    </row>
    <row r="5" spans="1:19" ht="15.75">
      <c r="A5" s="83">
        <v>1166</v>
      </c>
      <c r="B5" s="170"/>
      <c r="C5" s="18" t="s">
        <v>5</v>
      </c>
      <c r="D5" s="21" t="s">
        <v>72</v>
      </c>
      <c r="E5" s="21" t="s">
        <v>239</v>
      </c>
      <c r="F5" s="20" t="s">
        <v>193</v>
      </c>
      <c r="G5" s="18" t="str">
        <f>C5</f>
        <v>ECE</v>
      </c>
      <c r="H5" s="86">
        <v>6000</v>
      </c>
      <c r="I5" s="146">
        <v>45680</v>
      </c>
      <c r="J5" s="87"/>
      <c r="K5" s="57"/>
      <c r="L5" s="95">
        <v>45444</v>
      </c>
      <c r="M5" s="86">
        <v>72</v>
      </c>
      <c r="N5" s="85"/>
      <c r="O5" s="85"/>
      <c r="P5" s="85"/>
      <c r="Q5" s="85"/>
      <c r="R5" s="85"/>
      <c r="S5" s="85"/>
    </row>
    <row r="6" spans="1:19" ht="31.5">
      <c r="A6" s="83">
        <v>1167</v>
      </c>
      <c r="B6" s="170"/>
      <c r="C6" s="18" t="s">
        <v>5</v>
      </c>
      <c r="D6" s="21" t="s">
        <v>52</v>
      </c>
      <c r="E6" s="21" t="s">
        <v>2084</v>
      </c>
      <c r="F6" s="20" t="s">
        <v>16</v>
      </c>
      <c r="G6" s="18" t="str">
        <f>C6</f>
        <v>ECE</v>
      </c>
      <c r="H6" s="86">
        <v>3000</v>
      </c>
      <c r="I6" s="146">
        <v>45680</v>
      </c>
      <c r="J6" s="87"/>
      <c r="K6" s="57"/>
      <c r="L6" s="96">
        <v>45577</v>
      </c>
      <c r="M6" s="86">
        <v>72</v>
      </c>
      <c r="N6" s="85"/>
      <c r="O6" s="85"/>
      <c r="P6" s="85"/>
      <c r="Q6" s="85"/>
      <c r="R6" s="85"/>
      <c r="S6" s="85"/>
    </row>
    <row r="7" spans="1:19" ht="47.25">
      <c r="A7" s="83">
        <v>1168</v>
      </c>
      <c r="B7" s="170"/>
      <c r="C7" s="18" t="s">
        <v>4</v>
      </c>
      <c r="D7" s="21" t="s">
        <v>2082</v>
      </c>
      <c r="E7" s="21" t="s">
        <v>2083</v>
      </c>
      <c r="F7" s="20" t="s">
        <v>324</v>
      </c>
      <c r="G7" s="18" t="str">
        <f>C7</f>
        <v>EEE</v>
      </c>
      <c r="H7" s="86">
        <v>3000</v>
      </c>
      <c r="I7" s="146">
        <v>45680</v>
      </c>
      <c r="J7" s="87"/>
      <c r="K7" s="57"/>
      <c r="L7" s="86" t="s">
        <v>1014</v>
      </c>
      <c r="M7" s="86">
        <v>72</v>
      </c>
      <c r="N7" s="85"/>
      <c r="O7" s="85"/>
      <c r="P7" s="85"/>
      <c r="Q7" s="85"/>
      <c r="R7" s="85"/>
      <c r="S7" s="85"/>
    </row>
    <row r="8" spans="1:19" ht="31.5">
      <c r="A8" s="83">
        <v>1169</v>
      </c>
      <c r="B8" s="170"/>
      <c r="C8" s="18" t="s">
        <v>4</v>
      </c>
      <c r="D8" s="21" t="s">
        <v>2082</v>
      </c>
      <c r="E8" s="172" t="s">
        <v>2081</v>
      </c>
      <c r="F8" s="20" t="s">
        <v>16</v>
      </c>
      <c r="G8" s="18" t="str">
        <f>C8</f>
        <v>EEE</v>
      </c>
      <c r="H8" s="86">
        <v>1800</v>
      </c>
      <c r="I8" s="146">
        <v>45680</v>
      </c>
      <c r="J8" s="87"/>
      <c r="K8" s="57"/>
      <c r="L8" s="86" t="s">
        <v>960</v>
      </c>
      <c r="M8" s="86">
        <v>72</v>
      </c>
      <c r="N8" s="85"/>
      <c r="O8" s="85"/>
      <c r="P8" s="85"/>
      <c r="Q8" s="85"/>
      <c r="R8" s="85"/>
      <c r="S8" s="85"/>
    </row>
    <row r="9" spans="1:19" ht="31.5">
      <c r="A9" s="83">
        <v>1170</v>
      </c>
      <c r="B9" s="170"/>
      <c r="C9" s="18" t="s">
        <v>4</v>
      </c>
      <c r="D9" s="21" t="s">
        <v>455</v>
      </c>
      <c r="E9" s="21" t="s">
        <v>2080</v>
      </c>
      <c r="F9" s="20" t="s">
        <v>16</v>
      </c>
      <c r="G9" s="18" t="str">
        <f>C9</f>
        <v>EEE</v>
      </c>
      <c r="H9" s="86">
        <v>900</v>
      </c>
      <c r="I9" s="146">
        <v>45680</v>
      </c>
      <c r="J9" s="87"/>
      <c r="K9" s="57"/>
      <c r="L9" s="95">
        <v>45420</v>
      </c>
      <c r="M9" s="86">
        <v>72</v>
      </c>
      <c r="N9" s="85"/>
      <c r="O9" s="85"/>
      <c r="P9" s="85"/>
      <c r="Q9" s="85"/>
      <c r="R9" s="85"/>
      <c r="S9" s="85"/>
    </row>
    <row r="10" spans="1:19" ht="31.5">
      <c r="A10" s="83">
        <v>1171</v>
      </c>
      <c r="B10" s="170"/>
      <c r="C10" s="18" t="s">
        <v>4</v>
      </c>
      <c r="D10" s="21" t="s">
        <v>455</v>
      </c>
      <c r="E10" s="21" t="s">
        <v>2079</v>
      </c>
      <c r="F10" s="20" t="s">
        <v>16</v>
      </c>
      <c r="G10" s="18" t="str">
        <f>C10</f>
        <v>EEE</v>
      </c>
      <c r="H10" s="86">
        <v>900</v>
      </c>
      <c r="I10" s="146">
        <v>45680</v>
      </c>
      <c r="J10" s="87"/>
      <c r="K10" s="57"/>
      <c r="L10" s="86" t="s">
        <v>1991</v>
      </c>
      <c r="M10" s="86">
        <v>72</v>
      </c>
      <c r="N10" s="85"/>
      <c r="O10" s="85"/>
      <c r="P10" s="85"/>
      <c r="Q10" s="85"/>
      <c r="R10" s="85"/>
      <c r="S10" s="85"/>
    </row>
    <row r="11" spans="1:19" ht="31.5">
      <c r="A11" s="83">
        <v>1172</v>
      </c>
      <c r="B11" s="170"/>
      <c r="C11" s="18" t="s">
        <v>4</v>
      </c>
      <c r="D11" s="21" t="s">
        <v>455</v>
      </c>
      <c r="E11" s="21" t="s">
        <v>2078</v>
      </c>
      <c r="F11" s="20" t="s">
        <v>16</v>
      </c>
      <c r="G11" s="18" t="str">
        <f>C11</f>
        <v>EEE</v>
      </c>
      <c r="H11" s="86">
        <v>3000</v>
      </c>
      <c r="I11" s="146">
        <v>45680</v>
      </c>
      <c r="J11" s="87"/>
      <c r="K11" s="57"/>
      <c r="L11" s="86" t="s">
        <v>857</v>
      </c>
      <c r="M11" s="86">
        <v>72</v>
      </c>
      <c r="N11" s="85"/>
      <c r="O11" s="85"/>
      <c r="P11" s="85"/>
      <c r="Q11" s="85"/>
      <c r="R11" s="85"/>
      <c r="S11" s="85"/>
    </row>
    <row r="12" spans="1:19" ht="31.5">
      <c r="A12" s="83">
        <v>1173</v>
      </c>
      <c r="B12" s="170"/>
      <c r="C12" s="18" t="s">
        <v>4</v>
      </c>
      <c r="D12" s="21" t="s">
        <v>455</v>
      </c>
      <c r="E12" s="21" t="s">
        <v>2077</v>
      </c>
      <c r="F12" s="20" t="s">
        <v>16</v>
      </c>
      <c r="G12" s="18" t="str">
        <f>C12</f>
        <v>EEE</v>
      </c>
      <c r="H12" s="86">
        <v>900</v>
      </c>
      <c r="I12" s="146">
        <v>45680</v>
      </c>
      <c r="J12" s="87"/>
      <c r="K12" s="57"/>
      <c r="L12" s="86" t="s">
        <v>2076</v>
      </c>
      <c r="M12" s="86">
        <v>72</v>
      </c>
      <c r="N12" s="85"/>
      <c r="O12" s="85"/>
      <c r="P12" s="85"/>
      <c r="Q12" s="85"/>
      <c r="R12" s="85"/>
      <c r="S12" s="85"/>
    </row>
    <row r="13" spans="1:19" ht="31.5">
      <c r="A13" s="83">
        <v>1174</v>
      </c>
      <c r="B13" s="170"/>
      <c r="C13" s="18" t="s">
        <v>4</v>
      </c>
      <c r="D13" s="21" t="s">
        <v>772</v>
      </c>
      <c r="E13" s="21" t="s">
        <v>2075</v>
      </c>
      <c r="F13" s="20" t="s">
        <v>324</v>
      </c>
      <c r="G13" s="18" t="str">
        <f>C13</f>
        <v>EEE</v>
      </c>
      <c r="H13" s="86">
        <v>5000</v>
      </c>
      <c r="I13" s="146">
        <v>45680</v>
      </c>
      <c r="J13" s="87"/>
      <c r="K13" s="57"/>
      <c r="L13" s="95">
        <v>45301</v>
      </c>
      <c r="M13" s="86">
        <v>72</v>
      </c>
      <c r="N13" s="85"/>
      <c r="O13" s="85"/>
      <c r="P13" s="85"/>
      <c r="Q13" s="85"/>
      <c r="R13" s="85"/>
      <c r="S13" s="85"/>
    </row>
    <row r="14" spans="1:19" ht="31.5">
      <c r="A14" s="83">
        <v>1175</v>
      </c>
      <c r="B14" s="170"/>
      <c r="C14" s="18" t="s">
        <v>1</v>
      </c>
      <c r="D14" s="21" t="s">
        <v>786</v>
      </c>
      <c r="E14" s="21" t="s">
        <v>2074</v>
      </c>
      <c r="F14" s="20" t="s">
        <v>324</v>
      </c>
      <c r="G14" s="18" t="str">
        <f>C14</f>
        <v>S&amp;H</v>
      </c>
      <c r="H14" s="86">
        <v>5000</v>
      </c>
      <c r="I14" s="146">
        <v>45680</v>
      </c>
      <c r="J14" s="87"/>
      <c r="K14" s="57"/>
      <c r="L14" s="95">
        <v>45778</v>
      </c>
      <c r="M14" s="86">
        <v>72</v>
      </c>
      <c r="N14" s="85"/>
      <c r="O14" s="85"/>
      <c r="P14" s="85"/>
      <c r="Q14" s="85"/>
      <c r="R14" s="85"/>
      <c r="S14" s="85"/>
    </row>
    <row r="15" spans="1:19" ht="31.5">
      <c r="A15" s="83">
        <v>1176</v>
      </c>
      <c r="B15" s="170"/>
      <c r="C15" s="18" t="s">
        <v>1</v>
      </c>
      <c r="D15" s="21" t="s">
        <v>1020</v>
      </c>
      <c r="E15" s="172" t="s">
        <v>2073</v>
      </c>
      <c r="F15" s="20" t="s">
        <v>16</v>
      </c>
      <c r="G15" s="18" t="str">
        <f>C15</f>
        <v>S&amp;H</v>
      </c>
      <c r="H15" s="86">
        <v>3000</v>
      </c>
      <c r="I15" s="146">
        <v>45680</v>
      </c>
      <c r="J15" s="87"/>
      <c r="K15" s="57"/>
      <c r="L15" s="86" t="s">
        <v>1965</v>
      </c>
      <c r="M15" s="86">
        <v>72</v>
      </c>
      <c r="N15" s="85"/>
      <c r="O15" s="85"/>
      <c r="P15" s="85"/>
      <c r="Q15" s="85"/>
      <c r="R15" s="85"/>
      <c r="S15" s="85"/>
    </row>
    <row r="16" spans="1:19" ht="15.75">
      <c r="A16" s="83">
        <v>1177</v>
      </c>
      <c r="B16" s="170"/>
      <c r="C16" s="18" t="s">
        <v>1</v>
      </c>
      <c r="D16" s="21" t="s">
        <v>140</v>
      </c>
      <c r="E16" s="21" t="s">
        <v>166</v>
      </c>
      <c r="F16" s="20" t="s">
        <v>193</v>
      </c>
      <c r="G16" s="18" t="str">
        <f>C16</f>
        <v>S&amp;H</v>
      </c>
      <c r="H16" s="86">
        <v>2000</v>
      </c>
      <c r="I16" s="146">
        <v>45680</v>
      </c>
      <c r="J16" s="87"/>
      <c r="K16" s="57"/>
      <c r="L16" s="86" t="s">
        <v>2052</v>
      </c>
      <c r="M16" s="86">
        <v>72</v>
      </c>
      <c r="N16" s="85"/>
      <c r="O16" s="85"/>
      <c r="P16" s="85"/>
      <c r="Q16" s="85"/>
      <c r="R16" s="85"/>
      <c r="S16" s="85"/>
    </row>
    <row r="17" spans="1:19" ht="15.75">
      <c r="A17" s="83">
        <v>1178</v>
      </c>
      <c r="B17" s="170"/>
      <c r="C17" s="18" t="s">
        <v>1</v>
      </c>
      <c r="D17" s="21" t="s">
        <v>167</v>
      </c>
      <c r="E17" s="171" t="s">
        <v>2072</v>
      </c>
      <c r="F17" s="20" t="s">
        <v>16</v>
      </c>
      <c r="G17" s="18" t="str">
        <f>C17</f>
        <v>S&amp;H</v>
      </c>
      <c r="H17" s="86">
        <v>3000</v>
      </c>
      <c r="I17" s="146">
        <v>45680</v>
      </c>
      <c r="J17" s="87"/>
      <c r="K17" s="57"/>
      <c r="L17" s="86" t="s">
        <v>1965</v>
      </c>
      <c r="M17" s="86">
        <v>72</v>
      </c>
      <c r="N17" s="85"/>
      <c r="O17" s="85"/>
      <c r="P17" s="85"/>
      <c r="Q17" s="85"/>
      <c r="R17" s="85"/>
      <c r="S17" s="85"/>
    </row>
    <row r="18" spans="1:19" ht="15.75">
      <c r="A18" s="83">
        <v>1179</v>
      </c>
      <c r="B18" s="170"/>
      <c r="C18" s="18" t="s">
        <v>1</v>
      </c>
      <c r="D18" s="21" t="s">
        <v>167</v>
      </c>
      <c r="E18" s="21" t="s">
        <v>166</v>
      </c>
      <c r="F18" s="20" t="s">
        <v>193</v>
      </c>
      <c r="G18" s="18" t="str">
        <f>C18</f>
        <v>S&amp;H</v>
      </c>
      <c r="H18" s="86">
        <v>2000</v>
      </c>
      <c r="I18" s="146">
        <v>45680</v>
      </c>
      <c r="J18" s="87"/>
      <c r="K18" s="57"/>
      <c r="L18" s="86" t="s">
        <v>2071</v>
      </c>
      <c r="M18" s="86">
        <v>72</v>
      </c>
      <c r="N18" s="85"/>
      <c r="O18" s="85"/>
      <c r="P18" s="85"/>
      <c r="Q18" s="85"/>
      <c r="R18" s="85"/>
      <c r="S18" s="85"/>
    </row>
    <row r="19" spans="1:19" ht="31.5">
      <c r="A19" s="83">
        <v>1180</v>
      </c>
      <c r="B19" s="170"/>
      <c r="C19" s="18" t="s">
        <v>1</v>
      </c>
      <c r="D19" s="21" t="s">
        <v>2068</v>
      </c>
      <c r="E19" s="21" t="s">
        <v>2070</v>
      </c>
      <c r="F19" s="20" t="s">
        <v>16</v>
      </c>
      <c r="G19" s="18" t="str">
        <f>C19</f>
        <v>S&amp;H</v>
      </c>
      <c r="H19" s="86">
        <v>1800</v>
      </c>
      <c r="I19" s="146">
        <v>45680</v>
      </c>
      <c r="J19" s="87"/>
      <c r="K19" s="57"/>
      <c r="L19" s="86" t="s">
        <v>1218</v>
      </c>
      <c r="M19" s="86">
        <v>72</v>
      </c>
      <c r="N19" s="85"/>
      <c r="O19" s="85"/>
      <c r="P19" s="85"/>
      <c r="Q19" s="85"/>
      <c r="R19" s="85"/>
      <c r="S19" s="85"/>
    </row>
    <row r="20" spans="1:19" ht="47.25">
      <c r="A20" s="83">
        <v>1181</v>
      </c>
      <c r="B20" s="170"/>
      <c r="C20" s="18" t="s">
        <v>1</v>
      </c>
      <c r="D20" s="21" t="s">
        <v>2068</v>
      </c>
      <c r="E20" s="21" t="s">
        <v>2069</v>
      </c>
      <c r="F20" s="20" t="s">
        <v>16</v>
      </c>
      <c r="G20" s="18" t="str">
        <f>C20</f>
        <v>S&amp;H</v>
      </c>
      <c r="H20" s="86">
        <v>1800</v>
      </c>
      <c r="I20" s="146">
        <v>45680</v>
      </c>
      <c r="J20" s="87"/>
      <c r="K20" s="57"/>
      <c r="L20" s="86" t="s">
        <v>1012</v>
      </c>
      <c r="M20" s="86">
        <v>72</v>
      </c>
      <c r="N20" s="85"/>
      <c r="O20" s="85"/>
      <c r="P20" s="85"/>
      <c r="Q20" s="85"/>
      <c r="R20" s="85"/>
      <c r="S20" s="85"/>
    </row>
    <row r="21" spans="1:19" ht="31.5">
      <c r="A21" s="83">
        <v>1182</v>
      </c>
      <c r="B21" s="170"/>
      <c r="C21" s="18" t="s">
        <v>1</v>
      </c>
      <c r="D21" s="21" t="s">
        <v>2068</v>
      </c>
      <c r="E21" s="21" t="s">
        <v>2067</v>
      </c>
      <c r="F21" s="20" t="s">
        <v>16</v>
      </c>
      <c r="G21" s="18" t="str">
        <f>C21</f>
        <v>S&amp;H</v>
      </c>
      <c r="H21" s="86">
        <v>900</v>
      </c>
      <c r="I21" s="146">
        <v>45680</v>
      </c>
      <c r="J21" s="87"/>
      <c r="K21" s="57"/>
      <c r="L21" s="86" t="s">
        <v>1012</v>
      </c>
      <c r="M21" s="86">
        <v>72</v>
      </c>
      <c r="N21" s="85"/>
      <c r="O21" s="85"/>
      <c r="P21" s="85"/>
      <c r="Q21" s="85"/>
      <c r="R21" s="85"/>
      <c r="S21" s="85"/>
    </row>
    <row r="22" spans="1:19" ht="31.5">
      <c r="A22" s="83">
        <v>1183</v>
      </c>
      <c r="B22" s="170"/>
      <c r="C22" s="18" t="s">
        <v>5</v>
      </c>
      <c r="D22" s="21" t="s">
        <v>420</v>
      </c>
      <c r="E22" s="21" t="s">
        <v>2066</v>
      </c>
      <c r="F22" s="20" t="s">
        <v>16</v>
      </c>
      <c r="G22" s="18" t="str">
        <f>C22</f>
        <v>ECE</v>
      </c>
      <c r="H22" s="86">
        <v>3000</v>
      </c>
      <c r="I22" s="146">
        <v>45680</v>
      </c>
      <c r="J22" s="87"/>
      <c r="K22" s="57"/>
      <c r="L22" s="86" t="s">
        <v>1067</v>
      </c>
      <c r="M22" s="86">
        <v>72</v>
      </c>
      <c r="N22" s="85"/>
      <c r="O22" s="85"/>
      <c r="P22" s="85"/>
      <c r="Q22" s="85"/>
      <c r="R22" s="85"/>
      <c r="S22" s="85"/>
    </row>
    <row r="23" spans="1:19" ht="31.5">
      <c r="A23" s="83">
        <v>1184</v>
      </c>
      <c r="B23" s="170"/>
      <c r="C23" s="18" t="s">
        <v>5</v>
      </c>
      <c r="D23" s="21" t="s">
        <v>420</v>
      </c>
      <c r="E23" s="21" t="s">
        <v>2065</v>
      </c>
      <c r="F23" s="20" t="s">
        <v>16</v>
      </c>
      <c r="G23" s="18" t="str">
        <f>C23</f>
        <v>ECE</v>
      </c>
      <c r="H23" s="86">
        <v>1800</v>
      </c>
      <c r="I23" s="146">
        <v>45680</v>
      </c>
      <c r="J23" s="87"/>
      <c r="K23" s="57"/>
      <c r="L23" s="86" t="s">
        <v>1067</v>
      </c>
      <c r="M23" s="86">
        <v>72</v>
      </c>
      <c r="N23" s="85"/>
      <c r="O23" s="85"/>
      <c r="P23" s="85"/>
      <c r="Q23" s="85"/>
      <c r="R23" s="85"/>
      <c r="S23" s="85"/>
    </row>
    <row r="24" spans="1:19" ht="31.5">
      <c r="A24" s="83">
        <v>1185</v>
      </c>
      <c r="B24" s="170"/>
      <c r="C24" s="18" t="s">
        <v>5</v>
      </c>
      <c r="D24" s="21" t="s">
        <v>420</v>
      </c>
      <c r="E24" s="21" t="s">
        <v>2064</v>
      </c>
      <c r="F24" s="20" t="s">
        <v>16</v>
      </c>
      <c r="G24" s="18" t="str">
        <f>C24</f>
        <v>ECE</v>
      </c>
      <c r="H24" s="86">
        <v>3000</v>
      </c>
      <c r="I24" s="146">
        <v>45680</v>
      </c>
      <c r="J24" s="87"/>
      <c r="K24" s="57"/>
      <c r="L24" s="86" t="s">
        <v>923</v>
      </c>
      <c r="M24" s="86">
        <v>72</v>
      </c>
      <c r="N24" s="85"/>
      <c r="O24" s="85"/>
      <c r="P24" s="85"/>
      <c r="Q24" s="85"/>
      <c r="R24" s="85"/>
      <c r="S24" s="85"/>
    </row>
    <row r="25" spans="1:19" ht="31.5">
      <c r="A25" s="83">
        <v>1186</v>
      </c>
      <c r="B25" s="170"/>
      <c r="C25" s="18" t="s">
        <v>8</v>
      </c>
      <c r="D25" s="21" t="s">
        <v>34</v>
      </c>
      <c r="E25" s="21" t="s">
        <v>2063</v>
      </c>
      <c r="F25" s="20" t="s">
        <v>16</v>
      </c>
      <c r="G25" s="18" t="str">
        <f>C25</f>
        <v>CCE</v>
      </c>
      <c r="H25" s="86">
        <v>3000</v>
      </c>
      <c r="I25" s="146">
        <v>45680</v>
      </c>
      <c r="J25" s="87"/>
      <c r="K25" s="57"/>
      <c r="L25" s="95">
        <v>45393</v>
      </c>
      <c r="M25" s="86">
        <v>72</v>
      </c>
      <c r="N25" s="85"/>
      <c r="O25" s="85"/>
      <c r="P25" s="85"/>
      <c r="Q25" s="85"/>
      <c r="R25" s="85"/>
      <c r="S25" s="85"/>
    </row>
    <row r="26" spans="1:19" ht="31.5">
      <c r="A26" s="83">
        <v>1187</v>
      </c>
      <c r="B26" s="170"/>
      <c r="C26" s="18" t="s">
        <v>8</v>
      </c>
      <c r="D26" s="21" t="s">
        <v>34</v>
      </c>
      <c r="E26" s="21" t="s">
        <v>2062</v>
      </c>
      <c r="F26" s="20" t="s">
        <v>16</v>
      </c>
      <c r="G26" s="18" t="str">
        <f>C26</f>
        <v>CCE</v>
      </c>
      <c r="H26" s="86">
        <v>3000</v>
      </c>
      <c r="I26" s="146">
        <v>45680</v>
      </c>
      <c r="J26" s="87"/>
      <c r="K26" s="57"/>
      <c r="L26" s="95">
        <v>45393</v>
      </c>
      <c r="M26" s="86">
        <v>72</v>
      </c>
      <c r="N26" s="85"/>
      <c r="O26" s="85"/>
      <c r="P26" s="85"/>
      <c r="Q26" s="85"/>
      <c r="R26" s="85"/>
      <c r="S26" s="85"/>
    </row>
    <row r="27" spans="1:19" ht="31.5">
      <c r="A27" s="83">
        <v>1188</v>
      </c>
      <c r="B27" s="170"/>
      <c r="C27" s="18" t="s">
        <v>8</v>
      </c>
      <c r="D27" s="21" t="s">
        <v>34</v>
      </c>
      <c r="E27" s="21" t="s">
        <v>2061</v>
      </c>
      <c r="F27" s="20" t="s">
        <v>16</v>
      </c>
      <c r="G27" s="18" t="str">
        <f>C27</f>
        <v>CCE</v>
      </c>
      <c r="H27" s="86">
        <v>3000</v>
      </c>
      <c r="I27" s="146">
        <v>45680</v>
      </c>
      <c r="J27" s="87"/>
      <c r="K27" s="57"/>
      <c r="L27" s="95">
        <v>45393</v>
      </c>
      <c r="M27" s="86">
        <v>72</v>
      </c>
      <c r="N27" s="85"/>
      <c r="O27" s="85"/>
      <c r="P27" s="85"/>
      <c r="Q27" s="85"/>
      <c r="R27" s="85"/>
      <c r="S27" s="85"/>
    </row>
    <row r="28" spans="1:19" ht="47.25">
      <c r="A28" s="83">
        <v>1189</v>
      </c>
      <c r="B28" s="170"/>
      <c r="C28" s="18" t="s">
        <v>3</v>
      </c>
      <c r="D28" s="21" t="s">
        <v>360</v>
      </c>
      <c r="E28" s="21" t="s">
        <v>2060</v>
      </c>
      <c r="F28" s="20" t="s">
        <v>324</v>
      </c>
      <c r="G28" s="18" t="str">
        <f>C28</f>
        <v>IT</v>
      </c>
      <c r="H28" s="86">
        <v>3000</v>
      </c>
      <c r="I28" s="146">
        <v>45680</v>
      </c>
      <c r="J28" s="87"/>
      <c r="K28" s="57"/>
      <c r="L28" s="86" t="s">
        <v>2059</v>
      </c>
      <c r="M28" s="86">
        <v>72</v>
      </c>
      <c r="N28" s="85"/>
      <c r="O28" s="85"/>
      <c r="P28" s="85"/>
      <c r="Q28" s="85"/>
      <c r="R28" s="85"/>
      <c r="S28" s="85"/>
    </row>
    <row r="29" spans="1:19" ht="15.75">
      <c r="A29" s="46"/>
      <c r="B29" s="139"/>
      <c r="C29" s="46"/>
      <c r="D29" s="46"/>
      <c r="E29" s="46" t="s">
        <v>11</v>
      </c>
      <c r="F29" s="42"/>
      <c r="G29" s="90"/>
      <c r="H29" s="89">
        <f>SUM(H2:H28)</f>
        <v>83800</v>
      </c>
      <c r="I29" s="42" t="s">
        <v>718</v>
      </c>
      <c r="J29" s="42"/>
      <c r="K29" s="45">
        <f>H29</f>
        <v>83800</v>
      </c>
      <c r="L29" s="42"/>
      <c r="M29" s="46">
        <v>72</v>
      </c>
      <c r="N29" s="88"/>
      <c r="O29" s="88"/>
      <c r="P29" s="88"/>
      <c r="Q29" s="88"/>
      <c r="R29" s="88"/>
      <c r="S29" s="88"/>
    </row>
    <row r="30" spans="1:19" ht="47.25">
      <c r="A30" s="83">
        <v>1190</v>
      </c>
      <c r="B30" s="141">
        <v>45680</v>
      </c>
      <c r="C30" s="18" t="s">
        <v>4</v>
      </c>
      <c r="D30" s="21" t="s">
        <v>63</v>
      </c>
      <c r="E30" s="21" t="s">
        <v>2058</v>
      </c>
      <c r="F30" s="20" t="s">
        <v>324</v>
      </c>
      <c r="G30" s="18" t="str">
        <f>C30</f>
        <v>EEE</v>
      </c>
      <c r="H30" s="86">
        <v>5000</v>
      </c>
      <c r="I30" s="146">
        <v>45691</v>
      </c>
      <c r="J30" s="87"/>
      <c r="K30" s="57"/>
      <c r="L30" s="95">
        <v>45422</v>
      </c>
      <c r="M30" s="86">
        <v>73</v>
      </c>
      <c r="N30" s="85"/>
      <c r="O30" s="85"/>
      <c r="P30" s="85"/>
      <c r="Q30" s="85"/>
      <c r="R30" s="85"/>
      <c r="S30" s="85"/>
    </row>
    <row r="31" spans="1:19" ht="47.25">
      <c r="A31" s="83">
        <v>1191</v>
      </c>
      <c r="B31" s="141">
        <v>45680</v>
      </c>
      <c r="C31" s="18" t="s">
        <v>4</v>
      </c>
      <c r="D31" s="21" t="s">
        <v>63</v>
      </c>
      <c r="E31" s="21" t="s">
        <v>2057</v>
      </c>
      <c r="F31" s="20" t="s">
        <v>324</v>
      </c>
      <c r="G31" s="18" t="str">
        <f>C31</f>
        <v>EEE</v>
      </c>
      <c r="H31" s="86">
        <v>1800</v>
      </c>
      <c r="I31" s="146">
        <v>45691</v>
      </c>
      <c r="J31" s="87"/>
      <c r="K31" s="57"/>
      <c r="L31" s="86" t="s">
        <v>778</v>
      </c>
      <c r="M31" s="86">
        <v>73</v>
      </c>
      <c r="N31" s="85"/>
      <c r="O31" s="85"/>
      <c r="P31" s="85"/>
      <c r="Q31" s="85"/>
      <c r="R31" s="85"/>
      <c r="S31" s="85"/>
    </row>
    <row r="32" spans="1:19" ht="15.75">
      <c r="A32" s="83">
        <v>1192</v>
      </c>
      <c r="B32" s="141">
        <v>45680</v>
      </c>
      <c r="C32" s="18" t="s">
        <v>4</v>
      </c>
      <c r="D32" s="21" t="s">
        <v>63</v>
      </c>
      <c r="E32" s="21" t="s">
        <v>198</v>
      </c>
      <c r="F32" s="20" t="s">
        <v>193</v>
      </c>
      <c r="G32" s="18" t="str">
        <f>C32</f>
        <v>EEE</v>
      </c>
      <c r="H32" s="86">
        <v>4000</v>
      </c>
      <c r="I32" s="146">
        <v>45691</v>
      </c>
      <c r="J32" s="87"/>
      <c r="K32" s="57"/>
      <c r="L32" s="86" t="s">
        <v>1948</v>
      </c>
      <c r="M32" s="86">
        <v>73</v>
      </c>
      <c r="N32" s="85"/>
      <c r="O32" s="85"/>
      <c r="P32" s="85"/>
      <c r="Q32" s="85"/>
      <c r="R32" s="85"/>
      <c r="S32" s="85"/>
    </row>
    <row r="33" spans="1:19" ht="31.5">
      <c r="A33" s="83">
        <v>1193</v>
      </c>
      <c r="B33" s="141">
        <v>45680</v>
      </c>
      <c r="C33" s="18" t="s">
        <v>5</v>
      </c>
      <c r="D33" s="21" t="s">
        <v>178</v>
      </c>
      <c r="E33" s="21" t="s">
        <v>2056</v>
      </c>
      <c r="F33" s="20" t="s">
        <v>16</v>
      </c>
      <c r="G33" s="18" t="str">
        <f>C33</f>
        <v>ECE</v>
      </c>
      <c r="H33" s="86">
        <v>3000</v>
      </c>
      <c r="I33" s="146">
        <v>45691</v>
      </c>
      <c r="J33" s="87"/>
      <c r="K33" s="57"/>
      <c r="L33" s="86" t="s">
        <v>1996</v>
      </c>
      <c r="M33" s="86">
        <v>73</v>
      </c>
      <c r="N33" s="85"/>
      <c r="O33" s="85"/>
      <c r="P33" s="85"/>
      <c r="Q33" s="85"/>
      <c r="R33" s="85"/>
      <c r="S33" s="85"/>
    </row>
    <row r="34" spans="1:19" ht="31.5">
      <c r="A34" s="83">
        <v>1194</v>
      </c>
      <c r="B34" s="141">
        <v>45680</v>
      </c>
      <c r="C34" s="18" t="s">
        <v>5</v>
      </c>
      <c r="D34" s="21" t="s">
        <v>178</v>
      </c>
      <c r="E34" s="21" t="s">
        <v>2055</v>
      </c>
      <c r="F34" s="20" t="s">
        <v>16</v>
      </c>
      <c r="G34" s="18" t="str">
        <f>C34</f>
        <v>ECE</v>
      </c>
      <c r="H34" s="86">
        <v>3000</v>
      </c>
      <c r="I34" s="146">
        <v>45691</v>
      </c>
      <c r="J34" s="87"/>
      <c r="K34" s="57"/>
      <c r="L34" s="86" t="s">
        <v>1996</v>
      </c>
      <c r="M34" s="86">
        <v>73</v>
      </c>
      <c r="N34" s="85"/>
      <c r="O34" s="85"/>
      <c r="P34" s="85"/>
      <c r="Q34" s="85"/>
      <c r="R34" s="85"/>
      <c r="S34" s="85"/>
    </row>
    <row r="35" spans="1:19" ht="31.5">
      <c r="A35" s="83">
        <v>1195</v>
      </c>
      <c r="B35" s="141">
        <v>45680</v>
      </c>
      <c r="C35" s="18" t="s">
        <v>5</v>
      </c>
      <c r="D35" s="21" t="s">
        <v>178</v>
      </c>
      <c r="E35" s="21" t="s">
        <v>2054</v>
      </c>
      <c r="F35" s="20" t="s">
        <v>16</v>
      </c>
      <c r="G35" s="18" t="str">
        <f>C35</f>
        <v>ECE</v>
      </c>
      <c r="H35" s="86">
        <v>1500</v>
      </c>
      <c r="I35" s="146">
        <v>45691</v>
      </c>
      <c r="J35" s="87"/>
      <c r="K35" s="57"/>
      <c r="L35" s="86" t="s">
        <v>1996</v>
      </c>
      <c r="M35" s="86">
        <v>73</v>
      </c>
      <c r="N35" s="85"/>
      <c r="O35" s="85"/>
      <c r="P35" s="85"/>
      <c r="Q35" s="85"/>
      <c r="R35" s="85"/>
      <c r="S35" s="85"/>
    </row>
    <row r="36" spans="1:19" ht="15.75">
      <c r="A36" s="83">
        <v>1196</v>
      </c>
      <c r="B36" s="141">
        <v>45680</v>
      </c>
      <c r="C36" s="18" t="s">
        <v>5</v>
      </c>
      <c r="D36" s="21" t="s">
        <v>178</v>
      </c>
      <c r="E36" s="21" t="s">
        <v>871</v>
      </c>
      <c r="F36" s="20" t="s">
        <v>193</v>
      </c>
      <c r="G36" s="18" t="str">
        <f>C36</f>
        <v>ECE</v>
      </c>
      <c r="H36" s="86">
        <v>28000</v>
      </c>
      <c r="I36" s="146">
        <v>45691</v>
      </c>
      <c r="J36" s="87"/>
      <c r="K36" s="57"/>
      <c r="L36" s="86" t="s">
        <v>1948</v>
      </c>
      <c r="M36" s="86">
        <v>73</v>
      </c>
      <c r="N36" s="85"/>
      <c r="O36" s="85"/>
      <c r="P36" s="85"/>
      <c r="Q36" s="85"/>
      <c r="R36" s="85"/>
      <c r="S36" s="85"/>
    </row>
    <row r="37" spans="1:19" ht="31.5">
      <c r="A37" s="83">
        <v>1197</v>
      </c>
      <c r="B37" s="141">
        <v>45666</v>
      </c>
      <c r="C37" s="18" t="s">
        <v>8</v>
      </c>
      <c r="D37" s="21" t="s">
        <v>1276</v>
      </c>
      <c r="E37" s="21" t="s">
        <v>2053</v>
      </c>
      <c r="F37" s="20" t="s">
        <v>16</v>
      </c>
      <c r="G37" s="18" t="str">
        <f>C37</f>
        <v>CCE</v>
      </c>
      <c r="H37" s="86">
        <v>3000</v>
      </c>
      <c r="I37" s="146">
        <v>45691</v>
      </c>
      <c r="J37" s="87"/>
      <c r="K37" s="57"/>
      <c r="L37" s="86" t="s">
        <v>2052</v>
      </c>
      <c r="M37" s="86">
        <v>73</v>
      </c>
      <c r="N37" s="85"/>
      <c r="O37" s="85"/>
      <c r="P37" s="85"/>
      <c r="Q37" s="85"/>
      <c r="R37" s="85"/>
      <c r="S37" s="85"/>
    </row>
    <row r="38" spans="1:19" ht="15.75">
      <c r="A38" s="83">
        <v>1198</v>
      </c>
      <c r="B38" s="141">
        <v>45678</v>
      </c>
      <c r="C38" s="18" t="s">
        <v>5</v>
      </c>
      <c r="D38" s="21" t="s">
        <v>72</v>
      </c>
      <c r="E38" s="21" t="s">
        <v>198</v>
      </c>
      <c r="F38" s="20" t="s">
        <v>193</v>
      </c>
      <c r="G38" s="18" t="str">
        <f>C38</f>
        <v>ECE</v>
      </c>
      <c r="H38" s="86">
        <v>4000</v>
      </c>
      <c r="I38" s="146">
        <v>45691</v>
      </c>
      <c r="J38" s="87"/>
      <c r="K38" s="57"/>
      <c r="L38" s="86" t="s">
        <v>2051</v>
      </c>
      <c r="M38" s="86">
        <v>73</v>
      </c>
      <c r="N38" s="85"/>
      <c r="O38" s="85"/>
      <c r="P38" s="85"/>
      <c r="Q38" s="85"/>
      <c r="R38" s="85"/>
      <c r="S38" s="85"/>
    </row>
    <row r="39" spans="1:19" ht="63">
      <c r="A39" s="83">
        <v>1199</v>
      </c>
      <c r="B39" s="141">
        <v>45678</v>
      </c>
      <c r="C39" s="18" t="s">
        <v>5</v>
      </c>
      <c r="D39" s="21" t="s">
        <v>26</v>
      </c>
      <c r="E39" s="21" t="s">
        <v>2050</v>
      </c>
      <c r="F39" s="20" t="s">
        <v>23</v>
      </c>
      <c r="G39" s="18" t="str">
        <f>C39</f>
        <v>ECE</v>
      </c>
      <c r="H39" s="86">
        <v>6000</v>
      </c>
      <c r="I39" s="146">
        <v>45691</v>
      </c>
      <c r="J39" s="87"/>
      <c r="K39" s="57"/>
      <c r="L39" s="95">
        <v>45809</v>
      </c>
      <c r="M39" s="86">
        <v>73</v>
      </c>
      <c r="N39" s="85"/>
      <c r="O39" s="85"/>
      <c r="P39" s="85"/>
      <c r="Q39" s="85"/>
      <c r="R39" s="85"/>
      <c r="S39" s="85"/>
    </row>
    <row r="40" spans="1:19" ht="47.25">
      <c r="A40" s="83">
        <v>1200</v>
      </c>
      <c r="B40" s="141">
        <v>45680</v>
      </c>
      <c r="C40" s="18" t="s">
        <v>0</v>
      </c>
      <c r="D40" s="21" t="s">
        <v>2049</v>
      </c>
      <c r="E40" s="21" t="s">
        <v>2048</v>
      </c>
      <c r="F40" s="20" t="s">
        <v>16</v>
      </c>
      <c r="G40" s="18" t="str">
        <f>C40</f>
        <v>Maths</v>
      </c>
      <c r="H40" s="86">
        <v>3000</v>
      </c>
      <c r="I40" s="146">
        <v>45691</v>
      </c>
      <c r="J40" s="87"/>
      <c r="K40" s="57"/>
      <c r="L40" s="95">
        <v>45509</v>
      </c>
      <c r="M40" s="86">
        <v>73</v>
      </c>
      <c r="N40" s="85"/>
      <c r="O40" s="85"/>
      <c r="P40" s="85"/>
      <c r="Q40" s="85"/>
      <c r="R40" s="85"/>
      <c r="S40" s="85"/>
    </row>
    <row r="41" spans="1:19" ht="31.5">
      <c r="A41" s="83">
        <v>1201</v>
      </c>
      <c r="B41" s="141">
        <v>45665</v>
      </c>
      <c r="C41" s="18" t="s">
        <v>6</v>
      </c>
      <c r="D41" s="21" t="s">
        <v>679</v>
      </c>
      <c r="E41" s="21" t="s">
        <v>2047</v>
      </c>
      <c r="F41" s="20" t="s">
        <v>23</v>
      </c>
      <c r="G41" s="18" t="str">
        <f>C41</f>
        <v>CSE</v>
      </c>
      <c r="H41" s="86">
        <v>6000</v>
      </c>
      <c r="I41" s="146">
        <v>45691</v>
      </c>
      <c r="J41" s="87"/>
      <c r="K41" s="57"/>
      <c r="L41" s="95">
        <v>45870</v>
      </c>
      <c r="M41" s="86">
        <v>73</v>
      </c>
      <c r="N41" s="85"/>
      <c r="O41" s="85"/>
      <c r="P41" s="85"/>
      <c r="Q41" s="85"/>
      <c r="R41" s="85"/>
      <c r="S41" s="85"/>
    </row>
    <row r="42" spans="1:19" ht="47.25">
      <c r="A42" s="83">
        <v>1202</v>
      </c>
      <c r="B42" s="141">
        <v>45679</v>
      </c>
      <c r="C42" s="18" t="s">
        <v>6</v>
      </c>
      <c r="D42" s="21" t="s">
        <v>337</v>
      </c>
      <c r="E42" s="21" t="s">
        <v>2046</v>
      </c>
      <c r="F42" s="20" t="s">
        <v>23</v>
      </c>
      <c r="G42" s="18" t="str">
        <f>C42</f>
        <v>CSE</v>
      </c>
      <c r="H42" s="86">
        <v>6000</v>
      </c>
      <c r="I42" s="146">
        <v>45691</v>
      </c>
      <c r="J42" s="87"/>
      <c r="K42" s="57"/>
      <c r="L42" s="95">
        <v>45363</v>
      </c>
      <c r="M42" s="86">
        <v>73</v>
      </c>
      <c r="N42" s="85"/>
      <c r="O42" s="85"/>
      <c r="P42" s="85"/>
      <c r="Q42" s="85"/>
      <c r="R42" s="85"/>
      <c r="S42" s="85"/>
    </row>
    <row r="43" spans="1:19" ht="31.5">
      <c r="A43" s="83">
        <v>1203</v>
      </c>
      <c r="B43" s="141">
        <v>45668</v>
      </c>
      <c r="C43" s="18" t="s">
        <v>5</v>
      </c>
      <c r="D43" s="21" t="s">
        <v>269</v>
      </c>
      <c r="E43" s="21" t="s">
        <v>2045</v>
      </c>
      <c r="F43" s="20" t="s">
        <v>324</v>
      </c>
      <c r="G43" s="18" t="str">
        <f>C43</f>
        <v>ECE</v>
      </c>
      <c r="H43" s="86">
        <v>3000</v>
      </c>
      <c r="I43" s="146">
        <v>45691</v>
      </c>
      <c r="J43" s="87"/>
      <c r="K43" s="57"/>
      <c r="L43" s="95">
        <v>45962</v>
      </c>
      <c r="M43" s="86">
        <v>73</v>
      </c>
      <c r="N43" s="85"/>
      <c r="O43" s="85"/>
      <c r="P43" s="85"/>
      <c r="Q43" s="85"/>
      <c r="R43" s="85"/>
      <c r="S43" s="85"/>
    </row>
    <row r="44" spans="1:19" ht="47.25">
      <c r="A44" s="83">
        <v>1204</v>
      </c>
      <c r="B44" s="141">
        <v>45679</v>
      </c>
      <c r="C44" s="18" t="s">
        <v>5</v>
      </c>
      <c r="D44" s="21" t="s">
        <v>173</v>
      </c>
      <c r="E44" s="21" t="s">
        <v>2044</v>
      </c>
      <c r="F44" s="20" t="s">
        <v>23</v>
      </c>
      <c r="G44" s="18" t="str">
        <f>C44</f>
        <v>ECE</v>
      </c>
      <c r="H44" s="86">
        <v>10000</v>
      </c>
      <c r="I44" s="146">
        <v>45691</v>
      </c>
      <c r="J44" s="87"/>
      <c r="K44" s="57"/>
      <c r="L44" s="86" t="s">
        <v>2043</v>
      </c>
      <c r="M44" s="86">
        <v>73</v>
      </c>
      <c r="N44" s="85"/>
      <c r="O44" s="85"/>
      <c r="P44" s="85"/>
      <c r="Q44" s="85"/>
      <c r="R44" s="85"/>
      <c r="S44" s="85"/>
    </row>
    <row r="45" spans="1:19" ht="15.75">
      <c r="A45" s="83">
        <v>1205</v>
      </c>
      <c r="B45" s="141">
        <v>45679</v>
      </c>
      <c r="C45" s="18" t="s">
        <v>5</v>
      </c>
      <c r="D45" s="21" t="s">
        <v>173</v>
      </c>
      <c r="E45" s="21" t="s">
        <v>2042</v>
      </c>
      <c r="F45" s="20" t="s">
        <v>193</v>
      </c>
      <c r="G45" s="18" t="str">
        <f>C45</f>
        <v>ECE</v>
      </c>
      <c r="H45" s="86">
        <v>22000</v>
      </c>
      <c r="I45" s="146">
        <v>45691</v>
      </c>
      <c r="J45" s="87"/>
      <c r="K45" s="57"/>
      <c r="L45" s="86" t="s">
        <v>1003</v>
      </c>
      <c r="M45" s="86">
        <v>73</v>
      </c>
      <c r="N45" s="85"/>
      <c r="O45" s="85"/>
      <c r="P45" s="85"/>
      <c r="Q45" s="85"/>
      <c r="R45" s="85"/>
      <c r="S45" s="85"/>
    </row>
    <row r="46" spans="1:19" ht="31.5">
      <c r="A46" s="83">
        <v>1206</v>
      </c>
      <c r="B46" s="141">
        <v>45679</v>
      </c>
      <c r="C46" s="18" t="s">
        <v>7</v>
      </c>
      <c r="D46" s="21" t="s">
        <v>2038</v>
      </c>
      <c r="E46" s="21" t="s">
        <v>2041</v>
      </c>
      <c r="F46" s="20" t="s">
        <v>16</v>
      </c>
      <c r="G46" s="18" t="str">
        <f>C46</f>
        <v>CSBS</v>
      </c>
      <c r="H46" s="86">
        <v>1800</v>
      </c>
      <c r="I46" s="146">
        <v>45691</v>
      </c>
      <c r="J46" s="87"/>
      <c r="K46" s="57"/>
      <c r="L46" s="86" t="s">
        <v>1996</v>
      </c>
      <c r="M46" s="86">
        <v>73</v>
      </c>
      <c r="N46" s="85"/>
      <c r="O46" s="85"/>
      <c r="P46" s="85"/>
      <c r="Q46" s="85"/>
      <c r="R46" s="85"/>
      <c r="S46" s="85"/>
    </row>
    <row r="47" spans="1:19" ht="31.5">
      <c r="A47" s="83">
        <v>1207</v>
      </c>
      <c r="B47" s="141">
        <v>45679</v>
      </c>
      <c r="C47" s="18" t="s">
        <v>7</v>
      </c>
      <c r="D47" s="21" t="s">
        <v>2038</v>
      </c>
      <c r="E47" s="21" t="s">
        <v>2040</v>
      </c>
      <c r="F47" s="20" t="s">
        <v>16</v>
      </c>
      <c r="G47" s="18" t="str">
        <f>C47</f>
        <v>CSBS</v>
      </c>
      <c r="H47" s="86">
        <v>1800</v>
      </c>
      <c r="I47" s="146">
        <v>45691</v>
      </c>
      <c r="J47" s="87"/>
      <c r="K47" s="57"/>
      <c r="L47" s="86" t="s">
        <v>930</v>
      </c>
      <c r="M47" s="86">
        <v>73</v>
      </c>
      <c r="N47" s="85"/>
      <c r="O47" s="85"/>
      <c r="P47" s="85"/>
      <c r="Q47" s="85"/>
      <c r="R47" s="85"/>
      <c r="S47" s="85"/>
    </row>
    <row r="48" spans="1:19" ht="31.5">
      <c r="A48" s="83">
        <v>1208</v>
      </c>
      <c r="B48" s="141">
        <v>45679</v>
      </c>
      <c r="C48" s="18" t="s">
        <v>7</v>
      </c>
      <c r="D48" s="21" t="s">
        <v>2038</v>
      </c>
      <c r="E48" s="21" t="s">
        <v>2039</v>
      </c>
      <c r="F48" s="20" t="s">
        <v>16</v>
      </c>
      <c r="G48" s="18" t="str">
        <f>C48</f>
        <v>CSBS</v>
      </c>
      <c r="H48" s="86">
        <v>1800</v>
      </c>
      <c r="I48" s="146">
        <v>45691</v>
      </c>
      <c r="J48" s="87"/>
      <c r="K48" s="57"/>
      <c r="L48" s="95">
        <v>45392</v>
      </c>
      <c r="M48" s="86">
        <v>73</v>
      </c>
      <c r="N48" s="85"/>
      <c r="O48" s="85"/>
      <c r="P48" s="85"/>
      <c r="Q48" s="85"/>
      <c r="R48" s="85"/>
      <c r="S48" s="85"/>
    </row>
    <row r="49" spans="1:19" ht="31.5">
      <c r="A49" s="83">
        <v>1209</v>
      </c>
      <c r="B49" s="141">
        <v>45679</v>
      </c>
      <c r="C49" s="18" t="s">
        <v>7</v>
      </c>
      <c r="D49" s="21" t="s">
        <v>2038</v>
      </c>
      <c r="E49" s="21" t="s">
        <v>2037</v>
      </c>
      <c r="F49" s="20" t="s">
        <v>16</v>
      </c>
      <c r="G49" s="18" t="str">
        <f>C49</f>
        <v>CSBS</v>
      </c>
      <c r="H49" s="86">
        <v>1800</v>
      </c>
      <c r="I49" s="146">
        <v>45691</v>
      </c>
      <c r="J49" s="87"/>
      <c r="K49" s="57"/>
      <c r="L49" s="86" t="s">
        <v>768</v>
      </c>
      <c r="M49" s="86">
        <v>73</v>
      </c>
      <c r="N49" s="85"/>
      <c r="O49" s="85"/>
      <c r="P49" s="85"/>
      <c r="Q49" s="85"/>
      <c r="R49" s="85"/>
      <c r="S49" s="85"/>
    </row>
    <row r="50" spans="1:19" ht="31.5">
      <c r="A50" s="83">
        <v>1210</v>
      </c>
      <c r="B50" s="141">
        <v>45680</v>
      </c>
      <c r="C50" s="18" t="s">
        <v>1</v>
      </c>
      <c r="D50" s="21" t="s">
        <v>388</v>
      </c>
      <c r="E50" s="21" t="s">
        <v>2036</v>
      </c>
      <c r="F50" s="20" t="s">
        <v>23</v>
      </c>
      <c r="G50" s="18" t="str">
        <f>C50</f>
        <v>S&amp;H</v>
      </c>
      <c r="H50" s="86">
        <v>10000</v>
      </c>
      <c r="I50" s="146">
        <v>45691</v>
      </c>
      <c r="J50" s="87"/>
      <c r="K50" s="57"/>
      <c r="L50" s="95">
        <v>45630</v>
      </c>
      <c r="M50" s="86">
        <v>73</v>
      </c>
      <c r="N50" s="85"/>
      <c r="O50" s="85"/>
      <c r="P50" s="85"/>
      <c r="Q50" s="85"/>
      <c r="R50" s="85"/>
      <c r="S50" s="85"/>
    </row>
    <row r="51" spans="1:19" ht="47.25">
      <c r="A51" s="83">
        <v>1211</v>
      </c>
      <c r="B51" s="141">
        <v>45680</v>
      </c>
      <c r="C51" s="18" t="s">
        <v>1</v>
      </c>
      <c r="D51" s="21" t="s">
        <v>388</v>
      </c>
      <c r="E51" s="21" t="s">
        <v>2035</v>
      </c>
      <c r="F51" s="20" t="s">
        <v>23</v>
      </c>
      <c r="G51" s="18" t="str">
        <f>C51</f>
        <v>S&amp;H</v>
      </c>
      <c r="H51" s="86">
        <v>6000</v>
      </c>
      <c r="I51" s="146">
        <v>45691</v>
      </c>
      <c r="J51" s="87"/>
      <c r="K51" s="57"/>
      <c r="L51" s="86" t="s">
        <v>2034</v>
      </c>
      <c r="M51" s="86">
        <v>73</v>
      </c>
      <c r="N51" s="85"/>
      <c r="O51" s="85"/>
      <c r="P51" s="85"/>
      <c r="Q51" s="85"/>
      <c r="R51" s="85"/>
      <c r="S51" s="85"/>
    </row>
    <row r="52" spans="1:19" ht="31.5">
      <c r="A52" s="83">
        <v>1212</v>
      </c>
      <c r="B52" s="141">
        <v>45680</v>
      </c>
      <c r="C52" s="18" t="s">
        <v>1</v>
      </c>
      <c r="D52" s="21" t="s">
        <v>388</v>
      </c>
      <c r="E52" s="21" t="s">
        <v>2033</v>
      </c>
      <c r="F52" s="20" t="s">
        <v>23</v>
      </c>
      <c r="G52" s="18" t="str">
        <f>C52</f>
        <v>S&amp;H</v>
      </c>
      <c r="H52" s="86">
        <v>6000</v>
      </c>
      <c r="I52" s="146">
        <v>45691</v>
      </c>
      <c r="J52" s="87"/>
      <c r="K52" s="57"/>
      <c r="L52" s="86" t="s">
        <v>778</v>
      </c>
      <c r="M52" s="86">
        <v>73</v>
      </c>
      <c r="N52" s="85"/>
      <c r="O52" s="85"/>
      <c r="P52" s="85"/>
      <c r="Q52" s="85"/>
      <c r="R52" s="85"/>
      <c r="S52" s="85"/>
    </row>
    <row r="53" spans="1:19" ht="47.25">
      <c r="A53" s="83">
        <v>1213</v>
      </c>
      <c r="B53" s="141">
        <v>45680</v>
      </c>
      <c r="C53" s="18" t="s">
        <v>1</v>
      </c>
      <c r="D53" s="21" t="s">
        <v>388</v>
      </c>
      <c r="E53" s="21" t="s">
        <v>2032</v>
      </c>
      <c r="F53" s="20" t="s">
        <v>23</v>
      </c>
      <c r="G53" s="18" t="str">
        <f>C53</f>
        <v>S&amp;H</v>
      </c>
      <c r="H53" s="86">
        <v>6000</v>
      </c>
      <c r="I53" s="146">
        <v>45691</v>
      </c>
      <c r="J53" s="87"/>
      <c r="K53" s="57"/>
      <c r="L53" s="86" t="s">
        <v>1067</v>
      </c>
      <c r="M53" s="86">
        <v>73</v>
      </c>
      <c r="N53" s="85"/>
      <c r="O53" s="85"/>
      <c r="P53" s="85"/>
      <c r="Q53" s="85"/>
      <c r="R53" s="85"/>
      <c r="S53" s="85"/>
    </row>
    <row r="54" spans="1:19" ht="47.25">
      <c r="A54" s="83">
        <v>1214</v>
      </c>
      <c r="B54" s="141">
        <v>45680</v>
      </c>
      <c r="C54" s="18" t="s">
        <v>1</v>
      </c>
      <c r="D54" s="21" t="s">
        <v>388</v>
      </c>
      <c r="E54" s="21" t="s">
        <v>2031</v>
      </c>
      <c r="F54" s="20" t="s">
        <v>23</v>
      </c>
      <c r="G54" s="18" t="str">
        <f>C54</f>
        <v>S&amp;H</v>
      </c>
      <c r="H54" s="86">
        <v>3000</v>
      </c>
      <c r="I54" s="146">
        <v>45691</v>
      </c>
      <c r="J54" s="87"/>
      <c r="K54" s="57"/>
      <c r="L54" s="86" t="s">
        <v>2030</v>
      </c>
      <c r="M54" s="86">
        <v>73</v>
      </c>
      <c r="N54" s="85"/>
      <c r="O54" s="85"/>
      <c r="P54" s="85"/>
      <c r="Q54" s="85"/>
      <c r="R54" s="85"/>
      <c r="S54" s="85"/>
    </row>
    <row r="55" spans="1:19" ht="15.75">
      <c r="A55" s="83">
        <v>1215</v>
      </c>
      <c r="B55" s="141">
        <v>45680</v>
      </c>
      <c r="C55" s="18" t="s">
        <v>1</v>
      </c>
      <c r="D55" s="21" t="s">
        <v>388</v>
      </c>
      <c r="E55" s="21" t="s">
        <v>1404</v>
      </c>
      <c r="F55" s="20" t="s">
        <v>193</v>
      </c>
      <c r="G55" s="18" t="str">
        <f>C55</f>
        <v>S&amp;H</v>
      </c>
      <c r="H55" s="86">
        <v>24000</v>
      </c>
      <c r="I55" s="146">
        <v>45691</v>
      </c>
      <c r="J55" s="87"/>
      <c r="K55" s="57"/>
      <c r="L55" s="86" t="s">
        <v>2029</v>
      </c>
      <c r="M55" s="86">
        <v>73</v>
      </c>
      <c r="N55" s="85"/>
      <c r="O55" s="85"/>
      <c r="P55" s="85"/>
      <c r="Q55" s="85"/>
      <c r="R55" s="85"/>
      <c r="S55" s="85"/>
    </row>
    <row r="56" spans="1:19" ht="31.5">
      <c r="A56" s="83">
        <v>1216</v>
      </c>
      <c r="B56" s="141">
        <v>45680</v>
      </c>
      <c r="C56" s="18" t="s">
        <v>4</v>
      </c>
      <c r="D56" s="21" t="s">
        <v>1949</v>
      </c>
      <c r="E56" s="21" t="s">
        <v>2028</v>
      </c>
      <c r="F56" s="20" t="s">
        <v>23</v>
      </c>
      <c r="G56" s="18" t="str">
        <f>C56</f>
        <v>EEE</v>
      </c>
      <c r="H56" s="86">
        <v>6000</v>
      </c>
      <c r="I56" s="146">
        <v>45691</v>
      </c>
      <c r="J56" s="87"/>
      <c r="K56" s="57"/>
      <c r="L56" s="95">
        <v>44937</v>
      </c>
      <c r="M56" s="86">
        <v>73</v>
      </c>
      <c r="N56" s="85"/>
      <c r="O56" s="85"/>
      <c r="P56" s="85"/>
      <c r="Q56" s="85"/>
      <c r="R56" s="85"/>
      <c r="S56" s="85"/>
    </row>
    <row r="57" spans="1:19" ht="47.25">
      <c r="A57" s="83">
        <v>1217</v>
      </c>
      <c r="B57" s="141">
        <v>45680</v>
      </c>
      <c r="C57" s="18" t="s">
        <v>4</v>
      </c>
      <c r="D57" s="21" t="s">
        <v>1949</v>
      </c>
      <c r="E57" s="21" t="s">
        <v>2027</v>
      </c>
      <c r="F57" s="20" t="s">
        <v>23</v>
      </c>
      <c r="G57" s="18" t="str">
        <f>C57</f>
        <v>EEE</v>
      </c>
      <c r="H57" s="86">
        <v>6000</v>
      </c>
      <c r="I57" s="146">
        <v>45691</v>
      </c>
      <c r="J57" s="87"/>
      <c r="K57" s="57"/>
      <c r="L57" s="86" t="s">
        <v>2026</v>
      </c>
      <c r="M57" s="86">
        <v>73</v>
      </c>
      <c r="N57" s="85"/>
      <c r="O57" s="85"/>
      <c r="P57" s="85"/>
      <c r="Q57" s="85"/>
      <c r="R57" s="85"/>
      <c r="S57" s="85"/>
    </row>
    <row r="58" spans="1:19" ht="31.5">
      <c r="A58" s="83">
        <v>1218</v>
      </c>
      <c r="B58" s="141">
        <v>45679</v>
      </c>
      <c r="C58" s="18" t="s">
        <v>2</v>
      </c>
      <c r="D58" s="21" t="s">
        <v>472</v>
      </c>
      <c r="E58" s="21" t="s">
        <v>2025</v>
      </c>
      <c r="F58" s="20" t="s">
        <v>16</v>
      </c>
      <c r="G58" s="18" t="str">
        <f>C58</f>
        <v>Mech</v>
      </c>
      <c r="H58" s="86">
        <v>3000</v>
      </c>
      <c r="I58" s="146">
        <v>45691</v>
      </c>
      <c r="J58" s="87"/>
      <c r="K58" s="57"/>
      <c r="L58" s="86" t="s">
        <v>812</v>
      </c>
      <c r="M58" s="86">
        <v>73</v>
      </c>
      <c r="N58" s="85"/>
      <c r="O58" s="85"/>
      <c r="P58" s="85"/>
      <c r="Q58" s="85"/>
      <c r="R58" s="85"/>
      <c r="S58" s="85"/>
    </row>
    <row r="59" spans="1:19" ht="31.5">
      <c r="A59" s="83">
        <v>1219</v>
      </c>
      <c r="B59" s="141">
        <v>45679</v>
      </c>
      <c r="C59" s="18" t="s">
        <v>2</v>
      </c>
      <c r="D59" s="21" t="s">
        <v>472</v>
      </c>
      <c r="E59" s="21" t="s">
        <v>2024</v>
      </c>
      <c r="F59" s="20" t="s">
        <v>16</v>
      </c>
      <c r="G59" s="18" t="str">
        <f>C59</f>
        <v>Mech</v>
      </c>
      <c r="H59" s="86">
        <v>1800</v>
      </c>
      <c r="I59" s="146">
        <v>45691</v>
      </c>
      <c r="J59" s="87"/>
      <c r="K59" s="57"/>
      <c r="L59" s="86" t="s">
        <v>1965</v>
      </c>
      <c r="M59" s="86">
        <v>73</v>
      </c>
      <c r="N59" s="85"/>
      <c r="O59" s="85"/>
      <c r="P59" s="85"/>
      <c r="Q59" s="85"/>
      <c r="R59" s="85"/>
      <c r="S59" s="85"/>
    </row>
    <row r="60" spans="1:19" ht="31.5">
      <c r="A60" s="83">
        <v>1220</v>
      </c>
      <c r="B60" s="141">
        <v>45679</v>
      </c>
      <c r="C60" s="18" t="s">
        <v>2</v>
      </c>
      <c r="D60" s="21" t="s">
        <v>472</v>
      </c>
      <c r="E60" s="21" t="s">
        <v>2023</v>
      </c>
      <c r="F60" s="20" t="s">
        <v>16</v>
      </c>
      <c r="G60" s="18" t="str">
        <f>C60</f>
        <v>Mech</v>
      </c>
      <c r="H60" s="86">
        <v>900</v>
      </c>
      <c r="I60" s="146">
        <v>45691</v>
      </c>
      <c r="J60" s="87"/>
      <c r="K60" s="57"/>
      <c r="L60" s="86" t="s">
        <v>1477</v>
      </c>
      <c r="M60" s="86">
        <v>73</v>
      </c>
      <c r="N60" s="85"/>
      <c r="O60" s="85"/>
      <c r="P60" s="85"/>
      <c r="Q60" s="85"/>
      <c r="R60" s="85"/>
      <c r="S60" s="85"/>
    </row>
    <row r="61" spans="1:19" ht="31.5">
      <c r="A61" s="83">
        <v>1221</v>
      </c>
      <c r="B61" s="141">
        <v>45679</v>
      </c>
      <c r="C61" s="18" t="s">
        <v>2</v>
      </c>
      <c r="D61" s="21" t="s">
        <v>472</v>
      </c>
      <c r="E61" s="21" t="s">
        <v>2022</v>
      </c>
      <c r="F61" s="20" t="s">
        <v>16</v>
      </c>
      <c r="G61" s="18" t="str">
        <f>C61</f>
        <v>Mech</v>
      </c>
      <c r="H61" s="86">
        <v>900</v>
      </c>
      <c r="I61" s="146">
        <v>45691</v>
      </c>
      <c r="J61" s="87"/>
      <c r="K61" s="57"/>
      <c r="L61" s="86" t="s">
        <v>822</v>
      </c>
      <c r="M61" s="86">
        <v>73</v>
      </c>
      <c r="N61" s="85"/>
      <c r="O61" s="85"/>
      <c r="P61" s="85"/>
      <c r="Q61" s="85"/>
      <c r="R61" s="85"/>
      <c r="S61" s="85"/>
    </row>
    <row r="62" spans="1:19" ht="15.75">
      <c r="A62" s="83">
        <v>1222</v>
      </c>
      <c r="B62" s="141">
        <v>45679</v>
      </c>
      <c r="C62" s="18" t="s">
        <v>2</v>
      </c>
      <c r="D62" s="21" t="s">
        <v>472</v>
      </c>
      <c r="E62" s="21" t="s">
        <v>239</v>
      </c>
      <c r="F62" s="20" t="s">
        <v>193</v>
      </c>
      <c r="G62" s="18" t="str">
        <f>C62</f>
        <v>Mech</v>
      </c>
      <c r="H62" s="86">
        <v>6000</v>
      </c>
      <c r="I62" s="146">
        <v>45691</v>
      </c>
      <c r="J62" s="87"/>
      <c r="K62" s="57"/>
      <c r="L62" s="86" t="s">
        <v>1948</v>
      </c>
      <c r="M62" s="86">
        <v>73</v>
      </c>
      <c r="N62" s="85"/>
      <c r="O62" s="85"/>
      <c r="P62" s="85"/>
      <c r="Q62" s="85"/>
      <c r="R62" s="85"/>
      <c r="S62" s="85"/>
    </row>
    <row r="63" spans="1:19" ht="78.75">
      <c r="A63" s="83">
        <v>1223</v>
      </c>
      <c r="B63" s="141">
        <v>45663</v>
      </c>
      <c r="C63" s="18" t="s">
        <v>2</v>
      </c>
      <c r="D63" s="21" t="s">
        <v>48</v>
      </c>
      <c r="E63" s="21" t="s">
        <v>2021</v>
      </c>
      <c r="F63" s="20" t="s">
        <v>23</v>
      </c>
      <c r="G63" s="18" t="str">
        <f>C63</f>
        <v>Mech</v>
      </c>
      <c r="H63" s="86">
        <v>10000</v>
      </c>
      <c r="I63" s="146">
        <v>45691</v>
      </c>
      <c r="J63" s="87"/>
      <c r="K63" s="57"/>
      <c r="L63" s="86" t="s">
        <v>743</v>
      </c>
      <c r="M63" s="86">
        <v>73</v>
      </c>
      <c r="N63" s="85"/>
      <c r="O63" s="85"/>
      <c r="P63" s="85"/>
      <c r="Q63" s="85"/>
      <c r="R63" s="85"/>
      <c r="S63" s="85"/>
    </row>
    <row r="64" spans="1:19" ht="15.75">
      <c r="A64" s="83">
        <v>1224</v>
      </c>
      <c r="B64" s="141">
        <v>45663</v>
      </c>
      <c r="C64" s="18" t="s">
        <v>2</v>
      </c>
      <c r="D64" s="21" t="s">
        <v>48</v>
      </c>
      <c r="E64" s="21" t="s">
        <v>239</v>
      </c>
      <c r="F64" s="20" t="s">
        <v>193</v>
      </c>
      <c r="G64" s="18" t="str">
        <f>C64</f>
        <v>Mech</v>
      </c>
      <c r="H64" s="86">
        <v>6000</v>
      </c>
      <c r="I64" s="146">
        <v>45691</v>
      </c>
      <c r="J64" s="87"/>
      <c r="K64" s="57"/>
      <c r="L64" s="86" t="s">
        <v>1897</v>
      </c>
      <c r="M64" s="86">
        <v>73</v>
      </c>
      <c r="N64" s="85"/>
      <c r="O64" s="85"/>
      <c r="P64" s="85"/>
      <c r="Q64" s="85"/>
      <c r="R64" s="85"/>
      <c r="S64" s="85"/>
    </row>
    <row r="65" spans="1:19" ht="31.5">
      <c r="A65" s="83">
        <v>1225</v>
      </c>
      <c r="B65" s="141">
        <v>45681</v>
      </c>
      <c r="C65" s="18" t="s">
        <v>2</v>
      </c>
      <c r="D65" s="21" t="s">
        <v>99</v>
      </c>
      <c r="E65" s="21" t="s">
        <v>2020</v>
      </c>
      <c r="F65" s="20" t="s">
        <v>23</v>
      </c>
      <c r="G65" s="18" t="str">
        <f>C65</f>
        <v>Mech</v>
      </c>
      <c r="H65" s="86">
        <v>10000</v>
      </c>
      <c r="I65" s="146">
        <v>45691</v>
      </c>
      <c r="J65" s="87"/>
      <c r="K65" s="57"/>
      <c r="L65" s="86" t="s">
        <v>1965</v>
      </c>
      <c r="M65" s="86">
        <v>73</v>
      </c>
      <c r="N65" s="85"/>
      <c r="O65" s="85"/>
      <c r="P65" s="85"/>
      <c r="Q65" s="85"/>
      <c r="R65" s="85"/>
      <c r="S65" s="85"/>
    </row>
    <row r="66" spans="1:19" ht="31.5">
      <c r="A66" s="83">
        <v>1226</v>
      </c>
      <c r="B66" s="141">
        <v>45679</v>
      </c>
      <c r="C66" s="18" t="s">
        <v>7</v>
      </c>
      <c r="D66" s="21" t="s">
        <v>2019</v>
      </c>
      <c r="E66" s="21" t="s">
        <v>2018</v>
      </c>
      <c r="F66" s="20" t="s">
        <v>23</v>
      </c>
      <c r="G66" s="18" t="str">
        <f>C66</f>
        <v>CSBS</v>
      </c>
      <c r="H66" s="86">
        <v>6000</v>
      </c>
      <c r="I66" s="146">
        <v>45691</v>
      </c>
      <c r="J66" s="87"/>
      <c r="K66" s="57"/>
      <c r="L66" s="86" t="s">
        <v>1037</v>
      </c>
      <c r="M66" s="86">
        <v>73</v>
      </c>
      <c r="N66" s="85"/>
      <c r="O66" s="85"/>
      <c r="P66" s="85"/>
      <c r="Q66" s="85"/>
      <c r="R66" s="85"/>
      <c r="S66" s="85"/>
    </row>
    <row r="67" spans="1:19" ht="47.25">
      <c r="A67" s="83">
        <v>1227</v>
      </c>
      <c r="B67" s="141">
        <v>45679</v>
      </c>
      <c r="C67" s="18" t="s">
        <v>5</v>
      </c>
      <c r="D67" s="21" t="s">
        <v>1538</v>
      </c>
      <c r="E67" s="21" t="s">
        <v>2017</v>
      </c>
      <c r="F67" s="20" t="s">
        <v>16</v>
      </c>
      <c r="G67" s="18" t="str">
        <f>C67</f>
        <v>ECE</v>
      </c>
      <c r="H67" s="86">
        <v>1800</v>
      </c>
      <c r="I67" s="146">
        <v>45691</v>
      </c>
      <c r="J67" s="87"/>
      <c r="K67" s="57"/>
      <c r="L67" s="96">
        <v>45576</v>
      </c>
      <c r="M67" s="86">
        <v>73</v>
      </c>
      <c r="N67" s="85"/>
      <c r="O67" s="85"/>
      <c r="P67" s="85"/>
      <c r="Q67" s="85"/>
      <c r="R67" s="85"/>
      <c r="S67" s="85"/>
    </row>
    <row r="68" spans="1:19" ht="31.5">
      <c r="A68" s="83">
        <v>1228</v>
      </c>
      <c r="B68" s="141">
        <v>45679</v>
      </c>
      <c r="C68" s="18" t="s">
        <v>5</v>
      </c>
      <c r="D68" s="21" t="s">
        <v>1002</v>
      </c>
      <c r="E68" s="21" t="s">
        <v>2016</v>
      </c>
      <c r="F68" s="20" t="s">
        <v>324</v>
      </c>
      <c r="G68" s="18" t="str">
        <f>C68</f>
        <v>ECE</v>
      </c>
      <c r="H68" s="86">
        <v>5000</v>
      </c>
      <c r="I68" s="146">
        <v>45691</v>
      </c>
      <c r="J68" s="87"/>
      <c r="K68" s="57"/>
      <c r="L68" s="86" t="s">
        <v>2015</v>
      </c>
      <c r="M68" s="86">
        <v>73</v>
      </c>
      <c r="N68" s="85"/>
      <c r="O68" s="85"/>
      <c r="P68" s="85"/>
      <c r="Q68" s="85"/>
      <c r="R68" s="85"/>
      <c r="S68" s="85"/>
    </row>
    <row r="69" spans="1:19" ht="31.5">
      <c r="A69" s="83">
        <v>1229</v>
      </c>
      <c r="B69" s="141">
        <v>45679</v>
      </c>
      <c r="C69" s="18" t="s">
        <v>5</v>
      </c>
      <c r="D69" s="21" t="s">
        <v>1002</v>
      </c>
      <c r="E69" s="21" t="s">
        <v>2014</v>
      </c>
      <c r="F69" s="20" t="s">
        <v>16</v>
      </c>
      <c r="G69" s="18" t="str">
        <f>C69</f>
        <v>ECE</v>
      </c>
      <c r="H69" s="86">
        <v>1800</v>
      </c>
      <c r="I69" s="146">
        <v>45691</v>
      </c>
      <c r="J69" s="87"/>
      <c r="K69" s="57"/>
      <c r="L69" s="96">
        <v>45576</v>
      </c>
      <c r="M69" s="86">
        <v>73</v>
      </c>
      <c r="N69" s="85"/>
      <c r="O69" s="85"/>
      <c r="P69" s="85"/>
      <c r="Q69" s="85"/>
      <c r="R69" s="85"/>
      <c r="S69" s="85"/>
    </row>
    <row r="70" spans="1:19" ht="31.5">
      <c r="A70" s="83">
        <v>1230</v>
      </c>
      <c r="B70" s="141">
        <v>45679</v>
      </c>
      <c r="C70" s="18" t="s">
        <v>5</v>
      </c>
      <c r="D70" s="21" t="s">
        <v>112</v>
      </c>
      <c r="E70" s="21" t="s">
        <v>2013</v>
      </c>
      <c r="F70" s="20" t="s">
        <v>16</v>
      </c>
      <c r="G70" s="18" t="str">
        <f>C70</f>
        <v>ECE</v>
      </c>
      <c r="H70" s="86">
        <v>1800</v>
      </c>
      <c r="I70" s="146">
        <v>45691</v>
      </c>
      <c r="J70" s="87"/>
      <c r="K70" s="57"/>
      <c r="L70" s="86"/>
      <c r="M70" s="86">
        <v>73</v>
      </c>
      <c r="N70" s="85"/>
      <c r="O70" s="85"/>
      <c r="P70" s="85"/>
      <c r="Q70" s="85"/>
      <c r="R70" s="85"/>
      <c r="S70" s="85"/>
    </row>
    <row r="71" spans="1:19" ht="15.75">
      <c r="A71" s="83">
        <v>1231</v>
      </c>
      <c r="B71" s="141">
        <v>45679</v>
      </c>
      <c r="C71" s="18" t="s">
        <v>5</v>
      </c>
      <c r="D71" s="21" t="s">
        <v>112</v>
      </c>
      <c r="E71" s="21" t="s">
        <v>319</v>
      </c>
      <c r="F71" s="20" t="s">
        <v>193</v>
      </c>
      <c r="G71" s="18" t="str">
        <f>C71</f>
        <v>ECE</v>
      </c>
      <c r="H71" s="86">
        <v>8000</v>
      </c>
      <c r="I71" s="146">
        <v>45691</v>
      </c>
      <c r="J71" s="87"/>
      <c r="K71" s="57"/>
      <c r="L71" s="86" t="s">
        <v>1897</v>
      </c>
      <c r="M71" s="86">
        <v>73</v>
      </c>
      <c r="N71" s="85"/>
      <c r="O71" s="85"/>
      <c r="P71" s="85"/>
      <c r="Q71" s="85"/>
      <c r="R71" s="85"/>
      <c r="S71" s="85"/>
    </row>
    <row r="72" spans="1:19" ht="47.25">
      <c r="A72" s="83">
        <v>1232</v>
      </c>
      <c r="B72" s="141">
        <v>45684</v>
      </c>
      <c r="C72" s="18" t="s">
        <v>36</v>
      </c>
      <c r="D72" s="21" t="s">
        <v>1476</v>
      </c>
      <c r="E72" s="21" t="s">
        <v>2012</v>
      </c>
      <c r="F72" s="20" t="s">
        <v>23</v>
      </c>
      <c r="G72" s="18" t="str">
        <f>C72</f>
        <v>AIDS</v>
      </c>
      <c r="H72" s="86">
        <v>3000</v>
      </c>
      <c r="I72" s="146">
        <v>45691</v>
      </c>
      <c r="J72" s="87"/>
      <c r="K72" s="57"/>
      <c r="L72" s="86" t="s">
        <v>795</v>
      </c>
      <c r="M72" s="86">
        <v>73</v>
      </c>
      <c r="N72" s="85"/>
      <c r="O72" s="85"/>
      <c r="P72" s="85"/>
      <c r="Q72" s="85"/>
      <c r="R72" s="85"/>
      <c r="S72" s="85"/>
    </row>
    <row r="73" spans="1:19" ht="31.5">
      <c r="A73" s="83">
        <v>1233</v>
      </c>
      <c r="B73" s="141">
        <v>45684</v>
      </c>
      <c r="C73" s="18" t="s">
        <v>36</v>
      </c>
      <c r="D73" s="21" t="s">
        <v>1476</v>
      </c>
      <c r="E73" s="21" t="s">
        <v>2011</v>
      </c>
      <c r="F73" s="20" t="s">
        <v>16</v>
      </c>
      <c r="G73" s="18" t="str">
        <f>C73</f>
        <v>AIDS</v>
      </c>
      <c r="H73" s="86">
        <v>3000</v>
      </c>
      <c r="I73" s="146">
        <v>45691</v>
      </c>
      <c r="J73" s="87"/>
      <c r="K73" s="57"/>
      <c r="L73" s="86" t="s">
        <v>829</v>
      </c>
      <c r="M73" s="86">
        <v>73</v>
      </c>
      <c r="N73" s="85"/>
      <c r="O73" s="85"/>
      <c r="P73" s="85"/>
      <c r="Q73" s="85"/>
      <c r="R73" s="85"/>
      <c r="S73" s="85"/>
    </row>
    <row r="74" spans="1:19" ht="31.5">
      <c r="A74" s="83">
        <v>1234</v>
      </c>
      <c r="B74" s="141">
        <v>45684</v>
      </c>
      <c r="C74" s="18" t="s">
        <v>5</v>
      </c>
      <c r="D74" s="21" t="s">
        <v>826</v>
      </c>
      <c r="E74" s="21" t="s">
        <v>2010</v>
      </c>
      <c r="F74" s="20" t="s">
        <v>324</v>
      </c>
      <c r="G74" s="18" t="str">
        <f>C74</f>
        <v>ECE</v>
      </c>
      <c r="H74" s="86">
        <v>5000</v>
      </c>
      <c r="I74" s="146">
        <v>45691</v>
      </c>
      <c r="J74" s="87"/>
      <c r="K74" s="57"/>
      <c r="L74" s="86" t="s">
        <v>1826</v>
      </c>
      <c r="M74" s="86">
        <v>73</v>
      </c>
      <c r="N74" s="85"/>
      <c r="O74" s="85"/>
      <c r="P74" s="85"/>
      <c r="Q74" s="85"/>
      <c r="R74" s="85"/>
      <c r="S74" s="85"/>
    </row>
    <row r="75" spans="1:19" ht="15.75" customHeight="1">
      <c r="A75" s="83">
        <v>1235</v>
      </c>
      <c r="B75" s="141">
        <v>45684</v>
      </c>
      <c r="C75" s="18" t="s">
        <v>4</v>
      </c>
      <c r="D75" s="21" t="s">
        <v>482</v>
      </c>
      <c r="E75" s="21" t="s">
        <v>239</v>
      </c>
      <c r="F75" s="20" t="s">
        <v>193</v>
      </c>
      <c r="G75" s="18" t="str">
        <f>C75</f>
        <v>EEE</v>
      </c>
      <c r="H75" s="86">
        <v>6000</v>
      </c>
      <c r="I75" s="146">
        <v>45691</v>
      </c>
      <c r="J75" s="87"/>
      <c r="K75" s="57"/>
      <c r="L75" s="86" t="s">
        <v>2009</v>
      </c>
      <c r="M75" s="86">
        <v>73</v>
      </c>
      <c r="N75" s="85"/>
      <c r="O75" s="85"/>
      <c r="P75" s="85"/>
      <c r="Q75" s="85"/>
      <c r="R75" s="85"/>
      <c r="S75" s="85"/>
    </row>
    <row r="76" spans="1:19" ht="15.75" customHeight="1">
      <c r="A76" s="83">
        <v>1236</v>
      </c>
      <c r="B76" s="169">
        <v>45685</v>
      </c>
      <c r="C76" s="165" t="s">
        <v>7</v>
      </c>
      <c r="D76" s="49" t="s">
        <v>2005</v>
      </c>
      <c r="E76" s="49" t="s">
        <v>2008</v>
      </c>
      <c r="F76" s="166" t="s">
        <v>16</v>
      </c>
      <c r="G76" s="165" t="str">
        <f>C76</f>
        <v>CSBS</v>
      </c>
      <c r="H76" s="164">
        <v>1800</v>
      </c>
      <c r="I76" s="146">
        <v>45691</v>
      </c>
      <c r="J76" s="163"/>
      <c r="K76" s="67"/>
      <c r="L76" s="162">
        <v>45633</v>
      </c>
      <c r="M76" s="86">
        <v>73</v>
      </c>
      <c r="N76" s="85"/>
      <c r="O76" s="85"/>
      <c r="P76" s="85"/>
      <c r="Q76" s="85"/>
      <c r="R76" s="85"/>
      <c r="S76" s="85"/>
    </row>
    <row r="77" spans="1:19" ht="15.75" customHeight="1">
      <c r="A77" s="83">
        <v>1237</v>
      </c>
      <c r="B77" s="169">
        <v>45685</v>
      </c>
      <c r="C77" s="165" t="s">
        <v>7</v>
      </c>
      <c r="D77" s="49" t="s">
        <v>2005</v>
      </c>
      <c r="E77" s="49" t="s">
        <v>2007</v>
      </c>
      <c r="F77" s="166" t="s">
        <v>16</v>
      </c>
      <c r="G77" s="165" t="str">
        <f>C77</f>
        <v>CSBS</v>
      </c>
      <c r="H77" s="164">
        <v>1800</v>
      </c>
      <c r="I77" s="146">
        <v>45691</v>
      </c>
      <c r="J77" s="163"/>
      <c r="K77" s="67"/>
      <c r="L77" s="164" t="s">
        <v>2006</v>
      </c>
      <c r="M77" s="86">
        <v>73</v>
      </c>
      <c r="N77" s="85"/>
      <c r="O77" s="85"/>
      <c r="P77" s="85"/>
      <c r="Q77" s="85"/>
      <c r="R77" s="85"/>
      <c r="S77" s="85"/>
    </row>
    <row r="78" spans="1:19" ht="15.75" customHeight="1">
      <c r="A78" s="83">
        <v>1238</v>
      </c>
      <c r="B78" s="169">
        <v>45685</v>
      </c>
      <c r="C78" s="168" t="s">
        <v>7</v>
      </c>
      <c r="D78" s="167" t="s">
        <v>2005</v>
      </c>
      <c r="E78" s="49" t="s">
        <v>2004</v>
      </c>
      <c r="F78" s="166" t="s">
        <v>16</v>
      </c>
      <c r="G78" s="165" t="str">
        <f>C78</f>
        <v>CSBS</v>
      </c>
      <c r="H78" s="164">
        <v>1800</v>
      </c>
      <c r="I78" s="146">
        <v>45691</v>
      </c>
      <c r="J78" s="163"/>
      <c r="K78" s="67"/>
      <c r="L78" s="162">
        <v>45417</v>
      </c>
      <c r="M78" s="86">
        <v>73</v>
      </c>
      <c r="N78" s="85"/>
      <c r="O78" s="85"/>
      <c r="P78" s="85"/>
      <c r="Q78" s="85"/>
      <c r="R78" s="85"/>
      <c r="S78" s="85"/>
    </row>
    <row r="79" spans="1:19" ht="31.5">
      <c r="A79" s="83">
        <v>1239</v>
      </c>
      <c r="B79" s="141">
        <v>45685</v>
      </c>
      <c r="C79" s="18" t="s">
        <v>5</v>
      </c>
      <c r="D79" s="21" t="s">
        <v>311</v>
      </c>
      <c r="E79" s="21" t="s">
        <v>2003</v>
      </c>
      <c r="F79" s="20" t="s">
        <v>16</v>
      </c>
      <c r="G79" s="18" t="str">
        <f>C79</f>
        <v>ECE</v>
      </c>
      <c r="H79" s="86">
        <v>1800</v>
      </c>
      <c r="I79" s="146">
        <v>45691</v>
      </c>
      <c r="J79" s="87"/>
      <c r="K79" s="57"/>
      <c r="L79" s="96">
        <v>45638</v>
      </c>
      <c r="M79" s="86">
        <v>73</v>
      </c>
      <c r="N79" s="85"/>
      <c r="O79" s="85"/>
      <c r="P79" s="85"/>
      <c r="Q79" s="85"/>
      <c r="R79" s="85"/>
      <c r="S79" s="85"/>
    </row>
    <row r="80" spans="1:19" ht="15.75">
      <c r="A80" s="83">
        <v>1240</v>
      </c>
      <c r="B80" s="141">
        <v>45680</v>
      </c>
      <c r="C80" s="18" t="s">
        <v>8</v>
      </c>
      <c r="D80" s="21" t="s">
        <v>278</v>
      </c>
      <c r="E80" s="21" t="s">
        <v>166</v>
      </c>
      <c r="F80" s="20" t="s">
        <v>193</v>
      </c>
      <c r="G80" s="18" t="str">
        <f>C80</f>
        <v>CCE</v>
      </c>
      <c r="H80" s="86">
        <v>2000</v>
      </c>
      <c r="I80" s="146">
        <v>45691</v>
      </c>
      <c r="J80" s="87"/>
      <c r="K80" s="57"/>
      <c r="L80" s="86" t="s">
        <v>1948</v>
      </c>
      <c r="M80" s="86">
        <v>73</v>
      </c>
      <c r="N80" s="85"/>
      <c r="O80" s="85"/>
      <c r="P80" s="85"/>
      <c r="Q80" s="85"/>
      <c r="R80" s="85"/>
      <c r="S80" s="85"/>
    </row>
    <row r="81" spans="1:19" ht="31.5">
      <c r="A81" s="83">
        <v>1241</v>
      </c>
      <c r="B81" s="141">
        <v>45667</v>
      </c>
      <c r="C81" s="18" t="s">
        <v>758</v>
      </c>
      <c r="D81" s="21" t="s">
        <v>760</v>
      </c>
      <c r="E81" s="21" t="s">
        <v>2002</v>
      </c>
      <c r="F81" s="20" t="s">
        <v>324</v>
      </c>
      <c r="G81" s="18" t="str">
        <f>C81</f>
        <v>AI-ML</v>
      </c>
      <c r="H81" s="86">
        <v>3000</v>
      </c>
      <c r="I81" s="146">
        <v>45691</v>
      </c>
      <c r="J81" s="87"/>
      <c r="K81" s="57"/>
      <c r="L81" s="86" t="s">
        <v>1826</v>
      </c>
      <c r="M81" s="86">
        <v>73</v>
      </c>
      <c r="N81" s="85"/>
      <c r="O81" s="85"/>
      <c r="P81" s="85"/>
      <c r="Q81" s="85"/>
      <c r="R81" s="85"/>
      <c r="S81" s="85"/>
    </row>
    <row r="82" spans="1:19" ht="15.75">
      <c r="A82" s="83">
        <v>1242</v>
      </c>
      <c r="B82" s="141">
        <v>45678</v>
      </c>
      <c r="C82" s="18" t="s">
        <v>5</v>
      </c>
      <c r="D82" s="21" t="s">
        <v>1571</v>
      </c>
      <c r="E82" s="21" t="s">
        <v>2001</v>
      </c>
      <c r="F82" s="20" t="s">
        <v>23</v>
      </c>
      <c r="G82" s="18" t="str">
        <f>C82</f>
        <v>ECE</v>
      </c>
      <c r="H82" s="86">
        <v>10000</v>
      </c>
      <c r="I82" s="146">
        <v>45691</v>
      </c>
      <c r="J82" s="87"/>
      <c r="K82" s="57"/>
      <c r="L82" s="95">
        <v>45331</v>
      </c>
      <c r="M82" s="86">
        <v>73</v>
      </c>
      <c r="N82" s="85"/>
      <c r="O82" s="85"/>
      <c r="P82" s="85"/>
      <c r="Q82" s="85"/>
      <c r="R82" s="85"/>
      <c r="S82" s="85"/>
    </row>
    <row r="83" spans="1:19" ht="31.5">
      <c r="A83" s="83">
        <v>1243</v>
      </c>
      <c r="B83" s="141">
        <v>45678</v>
      </c>
      <c r="C83" s="18" t="s">
        <v>5</v>
      </c>
      <c r="D83" s="21" t="s">
        <v>1571</v>
      </c>
      <c r="E83" s="21" t="s">
        <v>2000</v>
      </c>
      <c r="F83" s="20" t="s">
        <v>324</v>
      </c>
      <c r="G83" s="18" t="str">
        <f>C83</f>
        <v>ECE</v>
      </c>
      <c r="H83" s="86">
        <v>3000</v>
      </c>
      <c r="I83" s="146">
        <v>45691</v>
      </c>
      <c r="J83" s="87"/>
      <c r="K83" s="57"/>
      <c r="L83" s="96">
        <v>45575</v>
      </c>
      <c r="M83" s="86">
        <v>73</v>
      </c>
      <c r="N83" s="85"/>
      <c r="O83" s="85"/>
      <c r="P83" s="85"/>
      <c r="Q83" s="85"/>
      <c r="R83" s="85"/>
      <c r="S83" s="85"/>
    </row>
    <row r="84" spans="1:19" ht="47.25">
      <c r="A84" s="83">
        <v>1244</v>
      </c>
      <c r="B84" s="141">
        <v>45679</v>
      </c>
      <c r="C84" s="18" t="s">
        <v>5</v>
      </c>
      <c r="D84" s="21" t="s">
        <v>901</v>
      </c>
      <c r="E84" s="21" t="s">
        <v>1999</v>
      </c>
      <c r="F84" s="20" t="s">
        <v>23</v>
      </c>
      <c r="G84" s="18" t="str">
        <f>C84</f>
        <v>ECE</v>
      </c>
      <c r="H84" s="86">
        <v>6000</v>
      </c>
      <c r="I84" s="146">
        <v>45691</v>
      </c>
      <c r="J84" s="87"/>
      <c r="K84" s="57"/>
      <c r="L84" s="86" t="s">
        <v>1965</v>
      </c>
      <c r="M84" s="86">
        <v>73</v>
      </c>
      <c r="N84" s="85"/>
      <c r="O84" s="85"/>
      <c r="P84" s="85"/>
      <c r="Q84" s="85"/>
      <c r="R84" s="85"/>
      <c r="S84" s="85"/>
    </row>
    <row r="85" spans="1:19" ht="31.5">
      <c r="A85" s="83">
        <v>1245</v>
      </c>
      <c r="B85" s="141">
        <v>45679</v>
      </c>
      <c r="C85" s="18" t="s">
        <v>5</v>
      </c>
      <c r="D85" s="21" t="s">
        <v>901</v>
      </c>
      <c r="E85" s="21" t="s">
        <v>1998</v>
      </c>
      <c r="F85" s="20" t="s">
        <v>16</v>
      </c>
      <c r="G85" s="18" t="str">
        <f>C85</f>
        <v>ECE</v>
      </c>
      <c r="H85" s="86">
        <v>1800</v>
      </c>
      <c r="I85" s="146">
        <v>45691</v>
      </c>
      <c r="J85" s="87"/>
      <c r="K85" s="57"/>
      <c r="L85" s="86" t="s">
        <v>827</v>
      </c>
      <c r="M85" s="86">
        <v>73</v>
      </c>
      <c r="N85" s="85"/>
      <c r="O85" s="85"/>
      <c r="P85" s="85"/>
      <c r="Q85" s="85"/>
      <c r="R85" s="85"/>
      <c r="S85" s="85"/>
    </row>
    <row r="86" spans="1:19" ht="31.5">
      <c r="A86" s="83">
        <v>1246</v>
      </c>
      <c r="B86" s="141">
        <v>45679</v>
      </c>
      <c r="C86" s="18" t="s">
        <v>5</v>
      </c>
      <c r="D86" s="21" t="s">
        <v>66</v>
      </c>
      <c r="E86" s="21" t="s">
        <v>1997</v>
      </c>
      <c r="F86" s="20" t="s">
        <v>16</v>
      </c>
      <c r="G86" s="18" t="str">
        <f>C86</f>
        <v>ECE</v>
      </c>
      <c r="H86" s="86">
        <v>1800</v>
      </c>
      <c r="I86" s="146">
        <v>45691</v>
      </c>
      <c r="J86" s="87"/>
      <c r="K86" s="57"/>
      <c r="L86" s="86" t="s">
        <v>1996</v>
      </c>
      <c r="M86" s="86">
        <v>73</v>
      </c>
      <c r="N86" s="85"/>
      <c r="O86" s="85"/>
      <c r="P86" s="85"/>
      <c r="Q86" s="85"/>
      <c r="R86" s="85"/>
      <c r="S86" s="85"/>
    </row>
    <row r="87" spans="1:19" ht="15.75">
      <c r="A87" s="83">
        <v>1247</v>
      </c>
      <c r="B87" s="141">
        <v>45680</v>
      </c>
      <c r="C87" s="18" t="s">
        <v>8</v>
      </c>
      <c r="D87" s="21" t="s">
        <v>307</v>
      </c>
      <c r="E87" s="21" t="s">
        <v>239</v>
      </c>
      <c r="F87" s="20" t="s">
        <v>193</v>
      </c>
      <c r="G87" s="18" t="str">
        <f>C87</f>
        <v>CCE</v>
      </c>
      <c r="H87" s="86">
        <v>6000</v>
      </c>
      <c r="I87" s="146">
        <v>45691</v>
      </c>
      <c r="J87" s="87"/>
      <c r="K87" s="57"/>
      <c r="L87" s="86" t="s">
        <v>1948</v>
      </c>
      <c r="M87" s="86">
        <v>73</v>
      </c>
      <c r="N87" s="85"/>
      <c r="O87" s="85"/>
      <c r="P87" s="85"/>
      <c r="Q87" s="85"/>
      <c r="R87" s="85"/>
      <c r="S87" s="85"/>
    </row>
    <row r="88" spans="1:19" ht="15.75">
      <c r="A88" s="83">
        <v>1248</v>
      </c>
      <c r="B88" s="141">
        <v>45680</v>
      </c>
      <c r="C88" s="18" t="s">
        <v>8</v>
      </c>
      <c r="D88" s="21" t="s">
        <v>34</v>
      </c>
      <c r="E88" s="21" t="s">
        <v>239</v>
      </c>
      <c r="F88" s="20" t="s">
        <v>193</v>
      </c>
      <c r="G88" s="18" t="str">
        <f>C88</f>
        <v>CCE</v>
      </c>
      <c r="H88" s="86">
        <v>6000</v>
      </c>
      <c r="I88" s="146">
        <v>45691</v>
      </c>
      <c r="J88" s="87"/>
      <c r="K88" s="57"/>
      <c r="L88" s="86" t="s">
        <v>1948</v>
      </c>
      <c r="M88" s="86">
        <v>73</v>
      </c>
      <c r="N88" s="85"/>
      <c r="O88" s="85"/>
      <c r="P88" s="85"/>
      <c r="Q88" s="85"/>
      <c r="R88" s="85"/>
      <c r="S88" s="85"/>
    </row>
    <row r="89" spans="1:19" ht="15.75">
      <c r="A89" s="83">
        <v>1249</v>
      </c>
      <c r="B89" s="141">
        <v>45679</v>
      </c>
      <c r="C89" s="18" t="s">
        <v>5</v>
      </c>
      <c r="D89" s="21" t="s">
        <v>901</v>
      </c>
      <c r="E89" s="21" t="s">
        <v>166</v>
      </c>
      <c r="F89" s="20" t="s">
        <v>193</v>
      </c>
      <c r="G89" s="18" t="str">
        <f>C89</f>
        <v>ECE</v>
      </c>
      <c r="H89" s="86">
        <v>2000</v>
      </c>
      <c r="I89" s="146">
        <v>45691</v>
      </c>
      <c r="J89" s="87"/>
      <c r="K89" s="57"/>
      <c r="L89" s="86" t="s">
        <v>1948</v>
      </c>
      <c r="M89" s="86">
        <v>73</v>
      </c>
      <c r="N89" s="85"/>
      <c r="O89" s="85"/>
      <c r="P89" s="85"/>
      <c r="Q89" s="85"/>
      <c r="R89" s="85"/>
      <c r="S89" s="85"/>
    </row>
    <row r="90" spans="1:19" ht="31.5">
      <c r="A90" s="83">
        <v>1250</v>
      </c>
      <c r="B90" s="141">
        <v>45678</v>
      </c>
      <c r="C90" s="18" t="s">
        <v>2</v>
      </c>
      <c r="D90" s="161" t="s">
        <v>93</v>
      </c>
      <c r="E90" s="21" t="s">
        <v>1995</v>
      </c>
      <c r="F90" s="20" t="s">
        <v>23</v>
      </c>
      <c r="G90" s="18" t="str">
        <f>C90</f>
        <v>Mech</v>
      </c>
      <c r="H90" s="86">
        <v>10000</v>
      </c>
      <c r="I90" s="146">
        <v>45691</v>
      </c>
      <c r="J90" s="87"/>
      <c r="K90" s="57"/>
      <c r="L90" s="96">
        <v>45608</v>
      </c>
      <c r="M90" s="86">
        <v>73</v>
      </c>
      <c r="N90" s="85"/>
      <c r="O90" s="85"/>
      <c r="P90" s="85"/>
      <c r="Q90" s="85"/>
      <c r="R90" s="85"/>
      <c r="S90" s="85"/>
    </row>
    <row r="91" spans="1:19" ht="31.5">
      <c r="A91" s="83">
        <v>1251</v>
      </c>
      <c r="B91" s="141">
        <v>45678</v>
      </c>
      <c r="C91" s="18" t="s">
        <v>2</v>
      </c>
      <c r="D91" s="161" t="s">
        <v>93</v>
      </c>
      <c r="E91" s="21" t="s">
        <v>1994</v>
      </c>
      <c r="F91" s="20" t="s">
        <v>23</v>
      </c>
      <c r="G91" s="18" t="str">
        <f>C91</f>
        <v>Mech</v>
      </c>
      <c r="H91" s="86">
        <v>10000</v>
      </c>
      <c r="I91" s="146">
        <v>45691</v>
      </c>
      <c r="J91" s="87"/>
      <c r="K91" s="57"/>
      <c r="L91" s="95">
        <v>45455</v>
      </c>
      <c r="M91" s="86">
        <v>73</v>
      </c>
      <c r="N91" s="85"/>
      <c r="O91" s="85"/>
      <c r="P91" s="85"/>
      <c r="Q91" s="85"/>
      <c r="R91" s="85"/>
      <c r="S91" s="85"/>
    </row>
    <row r="92" spans="1:19" ht="47.25">
      <c r="A92" s="83">
        <v>1252</v>
      </c>
      <c r="B92" s="141">
        <v>45678</v>
      </c>
      <c r="C92" s="18" t="s">
        <v>2</v>
      </c>
      <c r="D92" s="161" t="s">
        <v>93</v>
      </c>
      <c r="E92" s="21" t="s">
        <v>1993</v>
      </c>
      <c r="F92" s="20" t="s">
        <v>16</v>
      </c>
      <c r="G92" s="18" t="str">
        <f>C92</f>
        <v>Mech</v>
      </c>
      <c r="H92" s="86">
        <v>3000</v>
      </c>
      <c r="I92" s="146">
        <v>45691</v>
      </c>
      <c r="J92" s="87"/>
      <c r="K92" s="57"/>
      <c r="L92" s="86" t="s">
        <v>822</v>
      </c>
      <c r="M92" s="86">
        <v>73</v>
      </c>
      <c r="N92" s="85"/>
      <c r="O92" s="85"/>
      <c r="P92" s="85"/>
      <c r="Q92" s="85"/>
      <c r="R92" s="85"/>
      <c r="S92" s="85"/>
    </row>
    <row r="93" spans="1:19" ht="15.75">
      <c r="A93" s="83">
        <v>1253</v>
      </c>
      <c r="B93" s="141">
        <v>45678</v>
      </c>
      <c r="C93" s="18" t="s">
        <v>2</v>
      </c>
      <c r="D93" s="161" t="s">
        <v>93</v>
      </c>
      <c r="E93" s="21" t="s">
        <v>1992</v>
      </c>
      <c r="F93" s="20" t="s">
        <v>16</v>
      </c>
      <c r="G93" s="18" t="str">
        <f>C93</f>
        <v>Mech</v>
      </c>
      <c r="H93" s="86">
        <v>1800</v>
      </c>
      <c r="I93" s="146">
        <v>45691</v>
      </c>
      <c r="J93" s="87"/>
      <c r="K93" s="57"/>
      <c r="L93" s="86" t="s">
        <v>1991</v>
      </c>
      <c r="M93" s="86">
        <v>73</v>
      </c>
      <c r="N93" s="85"/>
      <c r="O93" s="85"/>
      <c r="P93" s="85"/>
      <c r="Q93" s="85"/>
      <c r="R93" s="85"/>
      <c r="S93" s="85"/>
    </row>
    <row r="94" spans="1:19" ht="15.75">
      <c r="A94" s="83">
        <v>1254</v>
      </c>
      <c r="B94" s="141">
        <v>45678</v>
      </c>
      <c r="C94" s="18" t="s">
        <v>2</v>
      </c>
      <c r="D94" s="161" t="s">
        <v>93</v>
      </c>
      <c r="E94" s="21" t="s">
        <v>725</v>
      </c>
      <c r="F94" s="20" t="s">
        <v>193</v>
      </c>
      <c r="G94" s="18" t="str">
        <f>C94</f>
        <v>Mech</v>
      </c>
      <c r="H94" s="86">
        <v>12000</v>
      </c>
      <c r="I94" s="146">
        <v>45691</v>
      </c>
      <c r="J94" s="87"/>
      <c r="K94" s="57"/>
      <c r="L94" s="86" t="s">
        <v>1003</v>
      </c>
      <c r="M94" s="86">
        <v>73</v>
      </c>
      <c r="N94" s="85"/>
      <c r="O94" s="85"/>
      <c r="P94" s="85"/>
      <c r="Q94" s="85"/>
      <c r="R94" s="85"/>
      <c r="S94" s="85"/>
    </row>
    <row r="95" spans="1:19" ht="47.25">
      <c r="A95" s="83">
        <v>1255</v>
      </c>
      <c r="B95" s="141">
        <v>45682</v>
      </c>
      <c r="C95" s="18" t="s">
        <v>6</v>
      </c>
      <c r="D95" s="21" t="s">
        <v>1986</v>
      </c>
      <c r="E95" s="21" t="s">
        <v>1990</v>
      </c>
      <c r="F95" s="20" t="s">
        <v>324</v>
      </c>
      <c r="G95" s="18" t="str">
        <f>C95</f>
        <v>CSE</v>
      </c>
      <c r="H95" s="86">
        <v>3000</v>
      </c>
      <c r="I95" s="146">
        <v>45691</v>
      </c>
      <c r="J95" s="87"/>
      <c r="K95" s="57"/>
      <c r="L95" s="91">
        <v>45566</v>
      </c>
      <c r="M95" s="86">
        <v>73</v>
      </c>
      <c r="N95" s="85"/>
      <c r="O95" s="85"/>
      <c r="P95" s="85"/>
      <c r="Q95" s="85"/>
      <c r="R95" s="85"/>
      <c r="S95" s="85"/>
    </row>
    <row r="96" spans="1:19" ht="47.25">
      <c r="A96" s="83">
        <v>1256</v>
      </c>
      <c r="B96" s="141">
        <v>45682</v>
      </c>
      <c r="C96" s="18" t="s">
        <v>6</v>
      </c>
      <c r="D96" s="21" t="s">
        <v>1986</v>
      </c>
      <c r="E96" s="21" t="s">
        <v>1989</v>
      </c>
      <c r="F96" s="20" t="s">
        <v>16</v>
      </c>
      <c r="G96" s="18" t="str">
        <f>C96</f>
        <v>CSE</v>
      </c>
      <c r="H96" s="86">
        <v>1800</v>
      </c>
      <c r="I96" s="146">
        <v>45691</v>
      </c>
      <c r="J96" s="87"/>
      <c r="K96" s="57"/>
      <c r="L96" s="95">
        <v>45301</v>
      </c>
      <c r="M96" s="86">
        <v>73</v>
      </c>
      <c r="N96" s="85"/>
      <c r="O96" s="85"/>
      <c r="P96" s="85"/>
      <c r="Q96" s="85"/>
      <c r="R96" s="85"/>
      <c r="S96" s="85"/>
    </row>
    <row r="97" spans="1:19" ht="31.5">
      <c r="A97" s="83">
        <v>1257</v>
      </c>
      <c r="B97" s="141">
        <v>45682</v>
      </c>
      <c r="C97" s="18" t="s">
        <v>6</v>
      </c>
      <c r="D97" s="21" t="s">
        <v>1986</v>
      </c>
      <c r="E97" s="21" t="s">
        <v>1988</v>
      </c>
      <c r="F97" s="20" t="s">
        <v>16</v>
      </c>
      <c r="G97" s="18" t="str">
        <f>C97</f>
        <v>CSE</v>
      </c>
      <c r="H97" s="86">
        <v>1800</v>
      </c>
      <c r="I97" s="146">
        <v>45691</v>
      </c>
      <c r="J97" s="87"/>
      <c r="K97" s="57"/>
      <c r="L97" s="95">
        <v>45352</v>
      </c>
      <c r="M97" s="86">
        <v>73</v>
      </c>
      <c r="N97" s="85"/>
      <c r="O97" s="85"/>
      <c r="P97" s="85"/>
      <c r="Q97" s="85"/>
      <c r="R97" s="85"/>
      <c r="S97" s="85"/>
    </row>
    <row r="98" spans="1:19" ht="31.5">
      <c r="A98" s="83">
        <v>1258</v>
      </c>
      <c r="B98" s="141">
        <v>45682</v>
      </c>
      <c r="C98" s="18" t="s">
        <v>6</v>
      </c>
      <c r="D98" s="21" t="s">
        <v>1986</v>
      </c>
      <c r="E98" s="21" t="s">
        <v>1987</v>
      </c>
      <c r="F98" s="20" t="s">
        <v>16</v>
      </c>
      <c r="G98" s="18" t="str">
        <f>C98</f>
        <v>CSE</v>
      </c>
      <c r="H98" s="86">
        <v>1800</v>
      </c>
      <c r="I98" s="146">
        <v>45691</v>
      </c>
      <c r="J98" s="87"/>
      <c r="K98" s="57"/>
      <c r="L98" s="95">
        <v>45089</v>
      </c>
      <c r="M98" s="86">
        <v>73</v>
      </c>
      <c r="N98" s="85"/>
      <c r="O98" s="85"/>
      <c r="P98" s="85"/>
      <c r="Q98" s="85"/>
      <c r="R98" s="85"/>
      <c r="S98" s="85"/>
    </row>
    <row r="99" spans="1:19" ht="31.5">
      <c r="A99" s="83">
        <v>1259</v>
      </c>
      <c r="B99" s="141">
        <v>45682</v>
      </c>
      <c r="C99" s="18" t="s">
        <v>6</v>
      </c>
      <c r="D99" s="21" t="s">
        <v>1986</v>
      </c>
      <c r="E99" s="21" t="s">
        <v>1985</v>
      </c>
      <c r="F99" s="20" t="s">
        <v>16</v>
      </c>
      <c r="G99" s="18" t="str">
        <f>C99</f>
        <v>CSE</v>
      </c>
      <c r="H99" s="86">
        <v>1800</v>
      </c>
      <c r="I99" s="146">
        <v>45691</v>
      </c>
      <c r="J99" s="87"/>
      <c r="K99" s="57"/>
      <c r="L99" s="86" t="s">
        <v>1984</v>
      </c>
      <c r="M99" s="86">
        <v>73</v>
      </c>
      <c r="N99" s="85"/>
      <c r="O99" s="85"/>
      <c r="P99" s="85"/>
      <c r="Q99" s="85"/>
      <c r="R99" s="85"/>
      <c r="S99" s="85"/>
    </row>
    <row r="100" spans="1:19" ht="63">
      <c r="A100" s="83">
        <v>1260</v>
      </c>
      <c r="B100" s="141">
        <v>45679</v>
      </c>
      <c r="C100" s="18" t="s">
        <v>5</v>
      </c>
      <c r="D100" s="21" t="s">
        <v>294</v>
      </c>
      <c r="E100" s="21" t="s">
        <v>1983</v>
      </c>
      <c r="F100" s="20" t="s">
        <v>16</v>
      </c>
      <c r="G100" s="18" t="str">
        <f>C100</f>
        <v>ECE</v>
      </c>
      <c r="H100" s="86">
        <v>900</v>
      </c>
      <c r="I100" s="146">
        <v>45691</v>
      </c>
      <c r="J100" s="87"/>
      <c r="K100" s="57"/>
      <c r="L100" s="91">
        <v>45627</v>
      </c>
      <c r="M100" s="86">
        <v>73</v>
      </c>
      <c r="N100" s="85"/>
      <c r="O100" s="85"/>
      <c r="P100" s="85"/>
      <c r="Q100" s="85"/>
      <c r="R100" s="85"/>
      <c r="S100" s="85"/>
    </row>
    <row r="101" spans="1:19" ht="31.5">
      <c r="A101" s="83">
        <v>1261</v>
      </c>
      <c r="B101" s="141">
        <v>45680</v>
      </c>
      <c r="C101" s="18" t="s">
        <v>5</v>
      </c>
      <c r="D101" s="161" t="s">
        <v>211</v>
      </c>
      <c r="E101" s="21" t="s">
        <v>1982</v>
      </c>
      <c r="F101" s="20" t="s">
        <v>16</v>
      </c>
      <c r="G101" s="18" t="str">
        <f>C101</f>
        <v>ECE</v>
      </c>
      <c r="H101" s="86">
        <v>3000</v>
      </c>
      <c r="I101" s="146">
        <v>45691</v>
      </c>
      <c r="J101" s="87"/>
      <c r="K101" s="57"/>
      <c r="L101" s="95">
        <v>45356</v>
      </c>
      <c r="M101" s="86">
        <v>73</v>
      </c>
      <c r="N101" s="85"/>
      <c r="O101" s="85"/>
      <c r="P101" s="85"/>
      <c r="Q101" s="85"/>
      <c r="R101" s="85"/>
      <c r="S101" s="85"/>
    </row>
    <row r="102" spans="1:19" ht="31.5">
      <c r="A102" s="83">
        <v>1262</v>
      </c>
      <c r="B102" s="141">
        <v>45680</v>
      </c>
      <c r="C102" s="18" t="s">
        <v>5</v>
      </c>
      <c r="D102" s="161" t="s">
        <v>211</v>
      </c>
      <c r="E102" s="21" t="s">
        <v>1981</v>
      </c>
      <c r="F102" s="20" t="s">
        <v>16</v>
      </c>
      <c r="G102" s="18" t="str">
        <f>C102</f>
        <v>ECE</v>
      </c>
      <c r="H102" s="86">
        <v>900</v>
      </c>
      <c r="I102" s="146">
        <v>45691</v>
      </c>
      <c r="J102" s="87"/>
      <c r="K102" s="57"/>
      <c r="L102" s="86" t="s">
        <v>787</v>
      </c>
      <c r="M102" s="86">
        <v>73</v>
      </c>
      <c r="N102" s="85"/>
      <c r="O102" s="85"/>
      <c r="P102" s="85"/>
      <c r="Q102" s="85"/>
      <c r="R102" s="85"/>
      <c r="S102" s="85"/>
    </row>
    <row r="103" spans="1:19" ht="15.75">
      <c r="A103" s="83">
        <v>1263</v>
      </c>
      <c r="B103" s="141">
        <v>45680</v>
      </c>
      <c r="C103" s="18" t="s">
        <v>5</v>
      </c>
      <c r="D103" s="161" t="s">
        <v>211</v>
      </c>
      <c r="E103" s="21" t="s">
        <v>198</v>
      </c>
      <c r="F103" s="20" t="s">
        <v>193</v>
      </c>
      <c r="G103" s="18" t="str">
        <f>C103</f>
        <v>ECE</v>
      </c>
      <c r="H103" s="86">
        <v>4000</v>
      </c>
      <c r="I103" s="146">
        <v>45691</v>
      </c>
      <c r="J103" s="87"/>
      <c r="K103" s="57"/>
      <c r="L103" s="86" t="s">
        <v>1980</v>
      </c>
      <c r="M103" s="86">
        <v>73</v>
      </c>
      <c r="N103" s="85"/>
      <c r="O103" s="85"/>
      <c r="P103" s="85"/>
      <c r="Q103" s="85"/>
      <c r="R103" s="85"/>
      <c r="S103" s="85"/>
    </row>
    <row r="104" spans="1:19" ht="31.5">
      <c r="A104" s="83">
        <v>1264</v>
      </c>
      <c r="B104" s="141">
        <v>45681</v>
      </c>
      <c r="C104" s="18" t="s">
        <v>5</v>
      </c>
      <c r="D104" s="21" t="s">
        <v>175</v>
      </c>
      <c r="E104" s="21" t="s">
        <v>1979</v>
      </c>
      <c r="F104" s="20" t="s">
        <v>23</v>
      </c>
      <c r="G104" s="18" t="str">
        <f>C104</f>
        <v>ECE</v>
      </c>
      <c r="H104" s="86">
        <v>10000</v>
      </c>
      <c r="I104" s="146">
        <v>45691</v>
      </c>
      <c r="J104" s="87"/>
      <c r="K104" s="57"/>
      <c r="L104" s="96">
        <v>45607</v>
      </c>
      <c r="M104" s="86">
        <v>73</v>
      </c>
      <c r="N104" s="85"/>
      <c r="O104" s="85"/>
      <c r="P104" s="85"/>
      <c r="Q104" s="85"/>
      <c r="R104" s="85"/>
      <c r="S104" s="85"/>
    </row>
    <row r="105" spans="1:19" ht="15.75">
      <c r="A105" s="83">
        <v>1265</v>
      </c>
      <c r="B105" s="141">
        <v>45681</v>
      </c>
      <c r="C105" s="18" t="s">
        <v>5</v>
      </c>
      <c r="D105" s="21" t="s">
        <v>175</v>
      </c>
      <c r="E105" s="21" t="s">
        <v>1978</v>
      </c>
      <c r="F105" s="20" t="s">
        <v>16</v>
      </c>
      <c r="G105" s="18" t="str">
        <f>C105</f>
        <v>ECE</v>
      </c>
      <c r="H105" s="86">
        <v>3000</v>
      </c>
      <c r="I105" s="146">
        <v>45691</v>
      </c>
      <c r="J105" s="87"/>
      <c r="K105" s="57"/>
      <c r="L105" s="86" t="s">
        <v>1976</v>
      </c>
      <c r="M105" s="86">
        <v>73</v>
      </c>
      <c r="N105" s="85"/>
      <c r="O105" s="85"/>
      <c r="P105" s="85"/>
      <c r="Q105" s="85"/>
      <c r="R105" s="85"/>
      <c r="S105" s="85"/>
    </row>
    <row r="106" spans="1:19" ht="31.5">
      <c r="A106" s="83">
        <v>1266</v>
      </c>
      <c r="B106" s="141">
        <v>45681</v>
      </c>
      <c r="C106" s="18" t="s">
        <v>5</v>
      </c>
      <c r="D106" s="21" t="s">
        <v>175</v>
      </c>
      <c r="E106" s="21" t="s">
        <v>1977</v>
      </c>
      <c r="F106" s="20" t="s">
        <v>16</v>
      </c>
      <c r="G106" s="18" t="str">
        <f>C106</f>
        <v>ECE</v>
      </c>
      <c r="H106" s="86">
        <v>3000</v>
      </c>
      <c r="I106" s="146">
        <v>45691</v>
      </c>
      <c r="J106" s="87"/>
      <c r="K106" s="57"/>
      <c r="L106" s="86" t="s">
        <v>1976</v>
      </c>
      <c r="M106" s="86">
        <v>73</v>
      </c>
      <c r="N106" s="85"/>
      <c r="O106" s="85"/>
      <c r="P106" s="85"/>
      <c r="Q106" s="85"/>
      <c r="R106" s="85"/>
      <c r="S106" s="85"/>
    </row>
    <row r="107" spans="1:19" ht="15.75">
      <c r="A107" s="83">
        <v>1267</v>
      </c>
      <c r="B107" s="141">
        <v>45681</v>
      </c>
      <c r="C107" s="18" t="s">
        <v>5</v>
      </c>
      <c r="D107" s="21" t="s">
        <v>175</v>
      </c>
      <c r="E107" s="21" t="s">
        <v>239</v>
      </c>
      <c r="F107" s="20" t="s">
        <v>193</v>
      </c>
      <c r="G107" s="18" t="str">
        <f>C107</f>
        <v>ECE</v>
      </c>
      <c r="H107" s="86">
        <v>6000</v>
      </c>
      <c r="I107" s="146">
        <v>45691</v>
      </c>
      <c r="J107" s="87"/>
      <c r="K107" s="57"/>
      <c r="L107" s="91">
        <v>45566</v>
      </c>
      <c r="M107" s="86">
        <v>73</v>
      </c>
      <c r="N107" s="85"/>
      <c r="O107" s="85"/>
      <c r="P107" s="85"/>
      <c r="Q107" s="85"/>
      <c r="R107" s="85"/>
      <c r="S107" s="85"/>
    </row>
    <row r="108" spans="1:19" ht="15.75">
      <c r="A108" s="83">
        <v>1268</v>
      </c>
      <c r="B108" s="141">
        <v>45681</v>
      </c>
      <c r="C108" s="18" t="s">
        <v>6</v>
      </c>
      <c r="D108" s="21" t="s">
        <v>181</v>
      </c>
      <c r="E108" s="21" t="s">
        <v>1975</v>
      </c>
      <c r="F108" s="20" t="s">
        <v>23</v>
      </c>
      <c r="G108" s="18" t="str">
        <f>C108</f>
        <v>CSE</v>
      </c>
      <c r="H108" s="86">
        <v>6000</v>
      </c>
      <c r="I108" s="146">
        <v>45691</v>
      </c>
      <c r="J108" s="87"/>
      <c r="K108" s="57"/>
      <c r="L108" s="99">
        <v>45413</v>
      </c>
      <c r="M108" s="86">
        <v>73</v>
      </c>
      <c r="N108" s="85"/>
      <c r="O108" s="85"/>
      <c r="P108" s="85"/>
      <c r="Q108" s="85"/>
      <c r="R108" s="85"/>
      <c r="S108" s="85"/>
    </row>
    <row r="109" spans="1:19" ht="31.5">
      <c r="A109" s="83">
        <v>1269</v>
      </c>
      <c r="B109" s="141">
        <v>45681</v>
      </c>
      <c r="C109" s="18" t="s">
        <v>6</v>
      </c>
      <c r="D109" s="21" t="s">
        <v>181</v>
      </c>
      <c r="E109" s="21" t="s">
        <v>1974</v>
      </c>
      <c r="F109" s="20" t="s">
        <v>324</v>
      </c>
      <c r="G109" s="18" t="str">
        <f>C109</f>
        <v>CSE</v>
      </c>
      <c r="H109" s="86">
        <v>3000</v>
      </c>
      <c r="I109" s="146">
        <v>45691</v>
      </c>
      <c r="J109" s="87"/>
      <c r="K109" s="57"/>
      <c r="L109" s="99">
        <v>45413</v>
      </c>
      <c r="M109" s="86">
        <v>73</v>
      </c>
      <c r="N109" s="85"/>
      <c r="O109" s="85"/>
      <c r="P109" s="85"/>
      <c r="Q109" s="85"/>
      <c r="R109" s="85"/>
      <c r="S109" s="85"/>
    </row>
    <row r="110" spans="1:19" ht="31.5">
      <c r="A110" s="83">
        <v>1270</v>
      </c>
      <c r="B110" s="141">
        <v>45681</v>
      </c>
      <c r="C110" s="18" t="s">
        <v>6</v>
      </c>
      <c r="D110" s="21" t="s">
        <v>181</v>
      </c>
      <c r="E110" s="21" t="s">
        <v>1973</v>
      </c>
      <c r="F110" s="20" t="s">
        <v>16</v>
      </c>
      <c r="G110" s="18" t="str">
        <f>C110</f>
        <v>CSE</v>
      </c>
      <c r="H110" s="86">
        <v>3000</v>
      </c>
      <c r="I110" s="146">
        <v>45691</v>
      </c>
      <c r="J110" s="87"/>
      <c r="K110" s="57"/>
      <c r="L110" s="86" t="s">
        <v>1972</v>
      </c>
      <c r="M110" s="86">
        <v>73</v>
      </c>
      <c r="N110" s="85"/>
      <c r="O110" s="85"/>
      <c r="P110" s="85"/>
      <c r="Q110" s="85"/>
      <c r="R110" s="85"/>
      <c r="S110" s="85"/>
    </row>
    <row r="111" spans="1:19" ht="31.5">
      <c r="A111" s="83">
        <v>1271</v>
      </c>
      <c r="B111" s="141">
        <v>45681</v>
      </c>
      <c r="C111" s="18" t="s">
        <v>7</v>
      </c>
      <c r="D111" s="21" t="s">
        <v>1971</v>
      </c>
      <c r="E111" s="21" t="s">
        <v>1970</v>
      </c>
      <c r="F111" s="20" t="s">
        <v>16</v>
      </c>
      <c r="G111" s="18" t="str">
        <f>C111</f>
        <v>CSBS</v>
      </c>
      <c r="H111" s="86">
        <v>1800</v>
      </c>
      <c r="I111" s="146">
        <v>45691</v>
      </c>
      <c r="J111" s="87"/>
      <c r="K111" s="57"/>
      <c r="L111" s="95">
        <v>45479</v>
      </c>
      <c r="M111" s="86">
        <v>73</v>
      </c>
      <c r="N111" s="85"/>
      <c r="O111" s="85"/>
      <c r="P111" s="85"/>
      <c r="Q111" s="85"/>
      <c r="R111" s="85"/>
      <c r="S111" s="85"/>
    </row>
    <row r="112" spans="1:19" ht="31.5">
      <c r="A112" s="83">
        <v>1272</v>
      </c>
      <c r="B112" s="141">
        <v>45681</v>
      </c>
      <c r="C112" s="18" t="s">
        <v>7</v>
      </c>
      <c r="D112" s="21" t="s">
        <v>1968</v>
      </c>
      <c r="E112" s="21" t="s">
        <v>1969</v>
      </c>
      <c r="F112" s="20" t="s">
        <v>16</v>
      </c>
      <c r="G112" s="18" t="str">
        <f>C112</f>
        <v>CSBS</v>
      </c>
      <c r="H112" s="86">
        <v>1800</v>
      </c>
      <c r="I112" s="146">
        <v>45691</v>
      </c>
      <c r="J112" s="87"/>
      <c r="K112" s="57"/>
      <c r="L112" s="86" t="s">
        <v>846</v>
      </c>
      <c r="M112" s="86">
        <v>73</v>
      </c>
      <c r="N112" s="85"/>
      <c r="O112" s="85"/>
      <c r="P112" s="85"/>
      <c r="Q112" s="85"/>
      <c r="R112" s="85"/>
      <c r="S112" s="85"/>
    </row>
    <row r="113" spans="1:19" ht="47.25">
      <c r="A113" s="83">
        <v>1273</v>
      </c>
      <c r="B113" s="141">
        <v>45681</v>
      </c>
      <c r="C113" s="18" t="s">
        <v>7</v>
      </c>
      <c r="D113" s="21" t="s">
        <v>1968</v>
      </c>
      <c r="E113" s="21" t="s">
        <v>1967</v>
      </c>
      <c r="F113" s="20" t="s">
        <v>187</v>
      </c>
      <c r="G113" s="18" t="str">
        <f>C113</f>
        <v>CSBS</v>
      </c>
      <c r="H113" s="86">
        <v>1800</v>
      </c>
      <c r="I113" s="146">
        <v>45691</v>
      </c>
      <c r="J113" s="87"/>
      <c r="K113" s="57"/>
      <c r="L113" s="95">
        <v>45420</v>
      </c>
      <c r="M113" s="86">
        <v>73</v>
      </c>
      <c r="N113" s="85"/>
      <c r="O113" s="85"/>
      <c r="P113" s="85"/>
      <c r="Q113" s="85"/>
      <c r="R113" s="85"/>
      <c r="S113" s="85"/>
    </row>
    <row r="114" spans="1:19" ht="31.5">
      <c r="A114" s="83">
        <v>1274</v>
      </c>
      <c r="B114" s="141">
        <v>45681</v>
      </c>
      <c r="C114" s="18" t="s">
        <v>4</v>
      </c>
      <c r="D114" s="21" t="s">
        <v>63</v>
      </c>
      <c r="E114" s="21" t="s">
        <v>1966</v>
      </c>
      <c r="F114" s="20" t="s">
        <v>23</v>
      </c>
      <c r="G114" s="18" t="str">
        <f>C114</f>
        <v>EEE</v>
      </c>
      <c r="H114" s="86">
        <v>6000</v>
      </c>
      <c r="I114" s="146">
        <v>45691</v>
      </c>
      <c r="J114" s="87"/>
      <c r="K114" s="57"/>
      <c r="L114" s="86" t="s">
        <v>1965</v>
      </c>
      <c r="M114" s="86">
        <v>73</v>
      </c>
      <c r="N114" s="85"/>
      <c r="O114" s="85"/>
      <c r="P114" s="85"/>
      <c r="Q114" s="85"/>
      <c r="R114" s="85"/>
      <c r="S114" s="85"/>
    </row>
    <row r="115" spans="1:19" ht="15.75">
      <c r="A115" s="83">
        <v>1275</v>
      </c>
      <c r="B115" s="141">
        <v>45681</v>
      </c>
      <c r="C115" s="18" t="s">
        <v>2</v>
      </c>
      <c r="D115" s="21" t="s">
        <v>583</v>
      </c>
      <c r="E115" s="21" t="s">
        <v>1964</v>
      </c>
      <c r="F115" s="20" t="s">
        <v>193</v>
      </c>
      <c r="G115" s="18" t="str">
        <f>C115</f>
        <v>Mech</v>
      </c>
      <c r="H115" s="86">
        <v>14000</v>
      </c>
      <c r="I115" s="146">
        <v>45691</v>
      </c>
      <c r="J115" s="87"/>
      <c r="K115" s="57"/>
      <c r="L115" s="86" t="s">
        <v>1928</v>
      </c>
      <c r="M115" s="86">
        <v>73</v>
      </c>
      <c r="N115" s="85"/>
      <c r="O115" s="85"/>
      <c r="P115" s="85"/>
      <c r="Q115" s="85"/>
      <c r="R115" s="85"/>
      <c r="S115" s="85"/>
    </row>
    <row r="116" spans="1:19" ht="31.5">
      <c r="A116" s="83">
        <v>1276</v>
      </c>
      <c r="B116" s="141">
        <v>45665</v>
      </c>
      <c r="C116" s="18" t="s">
        <v>6</v>
      </c>
      <c r="D116" s="21" t="s">
        <v>566</v>
      </c>
      <c r="E116" s="21" t="s">
        <v>1963</v>
      </c>
      <c r="F116" s="20" t="s">
        <v>16</v>
      </c>
      <c r="G116" s="18" t="str">
        <f>C116</f>
        <v>CSE</v>
      </c>
      <c r="H116" s="86">
        <v>900</v>
      </c>
      <c r="I116" s="146">
        <v>45691</v>
      </c>
      <c r="J116" s="87"/>
      <c r="K116" s="57"/>
      <c r="L116" s="95">
        <v>45328</v>
      </c>
      <c r="M116" s="86">
        <v>73</v>
      </c>
      <c r="N116" s="85"/>
      <c r="O116" s="85"/>
      <c r="P116" s="85"/>
      <c r="Q116" s="85"/>
      <c r="R116" s="85"/>
      <c r="S116" s="85"/>
    </row>
    <row r="117" spans="1:19" ht="63">
      <c r="A117" s="83">
        <v>1277</v>
      </c>
      <c r="B117" s="141">
        <v>45665</v>
      </c>
      <c r="C117" s="18" t="s">
        <v>6</v>
      </c>
      <c r="D117" s="21" t="s">
        <v>566</v>
      </c>
      <c r="E117" s="21" t="s">
        <v>1962</v>
      </c>
      <c r="F117" s="20" t="s">
        <v>16</v>
      </c>
      <c r="G117" s="18" t="str">
        <f>C117</f>
        <v>CSE</v>
      </c>
      <c r="H117" s="86">
        <v>900</v>
      </c>
      <c r="I117" s="146">
        <v>45691</v>
      </c>
      <c r="J117" s="87"/>
      <c r="K117" s="57"/>
      <c r="L117" s="86" t="s">
        <v>787</v>
      </c>
      <c r="M117" s="86">
        <v>73</v>
      </c>
      <c r="N117" s="85"/>
      <c r="O117" s="85"/>
      <c r="P117" s="85"/>
      <c r="Q117" s="85"/>
      <c r="R117" s="85"/>
      <c r="S117" s="85"/>
    </row>
    <row r="118" spans="1:19" ht="31.5">
      <c r="A118" s="83">
        <v>1278</v>
      </c>
      <c r="B118" s="141">
        <v>45665</v>
      </c>
      <c r="C118" s="18" t="s">
        <v>6</v>
      </c>
      <c r="D118" s="21" t="s">
        <v>566</v>
      </c>
      <c r="E118" s="21" t="s">
        <v>1961</v>
      </c>
      <c r="F118" s="20" t="s">
        <v>16</v>
      </c>
      <c r="G118" s="18" t="str">
        <f>C118</f>
        <v>CSE</v>
      </c>
      <c r="H118" s="86">
        <v>3000</v>
      </c>
      <c r="I118" s="146">
        <v>45691</v>
      </c>
      <c r="J118" s="87"/>
      <c r="K118" s="57"/>
      <c r="L118" s="86" t="s">
        <v>1960</v>
      </c>
      <c r="M118" s="86">
        <v>73</v>
      </c>
      <c r="N118" s="85"/>
      <c r="O118" s="85"/>
      <c r="P118" s="85"/>
      <c r="Q118" s="85"/>
      <c r="R118" s="85"/>
      <c r="S118" s="85"/>
    </row>
    <row r="119" spans="1:19" ht="31.5">
      <c r="A119" s="83">
        <v>1279</v>
      </c>
      <c r="B119" s="141">
        <v>45665</v>
      </c>
      <c r="C119" s="18" t="s">
        <v>6</v>
      </c>
      <c r="D119" s="21" t="s">
        <v>566</v>
      </c>
      <c r="E119" s="21" t="s">
        <v>1959</v>
      </c>
      <c r="F119" s="20" t="s">
        <v>16</v>
      </c>
      <c r="G119" s="18" t="str">
        <f>C119</f>
        <v>CSE</v>
      </c>
      <c r="H119" s="86">
        <v>3000</v>
      </c>
      <c r="I119" s="146">
        <v>45691</v>
      </c>
      <c r="J119" s="87"/>
      <c r="K119" s="57"/>
      <c r="L119" s="95">
        <v>45393</v>
      </c>
      <c r="M119" s="86">
        <v>73</v>
      </c>
      <c r="N119" s="85"/>
      <c r="O119" s="85"/>
      <c r="P119" s="85"/>
      <c r="Q119" s="85"/>
      <c r="R119" s="85"/>
      <c r="S119" s="85"/>
    </row>
    <row r="120" spans="1:19" ht="31.5">
      <c r="A120" s="83">
        <v>1280</v>
      </c>
      <c r="B120" s="141">
        <v>45665</v>
      </c>
      <c r="C120" s="18" t="s">
        <v>6</v>
      </c>
      <c r="D120" s="21" t="s">
        <v>566</v>
      </c>
      <c r="E120" s="21" t="s">
        <v>1958</v>
      </c>
      <c r="F120" s="20" t="s">
        <v>16</v>
      </c>
      <c r="G120" s="18" t="str">
        <f>C120</f>
        <v>CSE</v>
      </c>
      <c r="H120" s="86">
        <v>3000</v>
      </c>
      <c r="I120" s="146">
        <v>45691</v>
      </c>
      <c r="J120" s="87"/>
      <c r="K120" s="57"/>
      <c r="L120" s="95">
        <v>45393</v>
      </c>
      <c r="M120" s="86">
        <v>73</v>
      </c>
      <c r="N120" s="85"/>
      <c r="O120" s="85"/>
      <c r="P120" s="85"/>
      <c r="Q120" s="85"/>
      <c r="R120" s="85"/>
      <c r="S120" s="85"/>
    </row>
    <row r="121" spans="1:19" ht="15.75">
      <c r="A121" s="83">
        <v>1281</v>
      </c>
      <c r="B121" s="141">
        <v>45665</v>
      </c>
      <c r="C121" s="18" t="s">
        <v>6</v>
      </c>
      <c r="D121" s="21" t="s">
        <v>566</v>
      </c>
      <c r="E121" s="21" t="s">
        <v>166</v>
      </c>
      <c r="F121" s="20" t="s">
        <v>193</v>
      </c>
      <c r="G121" s="18" t="str">
        <f>C121</f>
        <v>CSE</v>
      </c>
      <c r="H121" s="86">
        <v>2000</v>
      </c>
      <c r="I121" s="146">
        <v>45691</v>
      </c>
      <c r="J121" s="87"/>
      <c r="K121" s="57"/>
      <c r="L121" s="95">
        <v>45393</v>
      </c>
      <c r="M121" s="86">
        <v>73</v>
      </c>
      <c r="N121" s="85"/>
      <c r="O121" s="85"/>
      <c r="P121" s="85"/>
      <c r="Q121" s="85"/>
      <c r="R121" s="85"/>
      <c r="S121" s="85"/>
    </row>
    <row r="122" spans="1:19" ht="31.5">
      <c r="A122" s="83">
        <v>1282</v>
      </c>
      <c r="B122" s="141">
        <v>45681</v>
      </c>
      <c r="C122" s="18" t="s">
        <v>6</v>
      </c>
      <c r="D122" s="21" t="s">
        <v>230</v>
      </c>
      <c r="E122" s="21" t="s">
        <v>1957</v>
      </c>
      <c r="F122" s="20" t="s">
        <v>16</v>
      </c>
      <c r="G122" s="18" t="str">
        <f>C122</f>
        <v>CSE</v>
      </c>
      <c r="H122" s="109">
        <v>3000</v>
      </c>
      <c r="I122" s="146">
        <v>45691</v>
      </c>
      <c r="J122" s="87"/>
      <c r="K122" s="57"/>
      <c r="L122" s="86" t="s">
        <v>829</v>
      </c>
      <c r="M122" s="86">
        <v>73</v>
      </c>
      <c r="N122" s="85"/>
      <c r="O122" s="85"/>
      <c r="P122" s="85"/>
      <c r="Q122" s="85"/>
      <c r="R122" s="85"/>
      <c r="S122" s="85"/>
    </row>
    <row r="123" spans="1:19" ht="31.5">
      <c r="A123" s="83">
        <v>1283</v>
      </c>
      <c r="B123" s="141">
        <v>45681</v>
      </c>
      <c r="C123" s="18" t="s">
        <v>6</v>
      </c>
      <c r="D123" s="21" t="s">
        <v>230</v>
      </c>
      <c r="E123" s="21" t="s">
        <v>1956</v>
      </c>
      <c r="F123" s="20" t="s">
        <v>16</v>
      </c>
      <c r="G123" s="18" t="str">
        <f>C123</f>
        <v>CSE</v>
      </c>
      <c r="H123" s="109">
        <v>3000</v>
      </c>
      <c r="I123" s="146">
        <v>45691</v>
      </c>
      <c r="J123" s="87"/>
      <c r="K123" s="57"/>
      <c r="L123" s="86" t="s">
        <v>1851</v>
      </c>
      <c r="M123" s="86">
        <v>73</v>
      </c>
      <c r="N123" s="85"/>
      <c r="O123" s="85"/>
      <c r="P123" s="85"/>
      <c r="Q123" s="85"/>
      <c r="R123" s="85"/>
      <c r="S123" s="85"/>
    </row>
    <row r="124" spans="1:19" ht="31.5">
      <c r="A124" s="83">
        <v>1284</v>
      </c>
      <c r="B124" s="141">
        <v>45681</v>
      </c>
      <c r="C124" s="18" t="s">
        <v>6</v>
      </c>
      <c r="D124" s="21" t="s">
        <v>230</v>
      </c>
      <c r="E124" s="21" t="s">
        <v>1955</v>
      </c>
      <c r="F124" s="20" t="s">
        <v>16</v>
      </c>
      <c r="G124" s="18" t="str">
        <f>C124</f>
        <v>CSE</v>
      </c>
      <c r="H124" s="109">
        <v>3000</v>
      </c>
      <c r="I124" s="146">
        <v>45691</v>
      </c>
      <c r="J124" s="87"/>
      <c r="K124" s="57"/>
      <c r="L124" s="86" t="s">
        <v>1851</v>
      </c>
      <c r="M124" s="86">
        <v>73</v>
      </c>
      <c r="N124" s="85"/>
      <c r="O124" s="85"/>
      <c r="P124" s="85"/>
      <c r="Q124" s="85"/>
      <c r="R124" s="85"/>
      <c r="S124" s="85"/>
    </row>
    <row r="125" spans="1:19" ht="47.25">
      <c r="A125" s="83">
        <v>1285</v>
      </c>
      <c r="B125" s="141">
        <v>45684</v>
      </c>
      <c r="C125" s="18" t="s">
        <v>5</v>
      </c>
      <c r="D125" s="21" t="s">
        <v>264</v>
      </c>
      <c r="E125" s="21" t="s">
        <v>1954</v>
      </c>
      <c r="F125" s="20" t="s">
        <v>324</v>
      </c>
      <c r="G125" s="18" t="str">
        <f>C125</f>
        <v>ECE</v>
      </c>
      <c r="H125" s="86">
        <v>5000</v>
      </c>
      <c r="I125" s="146">
        <v>45691</v>
      </c>
      <c r="J125" s="87"/>
      <c r="K125" s="57"/>
      <c r="L125" s="95">
        <v>45778</v>
      </c>
      <c r="M125" s="86">
        <v>73</v>
      </c>
      <c r="N125" s="85"/>
      <c r="O125" s="85"/>
      <c r="P125" s="85"/>
      <c r="Q125" s="85"/>
      <c r="R125" s="85"/>
      <c r="S125" s="85"/>
    </row>
    <row r="126" spans="1:19" ht="31.5">
      <c r="A126" s="83">
        <v>1286</v>
      </c>
      <c r="B126" s="141">
        <v>45685</v>
      </c>
      <c r="C126" s="18" t="s">
        <v>5</v>
      </c>
      <c r="D126" s="21" t="s">
        <v>899</v>
      </c>
      <c r="E126" s="160" t="s">
        <v>1953</v>
      </c>
      <c r="F126" s="20" t="s">
        <v>16</v>
      </c>
      <c r="G126" s="18" t="str">
        <f>C126</f>
        <v>ECE</v>
      </c>
      <c r="H126" s="86">
        <v>1800</v>
      </c>
      <c r="I126" s="146">
        <v>45691</v>
      </c>
      <c r="J126" s="87"/>
      <c r="K126" s="57"/>
      <c r="L126" s="99">
        <v>45383</v>
      </c>
      <c r="M126" s="86">
        <v>73</v>
      </c>
      <c r="N126" s="85"/>
      <c r="O126" s="85"/>
      <c r="P126" s="85"/>
      <c r="Q126" s="85"/>
      <c r="R126" s="85"/>
      <c r="S126" s="85"/>
    </row>
    <row r="127" spans="1:19" ht="31.5">
      <c r="A127" s="83">
        <v>1287</v>
      </c>
      <c r="B127" s="141">
        <v>45685</v>
      </c>
      <c r="C127" s="18" t="s">
        <v>36</v>
      </c>
      <c r="D127" s="21" t="s">
        <v>275</v>
      </c>
      <c r="E127" s="21" t="s">
        <v>1952</v>
      </c>
      <c r="F127" s="20" t="s">
        <v>23</v>
      </c>
      <c r="G127" s="18" t="str">
        <f>C127</f>
        <v>AIDS</v>
      </c>
      <c r="H127" s="86">
        <v>6000</v>
      </c>
      <c r="I127" s="146">
        <v>45691</v>
      </c>
      <c r="J127" s="87"/>
      <c r="K127" s="57"/>
      <c r="L127" s="86" t="s">
        <v>1951</v>
      </c>
      <c r="M127" s="86">
        <v>73</v>
      </c>
      <c r="N127" s="85"/>
      <c r="O127" s="85"/>
      <c r="P127" s="85"/>
      <c r="Q127" s="85"/>
      <c r="R127" s="85"/>
      <c r="S127" s="85"/>
    </row>
    <row r="128" spans="1:19" ht="47.25">
      <c r="A128" s="83">
        <v>1288</v>
      </c>
      <c r="B128" s="141">
        <v>45685</v>
      </c>
      <c r="C128" s="18" t="s">
        <v>36</v>
      </c>
      <c r="D128" s="21" t="s">
        <v>275</v>
      </c>
      <c r="E128" s="21" t="s">
        <v>1950</v>
      </c>
      <c r="F128" s="20" t="s">
        <v>23</v>
      </c>
      <c r="G128" s="18" t="str">
        <f>C128</f>
        <v>AIDS</v>
      </c>
      <c r="H128" s="86">
        <v>10000</v>
      </c>
      <c r="I128" s="146">
        <v>45691</v>
      </c>
      <c r="J128" s="87"/>
      <c r="K128" s="57"/>
      <c r="L128" s="95">
        <v>45839</v>
      </c>
      <c r="M128" s="86">
        <v>73</v>
      </c>
      <c r="N128" s="85"/>
      <c r="O128" s="85"/>
      <c r="P128" s="85"/>
      <c r="Q128" s="85"/>
      <c r="R128" s="85"/>
      <c r="S128" s="85"/>
    </row>
    <row r="129" spans="1:19" ht="15.75">
      <c r="A129" s="83">
        <v>1289</v>
      </c>
      <c r="B129" s="141">
        <v>45680</v>
      </c>
      <c r="C129" s="18" t="s">
        <v>4</v>
      </c>
      <c r="D129" s="21" t="s">
        <v>1949</v>
      </c>
      <c r="E129" s="21" t="s">
        <v>198</v>
      </c>
      <c r="F129" s="20" t="s">
        <v>193</v>
      </c>
      <c r="G129" s="18" t="str">
        <f>C129</f>
        <v>EEE</v>
      </c>
      <c r="H129" s="86">
        <v>4000</v>
      </c>
      <c r="I129" s="146">
        <v>45691</v>
      </c>
      <c r="J129" s="87"/>
      <c r="K129" s="57"/>
      <c r="L129" s="86" t="s">
        <v>1948</v>
      </c>
      <c r="M129" s="86">
        <v>73</v>
      </c>
      <c r="N129" s="85"/>
      <c r="O129" s="85"/>
      <c r="P129" s="85"/>
      <c r="Q129" s="85"/>
      <c r="R129" s="85"/>
      <c r="S129" s="85"/>
    </row>
    <row r="130" spans="1:19" ht="15.75">
      <c r="A130" s="83">
        <v>1290</v>
      </c>
      <c r="B130" s="141">
        <v>45686</v>
      </c>
      <c r="C130" s="18" t="s">
        <v>2</v>
      </c>
      <c r="D130" s="21" t="s">
        <v>1685</v>
      </c>
      <c r="E130" s="21" t="s">
        <v>725</v>
      </c>
      <c r="F130" s="20" t="s">
        <v>193</v>
      </c>
      <c r="G130" s="18" t="str">
        <f>C130</f>
        <v>Mech</v>
      </c>
      <c r="H130" s="86">
        <v>12000</v>
      </c>
      <c r="I130" s="146">
        <v>45691</v>
      </c>
      <c r="J130" s="87"/>
      <c r="K130" s="57"/>
      <c r="L130" s="86" t="s">
        <v>1947</v>
      </c>
      <c r="M130" s="86">
        <v>73</v>
      </c>
      <c r="N130" s="85"/>
      <c r="O130" s="85"/>
      <c r="P130" s="85"/>
      <c r="Q130" s="85"/>
      <c r="R130" s="85"/>
      <c r="S130" s="85"/>
    </row>
    <row r="131" spans="1:19" ht="31.5">
      <c r="A131" s="83">
        <v>1291</v>
      </c>
      <c r="B131" s="141">
        <v>45681</v>
      </c>
      <c r="C131" s="18" t="s">
        <v>6</v>
      </c>
      <c r="D131" s="21" t="s">
        <v>1945</v>
      </c>
      <c r="E131" s="21" t="s">
        <v>1946</v>
      </c>
      <c r="F131" s="20" t="s">
        <v>23</v>
      </c>
      <c r="G131" s="18" t="str">
        <f>C131</f>
        <v>CSE</v>
      </c>
      <c r="H131" s="86">
        <v>6000</v>
      </c>
      <c r="I131" s="146">
        <v>45691</v>
      </c>
      <c r="J131" s="87"/>
      <c r="K131" s="57"/>
      <c r="L131" s="86" t="s">
        <v>960</v>
      </c>
      <c r="M131" s="86">
        <v>73</v>
      </c>
      <c r="N131" s="85"/>
      <c r="O131" s="85"/>
      <c r="P131" s="85"/>
      <c r="Q131" s="85"/>
      <c r="R131" s="85"/>
      <c r="S131" s="85"/>
    </row>
    <row r="132" spans="1:19" ht="47.25">
      <c r="A132" s="83">
        <v>1292</v>
      </c>
      <c r="B132" s="141">
        <v>45681</v>
      </c>
      <c r="C132" s="18" t="s">
        <v>6</v>
      </c>
      <c r="D132" s="21" t="s">
        <v>1945</v>
      </c>
      <c r="E132" s="21" t="s">
        <v>1944</v>
      </c>
      <c r="F132" s="20" t="s">
        <v>23</v>
      </c>
      <c r="G132" s="18" t="str">
        <f>C132</f>
        <v>CSE</v>
      </c>
      <c r="H132" s="86">
        <v>6000</v>
      </c>
      <c r="I132" s="146">
        <v>45691</v>
      </c>
      <c r="J132" s="87"/>
      <c r="K132" s="57"/>
      <c r="L132" s="99">
        <v>45536</v>
      </c>
      <c r="M132" s="86">
        <v>73</v>
      </c>
      <c r="N132" s="85"/>
      <c r="O132" s="85"/>
      <c r="P132" s="85"/>
      <c r="Q132" s="85"/>
      <c r="R132" s="85"/>
      <c r="S132" s="85"/>
    </row>
    <row r="133" spans="1:19" ht="15.75">
      <c r="A133" s="83">
        <v>1293</v>
      </c>
      <c r="B133" s="141">
        <v>45681</v>
      </c>
      <c r="C133" s="18" t="s">
        <v>6</v>
      </c>
      <c r="D133" s="21" t="s">
        <v>230</v>
      </c>
      <c r="E133" s="21" t="s">
        <v>725</v>
      </c>
      <c r="F133" s="20" t="s">
        <v>193</v>
      </c>
      <c r="G133" s="18" t="str">
        <f>C133</f>
        <v>CSE</v>
      </c>
      <c r="H133" s="86">
        <v>12000</v>
      </c>
      <c r="I133" s="146">
        <v>45691</v>
      </c>
      <c r="J133" s="87"/>
      <c r="K133" s="57"/>
      <c r="L133" s="86" t="s">
        <v>1928</v>
      </c>
      <c r="M133" s="86">
        <v>73</v>
      </c>
      <c r="N133" s="85"/>
      <c r="O133" s="85"/>
      <c r="P133" s="85"/>
      <c r="Q133" s="85"/>
      <c r="R133" s="85"/>
      <c r="S133" s="85"/>
    </row>
    <row r="134" spans="1:19" ht="15.75">
      <c r="A134" s="83">
        <v>1294</v>
      </c>
      <c r="B134" s="141">
        <v>45681</v>
      </c>
      <c r="C134" s="18" t="s">
        <v>6</v>
      </c>
      <c r="D134" s="21" t="s">
        <v>225</v>
      </c>
      <c r="E134" s="21" t="s">
        <v>198</v>
      </c>
      <c r="F134" s="20" t="s">
        <v>193</v>
      </c>
      <c r="G134" s="18" t="str">
        <f>C134</f>
        <v>CSE</v>
      </c>
      <c r="H134" s="86">
        <v>4000</v>
      </c>
      <c r="I134" s="146">
        <v>45691</v>
      </c>
      <c r="J134" s="87"/>
      <c r="K134" s="57"/>
      <c r="L134" s="86" t="s">
        <v>1928</v>
      </c>
      <c r="M134" s="86">
        <v>73</v>
      </c>
      <c r="N134" s="85"/>
      <c r="O134" s="85"/>
      <c r="P134" s="85"/>
      <c r="Q134" s="85"/>
      <c r="R134" s="85"/>
      <c r="S134" s="85"/>
    </row>
    <row r="135" spans="1:19" ht="15.75">
      <c r="A135" s="83">
        <v>1295</v>
      </c>
      <c r="B135" s="141">
        <v>45678</v>
      </c>
      <c r="C135" s="18" t="s">
        <v>5</v>
      </c>
      <c r="D135" s="21" t="s">
        <v>831</v>
      </c>
      <c r="E135" s="21" t="s">
        <v>166</v>
      </c>
      <c r="F135" s="20" t="s">
        <v>193</v>
      </c>
      <c r="G135" s="18" t="str">
        <f>C135</f>
        <v>ECE</v>
      </c>
      <c r="H135" s="86">
        <v>2000</v>
      </c>
      <c r="I135" s="146">
        <v>45691</v>
      </c>
      <c r="J135" s="87"/>
      <c r="K135" s="57"/>
      <c r="L135" s="86" t="s">
        <v>1505</v>
      </c>
      <c r="M135" s="86">
        <v>73</v>
      </c>
      <c r="N135" s="85"/>
      <c r="O135" s="85"/>
      <c r="P135" s="85"/>
      <c r="Q135" s="85"/>
      <c r="R135" s="85"/>
      <c r="S135" s="85"/>
    </row>
    <row r="136" spans="1:19" ht="47.25">
      <c r="A136" s="83">
        <v>1296</v>
      </c>
      <c r="B136" s="141">
        <v>45681</v>
      </c>
      <c r="C136" s="18" t="s">
        <v>6</v>
      </c>
      <c r="D136" s="21" t="s">
        <v>572</v>
      </c>
      <c r="E136" s="51" t="s">
        <v>1943</v>
      </c>
      <c r="F136" s="20" t="s">
        <v>16</v>
      </c>
      <c r="G136" s="18" t="str">
        <f>C136</f>
        <v>CSE</v>
      </c>
      <c r="H136" s="86">
        <v>1800</v>
      </c>
      <c r="I136" s="146">
        <v>45691</v>
      </c>
      <c r="J136" s="87"/>
      <c r="K136" s="57"/>
      <c r="L136" s="95">
        <v>45416</v>
      </c>
      <c r="M136" s="86">
        <v>73</v>
      </c>
      <c r="N136" s="85"/>
      <c r="O136" s="85"/>
      <c r="P136" s="85"/>
      <c r="Q136" s="85"/>
      <c r="R136" s="85"/>
      <c r="S136" s="85"/>
    </row>
    <row r="137" spans="1:19" ht="31.5">
      <c r="A137" s="83">
        <v>1297</v>
      </c>
      <c r="B137" s="141">
        <v>45681</v>
      </c>
      <c r="C137" s="18" t="s">
        <v>6</v>
      </c>
      <c r="D137" s="21" t="s">
        <v>572</v>
      </c>
      <c r="E137" s="51" t="s">
        <v>1942</v>
      </c>
      <c r="F137" s="20" t="s">
        <v>16</v>
      </c>
      <c r="G137" s="18" t="str">
        <f>C137</f>
        <v>CSE</v>
      </c>
      <c r="H137" s="86">
        <v>1800</v>
      </c>
      <c r="I137" s="146">
        <v>45691</v>
      </c>
      <c r="J137" s="87"/>
      <c r="K137" s="57"/>
      <c r="L137" s="86" t="s">
        <v>1940</v>
      </c>
      <c r="M137" s="86">
        <v>73</v>
      </c>
      <c r="N137" s="85"/>
      <c r="O137" s="85"/>
      <c r="P137" s="85"/>
      <c r="Q137" s="85"/>
      <c r="R137" s="85"/>
      <c r="S137" s="85"/>
    </row>
    <row r="138" spans="1:19" ht="31.5">
      <c r="A138" s="83">
        <v>1298</v>
      </c>
      <c r="B138" s="141">
        <v>45681</v>
      </c>
      <c r="C138" s="18" t="s">
        <v>6</v>
      </c>
      <c r="D138" s="21" t="s">
        <v>572</v>
      </c>
      <c r="E138" s="51" t="s">
        <v>1941</v>
      </c>
      <c r="F138" s="20" t="s">
        <v>16</v>
      </c>
      <c r="G138" s="18" t="str">
        <f>C138</f>
        <v>CSE</v>
      </c>
      <c r="H138" s="86">
        <v>1800</v>
      </c>
      <c r="I138" s="146">
        <v>45691</v>
      </c>
      <c r="J138" s="87"/>
      <c r="K138" s="57"/>
      <c r="L138" s="86" t="s">
        <v>1940</v>
      </c>
      <c r="M138" s="86">
        <v>73</v>
      </c>
      <c r="N138" s="85"/>
      <c r="O138" s="85"/>
      <c r="P138" s="85"/>
      <c r="Q138" s="85"/>
      <c r="R138" s="85"/>
      <c r="S138" s="85"/>
    </row>
    <row r="139" spans="1:19" ht="15.75">
      <c r="A139" s="83">
        <v>1299</v>
      </c>
      <c r="B139" s="141">
        <v>45681</v>
      </c>
      <c r="C139" s="18" t="s">
        <v>6</v>
      </c>
      <c r="D139" s="21" t="s">
        <v>572</v>
      </c>
      <c r="E139" s="51" t="s">
        <v>166</v>
      </c>
      <c r="F139" s="20" t="s">
        <v>193</v>
      </c>
      <c r="G139" s="18" t="str">
        <f>C139</f>
        <v>CSE</v>
      </c>
      <c r="H139" s="86">
        <v>2000</v>
      </c>
      <c r="I139" s="146">
        <v>45691</v>
      </c>
      <c r="J139" s="87"/>
      <c r="K139" s="57"/>
      <c r="L139" s="86" t="s">
        <v>1928</v>
      </c>
      <c r="M139" s="86">
        <v>73</v>
      </c>
      <c r="N139" s="85"/>
      <c r="O139" s="85"/>
      <c r="P139" s="85"/>
      <c r="Q139" s="85"/>
      <c r="R139" s="85"/>
      <c r="S139" s="85"/>
    </row>
    <row r="140" spans="1:19" ht="47.25">
      <c r="A140" s="83">
        <v>1300</v>
      </c>
      <c r="B140" s="141">
        <v>45681</v>
      </c>
      <c r="C140" s="18" t="s">
        <v>7</v>
      </c>
      <c r="D140" s="21" t="s">
        <v>1937</v>
      </c>
      <c r="E140" s="51" t="s">
        <v>1939</v>
      </c>
      <c r="F140" s="20" t="s">
        <v>16</v>
      </c>
      <c r="G140" s="18" t="str">
        <f>C140</f>
        <v>CSBS</v>
      </c>
      <c r="H140" s="86">
        <v>1800</v>
      </c>
      <c r="I140" s="146">
        <v>45691</v>
      </c>
      <c r="J140" s="87"/>
      <c r="K140" s="57"/>
      <c r="L140" s="86" t="s">
        <v>787</v>
      </c>
      <c r="M140" s="86">
        <v>73</v>
      </c>
      <c r="N140" s="85"/>
      <c r="O140" s="85"/>
      <c r="P140" s="85"/>
      <c r="Q140" s="85"/>
      <c r="R140" s="85"/>
      <c r="S140" s="85"/>
    </row>
    <row r="141" spans="1:19" ht="31.5">
      <c r="A141" s="83">
        <v>1301</v>
      </c>
      <c r="B141" s="141">
        <v>45681</v>
      </c>
      <c r="C141" s="18" t="s">
        <v>7</v>
      </c>
      <c r="D141" s="21" t="s">
        <v>1937</v>
      </c>
      <c r="E141" s="51" t="s">
        <v>1938</v>
      </c>
      <c r="F141" s="20" t="s">
        <v>16</v>
      </c>
      <c r="G141" s="18" t="str">
        <f>C141</f>
        <v>CSBS</v>
      </c>
      <c r="H141" s="86">
        <v>1800</v>
      </c>
      <c r="I141" s="146">
        <v>45691</v>
      </c>
      <c r="J141" s="87"/>
      <c r="K141" s="57"/>
      <c r="L141" s="86" t="s">
        <v>934</v>
      </c>
      <c r="M141" s="86">
        <v>73</v>
      </c>
      <c r="N141" s="85"/>
      <c r="O141" s="85"/>
      <c r="P141" s="85"/>
      <c r="Q141" s="85"/>
      <c r="R141" s="85"/>
      <c r="S141" s="85"/>
    </row>
    <row r="142" spans="1:19" ht="31.5">
      <c r="A142" s="83">
        <v>1302</v>
      </c>
      <c r="B142" s="141">
        <v>45681</v>
      </c>
      <c r="C142" s="18" t="s">
        <v>7</v>
      </c>
      <c r="D142" s="21" t="s">
        <v>1937</v>
      </c>
      <c r="E142" s="51" t="s">
        <v>1936</v>
      </c>
      <c r="F142" s="20" t="s">
        <v>16</v>
      </c>
      <c r="G142" s="18" t="str">
        <f>C142</f>
        <v>CSBS</v>
      </c>
      <c r="H142" s="86">
        <v>1800</v>
      </c>
      <c r="I142" s="146">
        <v>45691</v>
      </c>
      <c r="J142" s="87"/>
      <c r="K142" s="57"/>
      <c r="L142" s="86" t="s">
        <v>857</v>
      </c>
      <c r="M142" s="86">
        <v>73</v>
      </c>
      <c r="N142" s="85"/>
      <c r="O142" s="85"/>
      <c r="P142" s="85"/>
      <c r="Q142" s="85"/>
      <c r="R142" s="85"/>
      <c r="S142" s="85"/>
    </row>
    <row r="143" spans="1:19" ht="31.5">
      <c r="A143" s="83">
        <v>1303</v>
      </c>
      <c r="B143" s="141">
        <v>45681</v>
      </c>
      <c r="C143" s="18" t="s">
        <v>6</v>
      </c>
      <c r="D143" s="21" t="s">
        <v>443</v>
      </c>
      <c r="E143" s="51" t="s">
        <v>1935</v>
      </c>
      <c r="F143" s="20" t="s">
        <v>16</v>
      </c>
      <c r="G143" s="18" t="str">
        <f>C143</f>
        <v>CSE</v>
      </c>
      <c r="H143" s="86">
        <v>1800</v>
      </c>
      <c r="I143" s="146">
        <v>45691</v>
      </c>
      <c r="J143" s="87"/>
      <c r="K143" s="57"/>
      <c r="L143" s="86"/>
      <c r="M143" s="86">
        <v>73</v>
      </c>
      <c r="N143" s="85"/>
      <c r="O143" s="85"/>
      <c r="P143" s="85"/>
      <c r="Q143" s="85"/>
      <c r="R143" s="85"/>
      <c r="S143" s="85"/>
    </row>
    <row r="144" spans="1:19" ht="15.75">
      <c r="A144" s="83">
        <v>1304</v>
      </c>
      <c r="B144" s="141">
        <v>45681</v>
      </c>
      <c r="C144" s="18" t="s">
        <v>6</v>
      </c>
      <c r="D144" s="21" t="s">
        <v>443</v>
      </c>
      <c r="E144" s="21" t="s">
        <v>319</v>
      </c>
      <c r="F144" s="20" t="s">
        <v>193</v>
      </c>
      <c r="G144" s="18" t="str">
        <f>C144</f>
        <v>CSE</v>
      </c>
      <c r="H144" s="86">
        <v>8000</v>
      </c>
      <c r="I144" s="146">
        <v>45691</v>
      </c>
      <c r="J144" s="87"/>
      <c r="K144" s="57"/>
      <c r="L144" s="86" t="s">
        <v>1928</v>
      </c>
      <c r="M144" s="86">
        <v>73</v>
      </c>
      <c r="N144" s="85"/>
      <c r="O144" s="85"/>
      <c r="P144" s="85"/>
      <c r="Q144" s="85"/>
      <c r="R144" s="85"/>
      <c r="S144" s="85"/>
    </row>
    <row r="145" spans="1:19" ht="31.5">
      <c r="A145" s="83">
        <v>1305</v>
      </c>
      <c r="B145" s="141">
        <v>45681</v>
      </c>
      <c r="C145" s="18" t="s">
        <v>2</v>
      </c>
      <c r="D145" s="21" t="s">
        <v>186</v>
      </c>
      <c r="E145" s="21" t="s">
        <v>1934</v>
      </c>
      <c r="F145" s="20" t="s">
        <v>23</v>
      </c>
      <c r="G145" s="18" t="str">
        <f>C145</f>
        <v>Mech</v>
      </c>
      <c r="H145" s="86">
        <v>900</v>
      </c>
      <c r="I145" s="146">
        <v>45691</v>
      </c>
      <c r="J145" s="87"/>
      <c r="K145" s="57"/>
      <c r="L145" s="95">
        <v>45455</v>
      </c>
      <c r="M145" s="86">
        <v>73</v>
      </c>
      <c r="N145" s="85"/>
      <c r="O145" s="85"/>
      <c r="P145" s="85"/>
      <c r="Q145" s="85"/>
      <c r="R145" s="85"/>
      <c r="S145" s="85"/>
    </row>
    <row r="146" spans="1:19" ht="31.5">
      <c r="A146" s="83">
        <v>1306</v>
      </c>
      <c r="B146" s="141">
        <v>45681</v>
      </c>
      <c r="C146" s="18" t="s">
        <v>2</v>
      </c>
      <c r="D146" s="21" t="s">
        <v>186</v>
      </c>
      <c r="E146" s="21" t="s">
        <v>1933</v>
      </c>
      <c r="F146" s="20" t="s">
        <v>23</v>
      </c>
      <c r="G146" s="18" t="str">
        <f>C146</f>
        <v>Mech</v>
      </c>
      <c r="H146" s="86">
        <v>900</v>
      </c>
      <c r="I146" s="146">
        <v>45691</v>
      </c>
      <c r="J146" s="87"/>
      <c r="K146" s="57"/>
      <c r="L146" s="86" t="s">
        <v>1932</v>
      </c>
      <c r="M146" s="86">
        <v>73</v>
      </c>
      <c r="N146" s="85"/>
      <c r="O146" s="85"/>
      <c r="P146" s="85"/>
      <c r="Q146" s="85"/>
      <c r="R146" s="85"/>
      <c r="S146" s="85"/>
    </row>
    <row r="147" spans="1:19" ht="31.5">
      <c r="A147" s="83">
        <v>1307</v>
      </c>
      <c r="B147" s="141">
        <v>45681</v>
      </c>
      <c r="C147" s="18" t="s">
        <v>2</v>
      </c>
      <c r="D147" s="21" t="s">
        <v>186</v>
      </c>
      <c r="E147" s="21" t="s">
        <v>1931</v>
      </c>
      <c r="F147" s="20" t="s">
        <v>16</v>
      </c>
      <c r="G147" s="18" t="str">
        <f>C147</f>
        <v>Mech</v>
      </c>
      <c r="H147" s="86">
        <v>900</v>
      </c>
      <c r="I147" s="146">
        <v>45691</v>
      </c>
      <c r="J147" s="87"/>
      <c r="K147" s="57"/>
      <c r="L147" s="86">
        <v>2024</v>
      </c>
      <c r="M147" s="86">
        <v>73</v>
      </c>
      <c r="N147" s="85"/>
      <c r="O147" s="85"/>
      <c r="P147" s="85"/>
      <c r="Q147" s="85"/>
      <c r="R147" s="85"/>
      <c r="S147" s="85"/>
    </row>
    <row r="148" spans="1:19" ht="47.25">
      <c r="A148" s="83">
        <v>1308</v>
      </c>
      <c r="B148" s="141">
        <v>45681</v>
      </c>
      <c r="C148" s="18" t="s">
        <v>2</v>
      </c>
      <c r="D148" s="21" t="s">
        <v>186</v>
      </c>
      <c r="E148" s="21" t="s">
        <v>1930</v>
      </c>
      <c r="F148" s="20" t="s">
        <v>23</v>
      </c>
      <c r="G148" s="18" t="str">
        <f>C148</f>
        <v>Mech</v>
      </c>
      <c r="H148" s="86">
        <v>10000</v>
      </c>
      <c r="I148" s="146">
        <v>45691</v>
      </c>
      <c r="J148" s="87"/>
      <c r="K148" s="57"/>
      <c r="L148" s="86">
        <v>2024</v>
      </c>
      <c r="M148" s="86">
        <v>73</v>
      </c>
      <c r="N148" s="85"/>
      <c r="O148" s="85"/>
      <c r="P148" s="85"/>
      <c r="Q148" s="85"/>
      <c r="R148" s="85"/>
      <c r="S148" s="85"/>
    </row>
    <row r="149" spans="1:19" ht="31.5">
      <c r="A149" s="83">
        <v>1309</v>
      </c>
      <c r="B149" s="141">
        <v>45681</v>
      </c>
      <c r="C149" s="18" t="s">
        <v>2</v>
      </c>
      <c r="D149" s="21" t="s">
        <v>186</v>
      </c>
      <c r="E149" s="21" t="s">
        <v>1929</v>
      </c>
      <c r="F149" s="20" t="s">
        <v>23</v>
      </c>
      <c r="G149" s="18" t="str">
        <f>C149</f>
        <v>Mech</v>
      </c>
      <c r="H149" s="86">
        <v>3000</v>
      </c>
      <c r="I149" s="146">
        <v>45691</v>
      </c>
      <c r="J149" s="87"/>
      <c r="K149" s="57"/>
      <c r="L149" s="86">
        <v>2024</v>
      </c>
      <c r="M149" s="86">
        <v>73</v>
      </c>
      <c r="N149" s="85"/>
      <c r="O149" s="85"/>
      <c r="P149" s="85"/>
      <c r="Q149" s="85"/>
      <c r="R149" s="85"/>
      <c r="S149" s="85"/>
    </row>
    <row r="150" spans="1:19" ht="15.75">
      <c r="A150" s="83">
        <v>1310</v>
      </c>
      <c r="B150" s="141">
        <v>45681</v>
      </c>
      <c r="C150" s="18" t="s">
        <v>6</v>
      </c>
      <c r="D150" s="21" t="s">
        <v>181</v>
      </c>
      <c r="E150" s="21" t="s">
        <v>166</v>
      </c>
      <c r="F150" s="20" t="s">
        <v>193</v>
      </c>
      <c r="G150" s="18" t="str">
        <f>C150</f>
        <v>CSE</v>
      </c>
      <c r="H150" s="86">
        <v>2000</v>
      </c>
      <c r="I150" s="146">
        <v>45691</v>
      </c>
      <c r="J150" s="87"/>
      <c r="K150" s="57"/>
      <c r="L150" s="86" t="s">
        <v>1928</v>
      </c>
      <c r="M150" s="86"/>
      <c r="N150" s="85"/>
      <c r="O150" s="85"/>
      <c r="P150" s="85"/>
      <c r="Q150" s="85"/>
      <c r="R150" s="85"/>
      <c r="S150" s="85"/>
    </row>
    <row r="151" spans="1:19" ht="15.75">
      <c r="A151" s="46"/>
      <c r="B151" s="151"/>
      <c r="C151" s="46"/>
      <c r="D151" s="46"/>
      <c r="E151" s="46" t="s">
        <v>11</v>
      </c>
      <c r="F151" s="42"/>
      <c r="G151" s="90"/>
      <c r="H151" s="89">
        <f>SUM(H30:H150)</f>
        <v>558400</v>
      </c>
      <c r="I151" s="42" t="s">
        <v>718</v>
      </c>
      <c r="J151" s="42"/>
      <c r="K151" s="45">
        <f>H151</f>
        <v>558400</v>
      </c>
      <c r="L151" s="42"/>
      <c r="M151" s="46">
        <v>73</v>
      </c>
      <c r="N151" s="88"/>
      <c r="O151" s="88"/>
      <c r="P151" s="88"/>
      <c r="Q151" s="88"/>
      <c r="R151" s="88"/>
      <c r="S151" s="88"/>
    </row>
    <row r="152" spans="1:19" ht="47.25">
      <c r="A152" s="83">
        <v>1311</v>
      </c>
      <c r="B152" s="141">
        <v>45698</v>
      </c>
      <c r="C152" s="18" t="s">
        <v>758</v>
      </c>
      <c r="D152" s="21" t="s">
        <v>1927</v>
      </c>
      <c r="E152" s="21" t="s">
        <v>1926</v>
      </c>
      <c r="F152" s="20" t="s">
        <v>23</v>
      </c>
      <c r="G152" s="18" t="str">
        <f>C152</f>
        <v>AI-ML</v>
      </c>
      <c r="H152" s="86">
        <v>6000</v>
      </c>
      <c r="I152" s="146">
        <v>45723</v>
      </c>
      <c r="J152" s="87"/>
      <c r="K152" s="57"/>
      <c r="L152" s="86" t="s">
        <v>1925</v>
      </c>
      <c r="M152" s="86">
        <v>74</v>
      </c>
      <c r="N152" s="85"/>
      <c r="O152" s="85"/>
      <c r="P152" s="85"/>
      <c r="Q152" s="85"/>
      <c r="R152" s="85"/>
      <c r="S152" s="85"/>
    </row>
    <row r="153" spans="1:19" ht="31.5">
      <c r="A153" s="83">
        <v>1312</v>
      </c>
      <c r="B153" s="141">
        <v>45701</v>
      </c>
      <c r="C153" s="18" t="s">
        <v>5</v>
      </c>
      <c r="D153" s="21" t="s">
        <v>1538</v>
      </c>
      <c r="E153" s="21" t="s">
        <v>1924</v>
      </c>
      <c r="F153" s="20" t="s">
        <v>16</v>
      </c>
      <c r="G153" s="18" t="str">
        <f>C153</f>
        <v>ECE</v>
      </c>
      <c r="H153" s="86">
        <v>1800</v>
      </c>
      <c r="I153" s="146">
        <v>45723</v>
      </c>
      <c r="J153" s="87"/>
      <c r="K153" s="57"/>
      <c r="L153" s="95">
        <v>45454</v>
      </c>
      <c r="M153" s="86">
        <v>74</v>
      </c>
      <c r="N153" s="85"/>
      <c r="O153" s="85"/>
      <c r="P153" s="85"/>
      <c r="Q153" s="85"/>
      <c r="R153" s="85"/>
      <c r="S153" s="85"/>
    </row>
    <row r="154" spans="1:19" ht="47.25">
      <c r="A154" s="83">
        <v>1313</v>
      </c>
      <c r="B154" s="141">
        <v>45700</v>
      </c>
      <c r="C154" s="18" t="s">
        <v>1</v>
      </c>
      <c r="D154" s="21" t="s">
        <v>167</v>
      </c>
      <c r="E154" s="21" t="s">
        <v>1923</v>
      </c>
      <c r="F154" s="20" t="s">
        <v>23</v>
      </c>
      <c r="G154" s="18" t="str">
        <f>C154</f>
        <v>S&amp;H</v>
      </c>
      <c r="H154" s="86">
        <v>10000</v>
      </c>
      <c r="I154" s="146">
        <v>45723</v>
      </c>
      <c r="J154" s="87"/>
      <c r="K154" s="57"/>
      <c r="L154" s="95">
        <v>45718</v>
      </c>
      <c r="M154" s="86">
        <v>74</v>
      </c>
      <c r="N154" s="85"/>
      <c r="O154" s="85"/>
      <c r="P154" s="85"/>
      <c r="Q154" s="85"/>
      <c r="R154" s="85"/>
      <c r="S154" s="85"/>
    </row>
    <row r="155" spans="1:19" ht="15.75">
      <c r="A155" s="83">
        <v>1314</v>
      </c>
      <c r="B155" s="141">
        <v>45700</v>
      </c>
      <c r="C155" s="18" t="s">
        <v>1</v>
      </c>
      <c r="D155" s="21" t="s">
        <v>167</v>
      </c>
      <c r="E155" s="21" t="s">
        <v>198</v>
      </c>
      <c r="F155" s="20" t="s">
        <v>193</v>
      </c>
      <c r="G155" s="18" t="str">
        <f>C155</f>
        <v>S&amp;H</v>
      </c>
      <c r="H155" s="86">
        <v>4000</v>
      </c>
      <c r="I155" s="146">
        <v>45723</v>
      </c>
      <c r="J155" s="87"/>
      <c r="K155" s="57"/>
      <c r="L155" s="95">
        <v>45628</v>
      </c>
      <c r="M155" s="86">
        <v>74</v>
      </c>
      <c r="N155" s="85"/>
      <c r="O155" s="85"/>
      <c r="P155" s="85"/>
      <c r="Q155" s="85"/>
      <c r="R155" s="85"/>
      <c r="S155" s="85"/>
    </row>
    <row r="156" spans="1:19" ht="15.75">
      <c r="A156" s="46"/>
      <c r="B156" s="151"/>
      <c r="C156" s="46"/>
      <c r="D156" s="46"/>
      <c r="E156" s="46" t="s">
        <v>11</v>
      </c>
      <c r="F156" s="42"/>
      <c r="G156" s="90"/>
      <c r="H156" s="89">
        <f>SUM(H152:H155)</f>
        <v>21800</v>
      </c>
      <c r="I156" s="42" t="s">
        <v>718</v>
      </c>
      <c r="J156" s="42"/>
      <c r="K156" s="45">
        <f>H156</f>
        <v>21800</v>
      </c>
      <c r="L156" s="42"/>
      <c r="M156" s="46">
        <v>74</v>
      </c>
      <c r="N156" s="88"/>
      <c r="O156" s="88"/>
      <c r="P156" s="88"/>
      <c r="Q156" s="88"/>
      <c r="R156" s="88"/>
      <c r="S156" s="88"/>
    </row>
    <row r="157" spans="1:19" ht="31.5">
      <c r="A157" s="83">
        <v>1315</v>
      </c>
      <c r="B157" s="141">
        <v>45730</v>
      </c>
      <c r="C157" s="18" t="s">
        <v>5</v>
      </c>
      <c r="D157" s="21" t="s">
        <v>267</v>
      </c>
      <c r="E157" s="21" t="s">
        <v>1922</v>
      </c>
      <c r="F157" s="20" t="s">
        <v>16</v>
      </c>
      <c r="G157" s="18" t="str">
        <f>C157</f>
        <v>ECE</v>
      </c>
      <c r="H157" s="86">
        <v>1800</v>
      </c>
      <c r="I157" s="146">
        <v>45770</v>
      </c>
      <c r="J157" s="87"/>
      <c r="K157" s="57"/>
      <c r="L157" s="95">
        <v>45994</v>
      </c>
      <c r="M157" s="86">
        <v>75</v>
      </c>
      <c r="N157" s="85"/>
      <c r="O157" s="85"/>
      <c r="P157" s="85"/>
      <c r="Q157" s="85"/>
      <c r="R157" s="85"/>
      <c r="S157" s="85"/>
    </row>
    <row r="158" spans="1:19" ht="47.25">
      <c r="A158" s="83">
        <v>1316</v>
      </c>
      <c r="B158" s="141">
        <v>45734</v>
      </c>
      <c r="C158" s="18" t="s">
        <v>5</v>
      </c>
      <c r="D158" s="21" t="s">
        <v>951</v>
      </c>
      <c r="E158" s="21" t="s">
        <v>1921</v>
      </c>
      <c r="F158" s="20" t="s">
        <v>324</v>
      </c>
      <c r="G158" s="18" t="str">
        <f>C158</f>
        <v>ECE</v>
      </c>
      <c r="H158" s="86">
        <v>5000</v>
      </c>
      <c r="I158" s="146">
        <v>45770</v>
      </c>
      <c r="J158" s="87"/>
      <c r="K158" s="57"/>
      <c r="L158" s="95">
        <v>45870</v>
      </c>
      <c r="M158" s="86">
        <v>75</v>
      </c>
      <c r="N158" s="85"/>
      <c r="O158" s="85"/>
      <c r="P158" s="85"/>
      <c r="Q158" s="85"/>
      <c r="R158" s="85"/>
      <c r="S158" s="85"/>
    </row>
    <row r="159" spans="1:19" ht="31.5">
      <c r="A159" s="83">
        <v>1317</v>
      </c>
      <c r="B159" s="141">
        <v>45734</v>
      </c>
      <c r="C159" s="18" t="s">
        <v>5</v>
      </c>
      <c r="D159" s="21" t="s">
        <v>951</v>
      </c>
      <c r="E159" s="21" t="s">
        <v>1920</v>
      </c>
      <c r="F159" s="20" t="s">
        <v>16</v>
      </c>
      <c r="G159" s="18" t="str">
        <f>C159</f>
        <v>ECE</v>
      </c>
      <c r="H159" s="86">
        <v>1800</v>
      </c>
      <c r="I159" s="146">
        <v>45770</v>
      </c>
      <c r="J159" s="87"/>
      <c r="K159" s="57"/>
      <c r="L159" s="86" t="s">
        <v>736</v>
      </c>
      <c r="M159" s="86">
        <v>75</v>
      </c>
      <c r="N159" s="85"/>
      <c r="O159" s="85"/>
      <c r="P159" s="85"/>
      <c r="Q159" s="85"/>
      <c r="R159" s="85"/>
      <c r="S159" s="85"/>
    </row>
    <row r="160" spans="1:19" ht="63">
      <c r="A160" s="83">
        <v>1318</v>
      </c>
      <c r="B160" s="141">
        <v>45754</v>
      </c>
      <c r="C160" s="18" t="s">
        <v>1</v>
      </c>
      <c r="D160" s="21" t="s">
        <v>789</v>
      </c>
      <c r="E160" s="21" t="s">
        <v>1919</v>
      </c>
      <c r="F160" s="20" t="s">
        <v>16</v>
      </c>
      <c r="G160" s="18" t="str">
        <f>C160</f>
        <v>S&amp;H</v>
      </c>
      <c r="H160" s="86">
        <v>1800</v>
      </c>
      <c r="I160" s="146">
        <v>45770</v>
      </c>
      <c r="J160" s="87"/>
      <c r="K160" s="57"/>
      <c r="L160" s="99">
        <v>45717</v>
      </c>
      <c r="M160" s="86">
        <v>75</v>
      </c>
      <c r="N160" s="85"/>
      <c r="O160" s="85"/>
      <c r="P160" s="85"/>
      <c r="Q160" s="85"/>
      <c r="R160" s="85"/>
      <c r="S160" s="85"/>
    </row>
    <row r="161" spans="1:19" ht="47.25">
      <c r="A161" s="83">
        <v>1319</v>
      </c>
      <c r="B161" s="141">
        <v>45754</v>
      </c>
      <c r="C161" s="18" t="s">
        <v>1</v>
      </c>
      <c r="D161" s="21" t="s">
        <v>789</v>
      </c>
      <c r="E161" s="21" t="s">
        <v>1918</v>
      </c>
      <c r="F161" s="20" t="s">
        <v>16</v>
      </c>
      <c r="G161" s="18" t="str">
        <f>C161</f>
        <v>S&amp;H</v>
      </c>
      <c r="H161" s="86">
        <v>1800</v>
      </c>
      <c r="I161" s="146">
        <v>45770</v>
      </c>
      <c r="J161" s="87"/>
      <c r="K161" s="57"/>
      <c r="L161" s="99">
        <v>45717</v>
      </c>
      <c r="M161" s="86">
        <v>75</v>
      </c>
      <c r="N161" s="85"/>
      <c r="O161" s="85"/>
      <c r="P161" s="85"/>
      <c r="Q161" s="85"/>
      <c r="R161" s="85"/>
      <c r="S161" s="85"/>
    </row>
    <row r="162" spans="1:19" ht="31.5">
      <c r="A162" s="83">
        <v>1320</v>
      </c>
      <c r="B162" s="141">
        <v>45751</v>
      </c>
      <c r="C162" s="18" t="s">
        <v>5</v>
      </c>
      <c r="D162" s="21" t="s">
        <v>831</v>
      </c>
      <c r="E162" s="21" t="s">
        <v>1917</v>
      </c>
      <c r="F162" s="20" t="s">
        <v>16</v>
      </c>
      <c r="G162" s="18" t="str">
        <f>C162</f>
        <v>ECE</v>
      </c>
      <c r="H162" s="86">
        <v>1800</v>
      </c>
      <c r="I162" s="146">
        <v>45770</v>
      </c>
      <c r="J162" s="87"/>
      <c r="K162" s="57"/>
      <c r="L162" s="86" t="s">
        <v>1672</v>
      </c>
      <c r="M162" s="86">
        <v>75</v>
      </c>
      <c r="N162" s="85"/>
      <c r="O162" s="85"/>
      <c r="P162" s="85"/>
      <c r="Q162" s="85"/>
      <c r="R162" s="85"/>
      <c r="S162" s="85"/>
    </row>
    <row r="163" spans="1:19" ht="31.5">
      <c r="A163" s="83">
        <v>1321</v>
      </c>
      <c r="B163" s="141">
        <v>45743</v>
      </c>
      <c r="C163" s="18" t="s">
        <v>2</v>
      </c>
      <c r="D163" s="21" t="s">
        <v>209</v>
      </c>
      <c r="E163" s="21" t="s">
        <v>1916</v>
      </c>
      <c r="F163" s="20" t="s">
        <v>23</v>
      </c>
      <c r="G163" s="18" t="str">
        <f>C163</f>
        <v>Mech</v>
      </c>
      <c r="H163" s="86">
        <v>10000</v>
      </c>
      <c r="I163" s="146">
        <v>45770</v>
      </c>
      <c r="J163" s="87"/>
      <c r="K163" s="57"/>
      <c r="L163" s="86" t="s">
        <v>1826</v>
      </c>
      <c r="M163" s="86">
        <v>75</v>
      </c>
      <c r="N163" s="85"/>
      <c r="O163" s="85"/>
      <c r="P163" s="85"/>
      <c r="Q163" s="85"/>
      <c r="R163" s="85"/>
      <c r="S163" s="85"/>
    </row>
    <row r="164" spans="1:19" ht="31.5">
      <c r="A164" s="83">
        <v>1322</v>
      </c>
      <c r="B164" s="141">
        <v>45743</v>
      </c>
      <c r="C164" s="18" t="s">
        <v>2</v>
      </c>
      <c r="D164" s="21" t="s">
        <v>209</v>
      </c>
      <c r="E164" s="21" t="s">
        <v>1915</v>
      </c>
      <c r="F164" s="20" t="s">
        <v>23</v>
      </c>
      <c r="G164" s="18" t="str">
        <f>C164</f>
        <v>Mech</v>
      </c>
      <c r="H164" s="86">
        <v>10000</v>
      </c>
      <c r="I164" s="146">
        <v>45770</v>
      </c>
      <c r="J164" s="87"/>
      <c r="K164" s="57"/>
      <c r="L164" s="95">
        <v>45964</v>
      </c>
      <c r="M164" s="86">
        <v>75</v>
      </c>
      <c r="N164" s="85"/>
      <c r="O164" s="85"/>
      <c r="P164" s="85"/>
      <c r="Q164" s="85"/>
      <c r="R164" s="85"/>
      <c r="S164" s="85"/>
    </row>
    <row r="165" spans="1:19" ht="15.75">
      <c r="A165" s="83">
        <v>1323</v>
      </c>
      <c r="B165" s="141">
        <v>45743</v>
      </c>
      <c r="C165" s="18" t="s">
        <v>2</v>
      </c>
      <c r="D165" s="21" t="s">
        <v>209</v>
      </c>
      <c r="E165" s="21" t="s">
        <v>319</v>
      </c>
      <c r="F165" s="20" t="s">
        <v>193</v>
      </c>
      <c r="G165" s="18" t="str">
        <f>C165</f>
        <v>Mech</v>
      </c>
      <c r="H165" s="86">
        <v>8000</v>
      </c>
      <c r="I165" s="146">
        <v>45770</v>
      </c>
      <c r="J165" s="87"/>
      <c r="K165" s="57"/>
      <c r="L165" s="86" t="s">
        <v>1760</v>
      </c>
      <c r="M165" s="86">
        <v>75</v>
      </c>
      <c r="N165" s="85"/>
      <c r="O165" s="85"/>
      <c r="P165" s="85"/>
      <c r="Q165" s="85"/>
      <c r="R165" s="85"/>
      <c r="S165" s="85"/>
    </row>
    <row r="166" spans="1:19" ht="31.5">
      <c r="A166" s="83">
        <v>1324</v>
      </c>
      <c r="B166" s="141">
        <v>45755</v>
      </c>
      <c r="C166" s="18" t="s">
        <v>5</v>
      </c>
      <c r="D166" s="21" t="s">
        <v>544</v>
      </c>
      <c r="E166" s="21" t="s">
        <v>1914</v>
      </c>
      <c r="F166" s="20" t="s">
        <v>16</v>
      </c>
      <c r="G166" s="18" t="str">
        <f>C166</f>
        <v>ECE</v>
      </c>
      <c r="H166" s="86">
        <v>3000</v>
      </c>
      <c r="I166" s="146">
        <v>45770</v>
      </c>
      <c r="J166" s="87"/>
      <c r="K166" s="57"/>
      <c r="L166" s="86" t="s">
        <v>736</v>
      </c>
      <c r="M166" s="86">
        <v>75</v>
      </c>
      <c r="N166" s="85"/>
      <c r="O166" s="85"/>
      <c r="P166" s="85"/>
      <c r="Q166" s="85"/>
      <c r="R166" s="85"/>
      <c r="S166" s="85"/>
    </row>
    <row r="167" spans="1:19" ht="31.5">
      <c r="A167" s="83">
        <v>1325</v>
      </c>
      <c r="B167" s="141">
        <v>45755</v>
      </c>
      <c r="C167" s="18" t="s">
        <v>5</v>
      </c>
      <c r="D167" s="21" t="s">
        <v>544</v>
      </c>
      <c r="E167" s="21" t="s">
        <v>1913</v>
      </c>
      <c r="F167" s="20" t="s">
        <v>16</v>
      </c>
      <c r="G167" s="18" t="str">
        <f>C167</f>
        <v>ECE</v>
      </c>
      <c r="H167" s="86">
        <v>1500</v>
      </c>
      <c r="I167" s="146">
        <v>45770</v>
      </c>
      <c r="J167" s="87"/>
      <c r="K167" s="57"/>
      <c r="L167" s="86" t="s">
        <v>736</v>
      </c>
      <c r="M167" s="86">
        <v>75</v>
      </c>
      <c r="N167" s="85"/>
      <c r="O167" s="85"/>
      <c r="P167" s="85"/>
      <c r="Q167" s="85"/>
      <c r="R167" s="85"/>
      <c r="S167" s="85"/>
    </row>
    <row r="168" spans="1:19" ht="31.5">
      <c r="A168" s="83">
        <v>1326</v>
      </c>
      <c r="B168" s="141">
        <v>45755</v>
      </c>
      <c r="C168" s="18" t="s">
        <v>5</v>
      </c>
      <c r="D168" s="21" t="s">
        <v>544</v>
      </c>
      <c r="E168" s="21" t="s">
        <v>1912</v>
      </c>
      <c r="F168" s="20" t="s">
        <v>16</v>
      </c>
      <c r="G168" s="18" t="str">
        <f>C168</f>
        <v>ECE</v>
      </c>
      <c r="H168" s="86">
        <v>3000</v>
      </c>
      <c r="I168" s="146">
        <v>45770</v>
      </c>
      <c r="J168" s="87"/>
      <c r="K168" s="57"/>
      <c r="L168" s="95">
        <v>45779</v>
      </c>
      <c r="M168" s="86">
        <v>75</v>
      </c>
      <c r="N168" s="85"/>
      <c r="O168" s="85"/>
      <c r="P168" s="85"/>
      <c r="Q168" s="85"/>
      <c r="R168" s="85"/>
      <c r="S168" s="85"/>
    </row>
    <row r="169" spans="1:19" ht="15.75">
      <c r="A169" s="83">
        <v>1327</v>
      </c>
      <c r="B169" s="141">
        <v>45755</v>
      </c>
      <c r="C169" s="18" t="s">
        <v>5</v>
      </c>
      <c r="D169" s="21" t="s">
        <v>544</v>
      </c>
      <c r="E169" s="21" t="s">
        <v>166</v>
      </c>
      <c r="F169" s="20" t="s">
        <v>193</v>
      </c>
      <c r="G169" s="18" t="str">
        <f>C169</f>
        <v>ECE</v>
      </c>
      <c r="H169" s="86">
        <v>2000</v>
      </c>
      <c r="I169" s="146">
        <v>45770</v>
      </c>
      <c r="J169" s="87"/>
      <c r="K169" s="57"/>
      <c r="L169" s="95">
        <v>45873</v>
      </c>
      <c r="M169" s="86">
        <v>75</v>
      </c>
      <c r="N169" s="85"/>
      <c r="O169" s="85"/>
      <c r="P169" s="85"/>
      <c r="Q169" s="85"/>
      <c r="R169" s="85"/>
      <c r="S169" s="85"/>
    </row>
    <row r="170" spans="1:19" ht="31.5">
      <c r="A170" s="83">
        <v>1328</v>
      </c>
      <c r="B170" s="141">
        <v>45755</v>
      </c>
      <c r="C170" s="18" t="s">
        <v>5</v>
      </c>
      <c r="D170" s="21" t="s">
        <v>170</v>
      </c>
      <c r="E170" s="21" t="s">
        <v>1911</v>
      </c>
      <c r="F170" s="20" t="s">
        <v>23</v>
      </c>
      <c r="G170" s="18" t="str">
        <f>C170</f>
        <v>ECE</v>
      </c>
      <c r="H170" s="86">
        <v>10000</v>
      </c>
      <c r="I170" s="146">
        <v>45770</v>
      </c>
      <c r="J170" s="87"/>
      <c r="K170" s="57"/>
      <c r="L170" s="99">
        <v>45689</v>
      </c>
      <c r="M170" s="86">
        <v>75</v>
      </c>
      <c r="N170" s="85"/>
      <c r="O170" s="85"/>
      <c r="P170" s="85"/>
      <c r="Q170" s="85"/>
      <c r="R170" s="85"/>
      <c r="S170" s="85"/>
    </row>
    <row r="171" spans="1:19" ht="31.5">
      <c r="A171" s="83">
        <v>1329</v>
      </c>
      <c r="B171" s="141">
        <v>45755</v>
      </c>
      <c r="C171" s="18" t="s">
        <v>5</v>
      </c>
      <c r="D171" s="21" t="s">
        <v>170</v>
      </c>
      <c r="E171" s="21" t="s">
        <v>1910</v>
      </c>
      <c r="F171" s="20" t="s">
        <v>324</v>
      </c>
      <c r="G171" s="18" t="str">
        <f>C171</f>
        <v>ECE</v>
      </c>
      <c r="H171" s="86">
        <v>5000</v>
      </c>
      <c r="I171" s="146">
        <v>45770</v>
      </c>
      <c r="J171" s="87"/>
      <c r="K171" s="57"/>
      <c r="L171" s="86" t="s">
        <v>1847</v>
      </c>
      <c r="M171" s="86">
        <v>75</v>
      </c>
      <c r="N171" s="85"/>
      <c r="O171" s="85"/>
      <c r="P171" s="85"/>
      <c r="Q171" s="85"/>
      <c r="R171" s="85"/>
      <c r="S171" s="85"/>
    </row>
    <row r="172" spans="1:19" ht="15.75">
      <c r="A172" s="83">
        <v>1330</v>
      </c>
      <c r="B172" s="141">
        <v>45755</v>
      </c>
      <c r="C172" s="18" t="s">
        <v>5</v>
      </c>
      <c r="D172" s="21" t="s">
        <v>170</v>
      </c>
      <c r="E172" s="21" t="s">
        <v>198</v>
      </c>
      <c r="F172" s="20" t="s">
        <v>193</v>
      </c>
      <c r="G172" s="18" t="str">
        <f>C172</f>
        <v>ECE</v>
      </c>
      <c r="H172" s="86">
        <v>4000</v>
      </c>
      <c r="I172" s="146">
        <v>45770</v>
      </c>
      <c r="J172" s="87"/>
      <c r="K172" s="57"/>
      <c r="L172" s="95">
        <v>45873</v>
      </c>
      <c r="M172" s="86">
        <v>75</v>
      </c>
      <c r="N172" s="85"/>
      <c r="O172" s="85"/>
      <c r="P172" s="85"/>
      <c r="Q172" s="85"/>
      <c r="R172" s="85"/>
      <c r="S172" s="85"/>
    </row>
    <row r="173" spans="1:19" ht="31.5">
      <c r="A173" s="83">
        <v>1331</v>
      </c>
      <c r="B173" s="141">
        <v>45755</v>
      </c>
      <c r="C173" s="159" t="s">
        <v>5</v>
      </c>
      <c r="D173" s="21" t="s">
        <v>170</v>
      </c>
      <c r="E173" s="21" t="s">
        <v>1909</v>
      </c>
      <c r="F173" s="20" t="s">
        <v>16</v>
      </c>
      <c r="G173" s="18" t="str">
        <f>C173</f>
        <v>ECE</v>
      </c>
      <c r="H173" s="86">
        <v>3000</v>
      </c>
      <c r="I173" s="146">
        <v>45770</v>
      </c>
      <c r="J173" s="87"/>
      <c r="K173" s="57"/>
      <c r="L173" s="86" t="s">
        <v>1908</v>
      </c>
      <c r="M173" s="86">
        <v>75</v>
      </c>
      <c r="N173" s="85"/>
      <c r="O173" s="85"/>
      <c r="P173" s="85"/>
      <c r="Q173" s="85"/>
      <c r="R173" s="85"/>
      <c r="S173" s="85"/>
    </row>
    <row r="174" spans="1:19" ht="15.75">
      <c r="A174" s="83">
        <v>1332</v>
      </c>
      <c r="B174" s="141">
        <v>45755</v>
      </c>
      <c r="C174" s="159" t="s">
        <v>5</v>
      </c>
      <c r="D174" s="21" t="s">
        <v>170</v>
      </c>
      <c r="E174" s="21" t="s">
        <v>198</v>
      </c>
      <c r="F174" s="20" t="s">
        <v>193</v>
      </c>
      <c r="G174" s="18" t="str">
        <f>C174</f>
        <v>ECE</v>
      </c>
      <c r="H174" s="86">
        <v>4000</v>
      </c>
      <c r="I174" s="146">
        <v>45770</v>
      </c>
      <c r="J174" s="87"/>
      <c r="K174" s="57"/>
      <c r="L174" s="86" t="s">
        <v>1682</v>
      </c>
      <c r="M174" s="86">
        <v>75</v>
      </c>
      <c r="N174" s="85"/>
      <c r="O174" s="85"/>
      <c r="P174" s="85"/>
      <c r="Q174" s="85"/>
      <c r="R174" s="85"/>
      <c r="S174" s="85"/>
    </row>
    <row r="175" spans="1:19" ht="31.5">
      <c r="A175" s="83">
        <v>1333</v>
      </c>
      <c r="B175" s="141">
        <v>45729</v>
      </c>
      <c r="C175" s="18" t="s">
        <v>758</v>
      </c>
      <c r="D175" s="21" t="s">
        <v>757</v>
      </c>
      <c r="E175" s="21" t="s">
        <v>1907</v>
      </c>
      <c r="F175" s="20" t="s">
        <v>16</v>
      </c>
      <c r="G175" s="18" t="str">
        <f>C175</f>
        <v>AI-ML</v>
      </c>
      <c r="H175" s="86">
        <v>1800</v>
      </c>
      <c r="I175" s="146">
        <v>45770</v>
      </c>
      <c r="J175" s="87"/>
      <c r="K175" s="57"/>
      <c r="L175" s="95">
        <v>45779</v>
      </c>
      <c r="M175" s="86">
        <v>75</v>
      </c>
      <c r="N175" s="85"/>
      <c r="O175" s="85"/>
      <c r="P175" s="85"/>
      <c r="Q175" s="85"/>
      <c r="R175" s="85"/>
      <c r="S175" s="85"/>
    </row>
    <row r="176" spans="1:19" ht="47.25">
      <c r="A176" s="83">
        <v>1334</v>
      </c>
      <c r="B176" s="141">
        <v>45733</v>
      </c>
      <c r="C176" s="18" t="s">
        <v>5</v>
      </c>
      <c r="D176" s="21" t="s">
        <v>899</v>
      </c>
      <c r="E176" s="21" t="s">
        <v>898</v>
      </c>
      <c r="F176" s="20" t="s">
        <v>324</v>
      </c>
      <c r="G176" s="18" t="str">
        <f>C176</f>
        <v>ECE</v>
      </c>
      <c r="H176" s="86">
        <v>3000</v>
      </c>
      <c r="I176" s="146">
        <v>45770</v>
      </c>
      <c r="J176" s="87"/>
      <c r="K176" s="57"/>
      <c r="L176" s="86" t="s">
        <v>1906</v>
      </c>
      <c r="M176" s="86">
        <v>75</v>
      </c>
      <c r="N176" s="85"/>
      <c r="O176" s="85"/>
      <c r="P176" s="85"/>
      <c r="Q176" s="85"/>
      <c r="R176" s="85"/>
      <c r="S176" s="85"/>
    </row>
    <row r="177" spans="1:19" ht="47.25">
      <c r="A177" s="83">
        <v>1335</v>
      </c>
      <c r="B177" s="141">
        <v>45755</v>
      </c>
      <c r="C177" s="18" t="s">
        <v>5</v>
      </c>
      <c r="D177" s="21" t="s">
        <v>50</v>
      </c>
      <c r="E177" s="21" t="s">
        <v>1905</v>
      </c>
      <c r="F177" s="20" t="s">
        <v>324</v>
      </c>
      <c r="G177" s="18" t="str">
        <f>C177</f>
        <v>ECE</v>
      </c>
      <c r="H177" s="86">
        <v>3000</v>
      </c>
      <c r="I177" s="146">
        <v>45770</v>
      </c>
      <c r="J177" s="87"/>
      <c r="K177" s="57"/>
      <c r="L177" s="86" t="s">
        <v>1904</v>
      </c>
      <c r="M177" s="86">
        <v>75</v>
      </c>
      <c r="N177" s="85"/>
      <c r="O177" s="85"/>
      <c r="P177" s="85"/>
      <c r="Q177" s="85"/>
      <c r="R177" s="85"/>
      <c r="S177" s="85"/>
    </row>
    <row r="178" spans="1:19" ht="31.5">
      <c r="A178" s="83">
        <v>1336</v>
      </c>
      <c r="B178" s="141">
        <v>45755</v>
      </c>
      <c r="C178" s="18" t="s">
        <v>5</v>
      </c>
      <c r="D178" s="21" t="s">
        <v>50</v>
      </c>
      <c r="E178" s="21" t="s">
        <v>1903</v>
      </c>
      <c r="F178" s="20" t="s">
        <v>16</v>
      </c>
      <c r="G178" s="18" t="str">
        <f>C178</f>
        <v>ECE</v>
      </c>
      <c r="H178" s="86">
        <v>1800</v>
      </c>
      <c r="I178" s="146">
        <v>45770</v>
      </c>
      <c r="J178" s="87"/>
      <c r="K178" s="57"/>
      <c r="L178" s="86" t="s">
        <v>1894</v>
      </c>
      <c r="M178" s="86">
        <v>75</v>
      </c>
      <c r="N178" s="85"/>
      <c r="O178" s="85"/>
      <c r="P178" s="85"/>
      <c r="Q178" s="85"/>
      <c r="R178" s="85"/>
      <c r="S178" s="85"/>
    </row>
    <row r="179" spans="1:19" ht="31.5">
      <c r="A179" s="83">
        <v>1337</v>
      </c>
      <c r="B179" s="141">
        <v>45734</v>
      </c>
      <c r="C179" s="18" t="s">
        <v>5</v>
      </c>
      <c r="D179" s="21" t="s">
        <v>72</v>
      </c>
      <c r="E179" s="21" t="s">
        <v>1902</v>
      </c>
      <c r="F179" s="20" t="s">
        <v>16</v>
      </c>
      <c r="G179" s="18" t="str">
        <f>C179</f>
        <v>ECE</v>
      </c>
      <c r="H179" s="86">
        <v>3000</v>
      </c>
      <c r="I179" s="146">
        <v>45770</v>
      </c>
      <c r="J179" s="87"/>
      <c r="K179" s="57"/>
      <c r="L179" s="86" t="s">
        <v>1772</v>
      </c>
      <c r="M179" s="86">
        <v>75</v>
      </c>
      <c r="N179" s="85"/>
      <c r="O179" s="85"/>
      <c r="P179" s="85"/>
      <c r="Q179" s="85"/>
      <c r="R179" s="85"/>
      <c r="S179" s="85"/>
    </row>
    <row r="180" spans="1:19" ht="47.25">
      <c r="A180" s="83">
        <v>1338</v>
      </c>
      <c r="B180" s="141">
        <v>45748</v>
      </c>
      <c r="C180" s="18" t="s">
        <v>8</v>
      </c>
      <c r="D180" s="21" t="s">
        <v>307</v>
      </c>
      <c r="E180" s="21" t="s">
        <v>1901</v>
      </c>
      <c r="F180" s="20" t="s">
        <v>23</v>
      </c>
      <c r="G180" s="18" t="str">
        <f>C180</f>
        <v>CCE</v>
      </c>
      <c r="H180" s="86">
        <v>10000</v>
      </c>
      <c r="I180" s="146">
        <v>45770</v>
      </c>
      <c r="J180" s="87"/>
      <c r="K180" s="57"/>
      <c r="L180" s="86" t="s">
        <v>1795</v>
      </c>
      <c r="M180" s="86">
        <v>75</v>
      </c>
      <c r="N180" s="85"/>
      <c r="O180" s="85"/>
      <c r="P180" s="85"/>
      <c r="Q180" s="85"/>
      <c r="R180" s="85"/>
      <c r="S180" s="85"/>
    </row>
    <row r="181" spans="1:19" ht="47.25">
      <c r="A181" s="83">
        <v>1339</v>
      </c>
      <c r="B181" s="141">
        <v>45748</v>
      </c>
      <c r="C181" s="18" t="s">
        <v>8</v>
      </c>
      <c r="D181" s="21" t="s">
        <v>307</v>
      </c>
      <c r="E181" s="21" t="s">
        <v>1900</v>
      </c>
      <c r="F181" s="20" t="s">
        <v>23</v>
      </c>
      <c r="G181" s="18" t="str">
        <f>C181</f>
        <v>CCE</v>
      </c>
      <c r="H181" s="86">
        <v>10000</v>
      </c>
      <c r="I181" s="146">
        <v>45770</v>
      </c>
      <c r="J181" s="87"/>
      <c r="K181" s="57"/>
      <c r="L181" s="95">
        <v>45931</v>
      </c>
      <c r="M181" s="86">
        <v>75</v>
      </c>
      <c r="N181" s="85"/>
      <c r="O181" s="85"/>
      <c r="P181" s="85"/>
      <c r="Q181" s="85"/>
      <c r="R181" s="85"/>
      <c r="S181" s="85"/>
    </row>
    <row r="182" spans="1:19" ht="31.5">
      <c r="A182" s="83">
        <v>1340</v>
      </c>
      <c r="B182" s="141">
        <v>45714</v>
      </c>
      <c r="C182" s="18" t="s">
        <v>1</v>
      </c>
      <c r="D182" s="21" t="s">
        <v>260</v>
      </c>
      <c r="E182" s="21" t="s">
        <v>1899</v>
      </c>
      <c r="F182" s="20" t="s">
        <v>324</v>
      </c>
      <c r="G182" s="18" t="str">
        <f>C182</f>
        <v>S&amp;H</v>
      </c>
      <c r="H182" s="86">
        <v>3000</v>
      </c>
      <c r="I182" s="146">
        <v>45770</v>
      </c>
      <c r="J182" s="87"/>
      <c r="K182" s="57"/>
      <c r="L182" s="99">
        <v>45658</v>
      </c>
      <c r="M182" s="86">
        <v>75</v>
      </c>
      <c r="N182" s="85"/>
      <c r="O182" s="85"/>
      <c r="P182" s="85"/>
      <c r="Q182" s="85"/>
      <c r="R182" s="85"/>
      <c r="S182" s="85"/>
    </row>
    <row r="183" spans="1:19" ht="47.25">
      <c r="A183" s="83">
        <v>1341</v>
      </c>
      <c r="B183" s="141">
        <v>45713</v>
      </c>
      <c r="C183" s="18" t="s">
        <v>1</v>
      </c>
      <c r="D183" s="21" t="s">
        <v>126</v>
      </c>
      <c r="E183" s="21" t="s">
        <v>1898</v>
      </c>
      <c r="F183" s="20" t="s">
        <v>23</v>
      </c>
      <c r="G183" s="18" t="s">
        <v>0</v>
      </c>
      <c r="H183" s="86">
        <v>5000</v>
      </c>
      <c r="I183" s="146">
        <v>45770</v>
      </c>
      <c r="J183" s="87"/>
      <c r="K183" s="57"/>
      <c r="L183" s="86" t="s">
        <v>1897</v>
      </c>
      <c r="M183" s="86">
        <v>75</v>
      </c>
      <c r="N183" s="85"/>
      <c r="O183" s="85"/>
      <c r="P183" s="85"/>
      <c r="Q183" s="85"/>
      <c r="R183" s="85"/>
      <c r="S183" s="85"/>
    </row>
    <row r="184" spans="1:19" ht="47.25">
      <c r="A184" s="83">
        <v>1342</v>
      </c>
      <c r="B184" s="141">
        <v>45713</v>
      </c>
      <c r="C184" s="18" t="s">
        <v>1</v>
      </c>
      <c r="D184" s="21" t="s">
        <v>126</v>
      </c>
      <c r="E184" s="21" t="s">
        <v>1896</v>
      </c>
      <c r="F184" s="20" t="s">
        <v>324</v>
      </c>
      <c r="G184" s="18" t="s">
        <v>0</v>
      </c>
      <c r="H184" s="86">
        <v>2500</v>
      </c>
      <c r="I184" s="146">
        <v>45770</v>
      </c>
      <c r="J184" s="87"/>
      <c r="K184" s="57"/>
      <c r="L184" s="95">
        <v>45870</v>
      </c>
      <c r="M184" s="86">
        <v>75</v>
      </c>
      <c r="N184" s="85"/>
      <c r="O184" s="85"/>
      <c r="P184" s="85"/>
      <c r="Q184" s="85"/>
      <c r="R184" s="85"/>
      <c r="S184" s="85"/>
    </row>
    <row r="185" spans="1:19" ht="47.25">
      <c r="A185" s="83">
        <v>1343</v>
      </c>
      <c r="B185" s="141">
        <v>45721</v>
      </c>
      <c r="C185" s="18" t="s">
        <v>1</v>
      </c>
      <c r="D185" s="21" t="s">
        <v>722</v>
      </c>
      <c r="E185" s="21" t="s">
        <v>1895</v>
      </c>
      <c r="F185" s="20" t="s">
        <v>23</v>
      </c>
      <c r="G185" s="18" t="s">
        <v>0</v>
      </c>
      <c r="H185" s="86">
        <v>10000</v>
      </c>
      <c r="I185" s="146">
        <v>45770</v>
      </c>
      <c r="J185" s="87"/>
      <c r="K185" s="57"/>
      <c r="L185" s="86" t="s">
        <v>1894</v>
      </c>
      <c r="M185" s="86">
        <v>75</v>
      </c>
      <c r="N185" s="85"/>
      <c r="O185" s="85"/>
      <c r="P185" s="85"/>
      <c r="Q185" s="85"/>
      <c r="R185" s="85"/>
      <c r="S185" s="85"/>
    </row>
    <row r="186" spans="1:19" ht="47.25">
      <c r="A186" s="83">
        <v>1344</v>
      </c>
      <c r="B186" s="141">
        <v>45712</v>
      </c>
      <c r="C186" s="18" t="s">
        <v>36</v>
      </c>
      <c r="D186" s="21" t="s">
        <v>1666</v>
      </c>
      <c r="E186" s="158" t="s">
        <v>1820</v>
      </c>
      <c r="F186" s="157" t="s">
        <v>324</v>
      </c>
      <c r="G186" s="156" t="str">
        <f>C186</f>
        <v>AIDS</v>
      </c>
      <c r="H186" s="155">
        <v>1800</v>
      </c>
      <c r="I186" s="146">
        <v>45770</v>
      </c>
      <c r="J186" s="154" t="s">
        <v>1893</v>
      </c>
      <c r="K186" s="57"/>
      <c r="L186" s="86" t="s">
        <v>1892</v>
      </c>
      <c r="M186" s="86">
        <v>75</v>
      </c>
      <c r="N186" s="85"/>
      <c r="O186" s="85"/>
      <c r="P186" s="85"/>
      <c r="Q186" s="85"/>
      <c r="R186" s="85"/>
      <c r="S186" s="85"/>
    </row>
    <row r="187" spans="1:19" ht="31.5">
      <c r="A187" s="83">
        <v>1345</v>
      </c>
      <c r="B187" s="141">
        <v>45762</v>
      </c>
      <c r="C187" s="18" t="s">
        <v>1</v>
      </c>
      <c r="D187" s="21" t="s">
        <v>260</v>
      </c>
      <c r="E187" s="21" t="s">
        <v>1891</v>
      </c>
      <c r="F187" s="20" t="s">
        <v>23</v>
      </c>
      <c r="G187" s="18" t="str">
        <f>C187</f>
        <v>S&amp;H</v>
      </c>
      <c r="H187" s="86">
        <v>10000</v>
      </c>
      <c r="I187" s="146">
        <v>45770</v>
      </c>
      <c r="J187" s="87"/>
      <c r="K187" s="57"/>
      <c r="L187" s="86" t="s">
        <v>1890</v>
      </c>
      <c r="M187" s="86">
        <v>75</v>
      </c>
      <c r="N187" s="85"/>
      <c r="O187" s="85"/>
      <c r="P187" s="85"/>
      <c r="Q187" s="85"/>
      <c r="R187" s="85"/>
      <c r="S187" s="85"/>
    </row>
    <row r="188" spans="1:19" ht="31.5">
      <c r="A188" s="83">
        <v>1346</v>
      </c>
      <c r="B188" s="141">
        <v>45742</v>
      </c>
      <c r="C188" s="18" t="s">
        <v>1</v>
      </c>
      <c r="D188" s="21" t="s">
        <v>260</v>
      </c>
      <c r="E188" s="21" t="s">
        <v>1889</v>
      </c>
      <c r="F188" s="20" t="s">
        <v>324</v>
      </c>
      <c r="G188" s="18" t="str">
        <f>C188</f>
        <v>S&amp;H</v>
      </c>
      <c r="H188" s="86">
        <v>3000</v>
      </c>
      <c r="I188" s="146">
        <v>45770</v>
      </c>
      <c r="J188" s="87"/>
      <c r="K188" s="57"/>
      <c r="L188" s="99">
        <v>45717</v>
      </c>
      <c r="M188" s="86">
        <v>75</v>
      </c>
      <c r="N188" s="85"/>
      <c r="O188" s="85"/>
      <c r="P188" s="85"/>
      <c r="Q188" s="85"/>
      <c r="R188" s="85"/>
      <c r="S188" s="85"/>
    </row>
    <row r="189" spans="1:19" ht="47.25">
      <c r="A189" s="83">
        <v>1347</v>
      </c>
      <c r="B189" s="141">
        <v>45762</v>
      </c>
      <c r="C189" s="18" t="s">
        <v>1</v>
      </c>
      <c r="D189" s="21" t="s">
        <v>140</v>
      </c>
      <c r="E189" s="21" t="s">
        <v>1888</v>
      </c>
      <c r="F189" s="20" t="s">
        <v>23</v>
      </c>
      <c r="G189" s="18" t="str">
        <f>C189</f>
        <v>S&amp;H</v>
      </c>
      <c r="H189" s="86">
        <v>6000</v>
      </c>
      <c r="I189" s="146">
        <v>45770</v>
      </c>
      <c r="J189" s="87"/>
      <c r="K189" s="57"/>
      <c r="L189" s="150">
        <v>45934</v>
      </c>
      <c r="M189" s="86">
        <v>75</v>
      </c>
      <c r="N189" s="85"/>
      <c r="O189" s="85"/>
      <c r="P189" s="85"/>
      <c r="Q189" s="85"/>
      <c r="R189" s="85"/>
      <c r="S189" s="85"/>
    </row>
    <row r="190" spans="1:19" ht="47.25">
      <c r="A190" s="83">
        <v>1348</v>
      </c>
      <c r="B190" s="141">
        <v>45762</v>
      </c>
      <c r="C190" s="18" t="s">
        <v>1</v>
      </c>
      <c r="D190" s="21" t="s">
        <v>140</v>
      </c>
      <c r="E190" s="21" t="s">
        <v>1887</v>
      </c>
      <c r="F190" s="20" t="s">
        <v>324</v>
      </c>
      <c r="G190" s="18" t="str">
        <f>C190</f>
        <v>S&amp;H</v>
      </c>
      <c r="H190" s="86">
        <v>5000</v>
      </c>
      <c r="I190" s="146">
        <v>45770</v>
      </c>
      <c r="J190" s="87"/>
      <c r="K190" s="57"/>
      <c r="L190" s="86" t="s">
        <v>1886</v>
      </c>
      <c r="M190" s="86">
        <v>75</v>
      </c>
      <c r="N190" s="85"/>
      <c r="O190" s="85"/>
      <c r="P190" s="85"/>
      <c r="Q190" s="85"/>
      <c r="R190" s="85"/>
      <c r="S190" s="85"/>
    </row>
    <row r="191" spans="1:19" ht="47.25">
      <c r="A191" s="83">
        <v>1349</v>
      </c>
      <c r="B191" s="141">
        <v>45714</v>
      </c>
      <c r="C191" s="18" t="s">
        <v>1</v>
      </c>
      <c r="D191" s="21" t="s">
        <v>1870</v>
      </c>
      <c r="E191" s="21" t="s">
        <v>1885</v>
      </c>
      <c r="F191" s="20" t="s">
        <v>23</v>
      </c>
      <c r="G191" s="18" t="str">
        <f>C191</f>
        <v>S&amp;H</v>
      </c>
      <c r="H191" s="86">
        <v>2000</v>
      </c>
      <c r="I191" s="146">
        <v>45770</v>
      </c>
      <c r="J191" s="87"/>
      <c r="K191" s="57"/>
      <c r="L191" s="86" t="s">
        <v>968</v>
      </c>
      <c r="M191" s="86">
        <v>75</v>
      </c>
      <c r="N191" s="85"/>
      <c r="O191" s="85"/>
      <c r="P191" s="85"/>
      <c r="Q191" s="85"/>
      <c r="R191" s="85"/>
      <c r="S191" s="85"/>
    </row>
    <row r="192" spans="1:19" ht="47.25">
      <c r="A192" s="83">
        <v>1350</v>
      </c>
      <c r="B192" s="141">
        <v>45714</v>
      </c>
      <c r="C192" s="18" t="s">
        <v>1</v>
      </c>
      <c r="D192" s="21" t="s">
        <v>1870</v>
      </c>
      <c r="E192" s="21" t="s">
        <v>1884</v>
      </c>
      <c r="F192" s="20" t="s">
        <v>23</v>
      </c>
      <c r="G192" s="18" t="str">
        <f>C192</f>
        <v>S&amp;H</v>
      </c>
      <c r="H192" s="86">
        <v>6000</v>
      </c>
      <c r="I192" s="146">
        <v>45770</v>
      </c>
      <c r="J192" s="87"/>
      <c r="K192" s="57"/>
      <c r="L192" s="96">
        <v>44630</v>
      </c>
      <c r="M192" s="86">
        <v>75</v>
      </c>
      <c r="N192" s="85"/>
      <c r="O192" s="85"/>
      <c r="P192" s="85"/>
      <c r="Q192" s="85"/>
      <c r="R192" s="85"/>
      <c r="S192" s="85"/>
    </row>
    <row r="193" spans="1:19" ht="47.25">
      <c r="A193" s="83">
        <v>1351</v>
      </c>
      <c r="B193" s="141">
        <v>45714</v>
      </c>
      <c r="C193" s="18" t="s">
        <v>1</v>
      </c>
      <c r="D193" s="21" t="s">
        <v>1870</v>
      </c>
      <c r="E193" s="21" t="s">
        <v>1883</v>
      </c>
      <c r="F193" s="20" t="s">
        <v>23</v>
      </c>
      <c r="G193" s="18" t="str">
        <f>C193</f>
        <v>S&amp;H</v>
      </c>
      <c r="H193" s="86">
        <v>6000</v>
      </c>
      <c r="I193" s="146">
        <v>45770</v>
      </c>
      <c r="J193" s="87"/>
      <c r="K193" s="57"/>
      <c r="L193" s="95">
        <v>45109</v>
      </c>
      <c r="M193" s="86">
        <v>75</v>
      </c>
      <c r="N193" s="85"/>
      <c r="O193" s="85"/>
      <c r="P193" s="85"/>
      <c r="Q193" s="85"/>
      <c r="R193" s="85"/>
      <c r="S193" s="85"/>
    </row>
    <row r="194" spans="1:19" ht="47.25">
      <c r="A194" s="83">
        <v>1352</v>
      </c>
      <c r="B194" s="141">
        <v>45714</v>
      </c>
      <c r="C194" s="18" t="s">
        <v>1</v>
      </c>
      <c r="D194" s="21" t="s">
        <v>1870</v>
      </c>
      <c r="E194" s="21" t="s">
        <v>1882</v>
      </c>
      <c r="F194" s="20" t="s">
        <v>23</v>
      </c>
      <c r="G194" s="18" t="str">
        <f>C194</f>
        <v>S&amp;H</v>
      </c>
      <c r="H194" s="86">
        <v>6000</v>
      </c>
      <c r="I194" s="146">
        <v>45770</v>
      </c>
      <c r="J194" s="87"/>
      <c r="K194" s="57"/>
      <c r="L194" s="86" t="s">
        <v>1881</v>
      </c>
      <c r="M194" s="86">
        <v>75</v>
      </c>
      <c r="N194" s="85"/>
      <c r="O194" s="85"/>
      <c r="P194" s="85"/>
      <c r="Q194" s="85"/>
      <c r="R194" s="85"/>
      <c r="S194" s="85"/>
    </row>
    <row r="195" spans="1:19" ht="31.5">
      <c r="A195" s="83">
        <v>1353</v>
      </c>
      <c r="B195" s="141">
        <v>45714</v>
      </c>
      <c r="C195" s="18" t="s">
        <v>1</v>
      </c>
      <c r="D195" s="21" t="s">
        <v>1870</v>
      </c>
      <c r="E195" s="21" t="s">
        <v>1880</v>
      </c>
      <c r="F195" s="20" t="s">
        <v>23</v>
      </c>
      <c r="G195" s="18" t="str">
        <f>C195</f>
        <v>S&amp;H</v>
      </c>
      <c r="H195" s="86">
        <v>6000</v>
      </c>
      <c r="I195" s="146">
        <v>45770</v>
      </c>
      <c r="J195" s="87"/>
      <c r="K195" s="57"/>
      <c r="L195" s="86" t="s">
        <v>1879</v>
      </c>
      <c r="M195" s="86">
        <v>75</v>
      </c>
      <c r="N195" s="85"/>
      <c r="O195" s="85"/>
      <c r="P195" s="85"/>
      <c r="Q195" s="85"/>
      <c r="R195" s="85"/>
      <c r="S195" s="85"/>
    </row>
    <row r="196" spans="1:19" ht="47.25">
      <c r="A196" s="83">
        <v>1354</v>
      </c>
      <c r="B196" s="141">
        <v>45714</v>
      </c>
      <c r="C196" s="18" t="s">
        <v>1</v>
      </c>
      <c r="D196" s="21" t="s">
        <v>1870</v>
      </c>
      <c r="E196" s="21" t="s">
        <v>1878</v>
      </c>
      <c r="F196" s="20" t="s">
        <v>324</v>
      </c>
      <c r="G196" s="18" t="str">
        <f>C196</f>
        <v>S&amp;H</v>
      </c>
      <c r="H196" s="86">
        <v>3000</v>
      </c>
      <c r="I196" s="146">
        <v>45770</v>
      </c>
      <c r="J196" s="87"/>
      <c r="K196" s="57"/>
      <c r="L196" s="95">
        <v>44568</v>
      </c>
      <c r="M196" s="86">
        <v>75</v>
      </c>
      <c r="N196" s="85"/>
      <c r="O196" s="85"/>
      <c r="P196" s="85"/>
      <c r="Q196" s="85"/>
      <c r="R196" s="85"/>
      <c r="S196" s="85"/>
    </row>
    <row r="197" spans="1:19" ht="47.25">
      <c r="A197" s="83">
        <v>1355</v>
      </c>
      <c r="B197" s="141">
        <v>45714</v>
      </c>
      <c r="C197" s="18" t="s">
        <v>1</v>
      </c>
      <c r="D197" s="21" t="s">
        <v>1870</v>
      </c>
      <c r="E197" s="21" t="s">
        <v>1877</v>
      </c>
      <c r="F197" s="20" t="s">
        <v>324</v>
      </c>
      <c r="G197" s="18" t="str">
        <f>C197</f>
        <v>S&amp;H</v>
      </c>
      <c r="H197" s="86">
        <v>3000</v>
      </c>
      <c r="I197" s="146">
        <v>45770</v>
      </c>
      <c r="J197" s="87"/>
      <c r="K197" s="57"/>
      <c r="L197" s="86" t="s">
        <v>1876</v>
      </c>
      <c r="M197" s="86">
        <v>75</v>
      </c>
      <c r="N197" s="85"/>
      <c r="O197" s="85"/>
      <c r="P197" s="85"/>
      <c r="Q197" s="85"/>
      <c r="R197" s="85"/>
      <c r="S197" s="85"/>
    </row>
    <row r="198" spans="1:19" ht="31.5">
      <c r="A198" s="83">
        <v>1356</v>
      </c>
      <c r="B198" s="141">
        <v>45714</v>
      </c>
      <c r="C198" s="18" t="s">
        <v>1</v>
      </c>
      <c r="D198" s="21" t="s">
        <v>1870</v>
      </c>
      <c r="E198" s="21" t="s">
        <v>1875</v>
      </c>
      <c r="F198" s="20" t="s">
        <v>324</v>
      </c>
      <c r="G198" s="18" t="str">
        <f>C198</f>
        <v>S&amp;H</v>
      </c>
      <c r="H198" s="86">
        <v>3000</v>
      </c>
      <c r="I198" s="146">
        <v>45770</v>
      </c>
      <c r="J198" s="87"/>
      <c r="K198" s="57"/>
      <c r="L198" s="86" t="s">
        <v>1874</v>
      </c>
      <c r="M198" s="86">
        <v>75</v>
      </c>
      <c r="N198" s="85"/>
      <c r="O198" s="85"/>
      <c r="P198" s="85"/>
      <c r="Q198" s="85"/>
      <c r="R198" s="85"/>
      <c r="S198" s="85"/>
    </row>
    <row r="199" spans="1:19" ht="31.5">
      <c r="A199" s="83">
        <v>1357</v>
      </c>
      <c r="B199" s="141">
        <v>45714</v>
      </c>
      <c r="C199" s="18" t="s">
        <v>1</v>
      </c>
      <c r="D199" s="21" t="s">
        <v>1870</v>
      </c>
      <c r="E199" s="21" t="s">
        <v>1873</v>
      </c>
      <c r="F199" s="20" t="s">
        <v>324</v>
      </c>
      <c r="G199" s="18" t="str">
        <f>C199</f>
        <v>S&amp;H</v>
      </c>
      <c r="H199" s="86">
        <v>3000</v>
      </c>
      <c r="I199" s="146">
        <v>45770</v>
      </c>
      <c r="J199" s="87"/>
      <c r="K199" s="57"/>
      <c r="L199" s="86">
        <v>2023</v>
      </c>
      <c r="M199" s="86">
        <v>75</v>
      </c>
      <c r="N199" s="85"/>
      <c r="O199" s="85"/>
      <c r="P199" s="85"/>
      <c r="Q199" s="85"/>
      <c r="R199" s="85"/>
      <c r="S199" s="85"/>
    </row>
    <row r="200" spans="1:19" ht="47.25">
      <c r="A200" s="83">
        <v>1358</v>
      </c>
      <c r="B200" s="141">
        <v>45714</v>
      </c>
      <c r="C200" s="18" t="s">
        <v>1</v>
      </c>
      <c r="D200" s="21" t="s">
        <v>1870</v>
      </c>
      <c r="E200" s="21" t="s">
        <v>1872</v>
      </c>
      <c r="F200" s="20" t="s">
        <v>324</v>
      </c>
      <c r="G200" s="18" t="str">
        <f>C200</f>
        <v>S&amp;H</v>
      </c>
      <c r="H200" s="86">
        <v>1800</v>
      </c>
      <c r="I200" s="146">
        <v>45770</v>
      </c>
      <c r="J200" s="87"/>
      <c r="K200" s="57"/>
      <c r="L200" s="95">
        <v>45324</v>
      </c>
      <c r="M200" s="86">
        <v>75</v>
      </c>
      <c r="N200" s="85"/>
      <c r="O200" s="85"/>
      <c r="P200" s="85"/>
      <c r="Q200" s="85"/>
      <c r="R200" s="85"/>
      <c r="S200" s="85"/>
    </row>
    <row r="201" spans="1:19" ht="31.5">
      <c r="A201" s="83">
        <v>1359</v>
      </c>
      <c r="B201" s="141">
        <v>45714</v>
      </c>
      <c r="C201" s="18" t="s">
        <v>1</v>
      </c>
      <c r="D201" s="21" t="s">
        <v>1870</v>
      </c>
      <c r="E201" s="21" t="s">
        <v>1871</v>
      </c>
      <c r="F201" s="20" t="s">
        <v>324</v>
      </c>
      <c r="G201" s="18" t="str">
        <f>C201</f>
        <v>S&amp;H</v>
      </c>
      <c r="H201" s="86">
        <v>3000</v>
      </c>
      <c r="I201" s="146">
        <v>45770</v>
      </c>
      <c r="J201" s="87"/>
      <c r="K201" s="57"/>
      <c r="L201" s="86" t="s">
        <v>839</v>
      </c>
      <c r="M201" s="86">
        <v>75</v>
      </c>
      <c r="N201" s="85"/>
      <c r="O201" s="85"/>
      <c r="P201" s="85"/>
      <c r="Q201" s="85"/>
      <c r="R201" s="85"/>
      <c r="S201" s="85"/>
    </row>
    <row r="202" spans="1:19" ht="15.75">
      <c r="A202" s="83">
        <v>1360</v>
      </c>
      <c r="B202" s="141">
        <v>45714</v>
      </c>
      <c r="C202" s="18" t="s">
        <v>1</v>
      </c>
      <c r="D202" s="21" t="s">
        <v>1870</v>
      </c>
      <c r="E202" s="21" t="s">
        <v>737</v>
      </c>
      <c r="F202" s="20" t="s">
        <v>324</v>
      </c>
      <c r="G202" s="18" t="str">
        <f>C202</f>
        <v>S&amp;H</v>
      </c>
      <c r="H202" s="86">
        <v>10000</v>
      </c>
      <c r="I202" s="146">
        <v>45770</v>
      </c>
      <c r="J202" s="87"/>
      <c r="K202" s="57"/>
      <c r="L202" s="86" t="s">
        <v>1513</v>
      </c>
      <c r="M202" s="86">
        <v>75</v>
      </c>
      <c r="N202" s="85"/>
      <c r="O202" s="85"/>
      <c r="P202" s="85"/>
      <c r="Q202" s="85"/>
      <c r="R202" s="85"/>
      <c r="S202" s="85"/>
    </row>
    <row r="203" spans="1:19" ht="31.5">
      <c r="A203" s="83">
        <v>1361</v>
      </c>
      <c r="B203" s="141">
        <v>45752</v>
      </c>
      <c r="C203" s="18" t="s">
        <v>1</v>
      </c>
      <c r="D203" s="21" t="s">
        <v>432</v>
      </c>
      <c r="E203" s="21" t="s">
        <v>1869</v>
      </c>
      <c r="F203" s="20" t="s">
        <v>23</v>
      </c>
      <c r="G203" s="18" t="str">
        <f>C203</f>
        <v>S&amp;H</v>
      </c>
      <c r="H203" s="86">
        <v>10000</v>
      </c>
      <c r="I203" s="146">
        <v>45770</v>
      </c>
      <c r="J203" s="87"/>
      <c r="K203" s="57"/>
      <c r="L203" s="86" t="s">
        <v>1513</v>
      </c>
      <c r="M203" s="86">
        <v>75</v>
      </c>
      <c r="N203" s="85"/>
      <c r="O203" s="85"/>
      <c r="P203" s="85"/>
      <c r="Q203" s="85"/>
      <c r="R203" s="85"/>
      <c r="S203" s="85"/>
    </row>
    <row r="204" spans="1:19" ht="31.5">
      <c r="A204" s="83">
        <v>1362</v>
      </c>
      <c r="B204" s="141">
        <v>45727</v>
      </c>
      <c r="C204" s="18" t="s">
        <v>5</v>
      </c>
      <c r="D204" s="21" t="s">
        <v>52</v>
      </c>
      <c r="E204" s="21" t="s">
        <v>1868</v>
      </c>
      <c r="F204" s="20" t="s">
        <v>16</v>
      </c>
      <c r="G204" s="18" t="str">
        <f>C204</f>
        <v>ECE</v>
      </c>
      <c r="H204" s="86">
        <v>3000</v>
      </c>
      <c r="I204" s="146">
        <v>45770</v>
      </c>
      <c r="J204" s="87"/>
      <c r="K204" s="57"/>
      <c r="L204" s="95">
        <v>45750</v>
      </c>
      <c r="M204" s="86">
        <v>75</v>
      </c>
      <c r="N204" s="85"/>
      <c r="O204" s="85"/>
      <c r="P204" s="85"/>
      <c r="Q204" s="85"/>
      <c r="R204" s="85"/>
      <c r="S204" s="85"/>
    </row>
    <row r="205" spans="1:19" ht="31.5">
      <c r="A205" s="83">
        <v>1363</v>
      </c>
      <c r="B205" s="141">
        <v>45727</v>
      </c>
      <c r="C205" s="18" t="s">
        <v>5</v>
      </c>
      <c r="D205" s="21" t="s">
        <v>52</v>
      </c>
      <c r="E205" s="21" t="s">
        <v>1867</v>
      </c>
      <c r="F205" s="20" t="s">
        <v>16</v>
      </c>
      <c r="G205" s="18" t="str">
        <f>C205</f>
        <v>ECE</v>
      </c>
      <c r="H205" s="86">
        <v>1800</v>
      </c>
      <c r="I205" s="146">
        <v>45770</v>
      </c>
      <c r="J205" s="87"/>
      <c r="K205" s="57"/>
      <c r="L205" s="95">
        <v>45750</v>
      </c>
      <c r="M205" s="86">
        <v>75</v>
      </c>
      <c r="N205" s="85"/>
      <c r="O205" s="85"/>
      <c r="P205" s="85"/>
      <c r="Q205" s="85"/>
      <c r="R205" s="85"/>
      <c r="S205" s="85"/>
    </row>
    <row r="206" spans="1:19" ht="31.5">
      <c r="A206" s="83">
        <v>1364</v>
      </c>
      <c r="B206" s="141">
        <v>45691</v>
      </c>
      <c r="C206" s="18" t="s">
        <v>36</v>
      </c>
      <c r="D206" s="21" t="s">
        <v>1865</v>
      </c>
      <c r="E206" s="21" t="s">
        <v>1866</v>
      </c>
      <c r="F206" s="20" t="s">
        <v>16</v>
      </c>
      <c r="G206" s="18" t="str">
        <f>C206</f>
        <v>AIDS</v>
      </c>
      <c r="H206" s="86">
        <v>1800</v>
      </c>
      <c r="I206" s="146">
        <v>45770</v>
      </c>
      <c r="J206" s="87"/>
      <c r="K206" s="57"/>
      <c r="L206" s="153">
        <v>45577</v>
      </c>
      <c r="M206" s="86">
        <v>75</v>
      </c>
      <c r="N206" s="85"/>
      <c r="O206" s="85"/>
      <c r="P206" s="85"/>
      <c r="Q206" s="85"/>
      <c r="R206" s="85"/>
      <c r="S206" s="85"/>
    </row>
    <row r="207" spans="1:19" ht="31.5">
      <c r="A207" s="83">
        <v>1365</v>
      </c>
      <c r="B207" s="141">
        <v>45691</v>
      </c>
      <c r="C207" s="18" t="s">
        <v>36</v>
      </c>
      <c r="D207" s="21" t="s">
        <v>1865</v>
      </c>
      <c r="E207" s="21" t="s">
        <v>1864</v>
      </c>
      <c r="F207" s="20" t="s">
        <v>16</v>
      </c>
      <c r="G207" s="18" t="str">
        <f>C207</f>
        <v>AIDS</v>
      </c>
      <c r="H207" s="86">
        <v>1800</v>
      </c>
      <c r="I207" s="146">
        <v>45770</v>
      </c>
      <c r="J207" s="87"/>
      <c r="K207" s="57"/>
      <c r="L207" s="86" t="s">
        <v>1863</v>
      </c>
      <c r="M207" s="86">
        <v>75</v>
      </c>
      <c r="N207" s="85"/>
      <c r="O207" s="85"/>
      <c r="P207" s="85"/>
      <c r="Q207" s="85"/>
      <c r="R207" s="85"/>
      <c r="S207" s="85"/>
    </row>
    <row r="208" spans="1:19" ht="47.25">
      <c r="A208" s="83">
        <v>1366</v>
      </c>
      <c r="B208" s="141">
        <v>45706</v>
      </c>
      <c r="C208" s="18" t="s">
        <v>5</v>
      </c>
      <c r="D208" s="21" t="s">
        <v>21</v>
      </c>
      <c r="E208" s="21" t="s">
        <v>1862</v>
      </c>
      <c r="F208" s="20" t="s">
        <v>23</v>
      </c>
      <c r="G208" s="18" t="str">
        <f>C208</f>
        <v>ECE</v>
      </c>
      <c r="H208" s="86">
        <v>6000</v>
      </c>
      <c r="I208" s="146">
        <v>45770</v>
      </c>
      <c r="J208" s="87"/>
      <c r="K208" s="57"/>
      <c r="L208" s="95">
        <v>45963</v>
      </c>
      <c r="M208" s="86">
        <v>75</v>
      </c>
      <c r="N208" s="85"/>
      <c r="O208" s="85"/>
      <c r="P208" s="85"/>
      <c r="Q208" s="85"/>
      <c r="R208" s="85"/>
      <c r="S208" s="85"/>
    </row>
    <row r="209" spans="1:19" ht="15.75">
      <c r="A209" s="83">
        <v>1367</v>
      </c>
      <c r="B209" s="141">
        <v>45706</v>
      </c>
      <c r="C209" s="18" t="s">
        <v>5</v>
      </c>
      <c r="D209" s="21" t="s">
        <v>21</v>
      </c>
      <c r="E209" s="21" t="s">
        <v>198</v>
      </c>
      <c r="F209" s="20" t="s">
        <v>193</v>
      </c>
      <c r="G209" s="18" t="str">
        <f>C209</f>
        <v>ECE</v>
      </c>
      <c r="H209" s="86">
        <v>4000</v>
      </c>
      <c r="I209" s="146">
        <v>45770</v>
      </c>
      <c r="J209" s="87"/>
      <c r="K209" s="57"/>
      <c r="L209" s="86" t="s">
        <v>1861</v>
      </c>
      <c r="M209" s="86">
        <v>75</v>
      </c>
      <c r="N209" s="85"/>
      <c r="O209" s="85"/>
      <c r="P209" s="85"/>
      <c r="Q209" s="85"/>
      <c r="R209" s="85"/>
      <c r="S209" s="85"/>
    </row>
    <row r="210" spans="1:19" ht="31.5">
      <c r="A210" s="83">
        <v>1368</v>
      </c>
      <c r="B210" s="141">
        <v>45687</v>
      </c>
      <c r="C210" s="18" t="s">
        <v>6</v>
      </c>
      <c r="D210" s="21" t="s">
        <v>1299</v>
      </c>
      <c r="E210" s="21" t="s">
        <v>1860</v>
      </c>
      <c r="F210" s="20" t="s">
        <v>16</v>
      </c>
      <c r="G210" s="18" t="str">
        <f>C210</f>
        <v>CSE</v>
      </c>
      <c r="H210" s="86">
        <v>1800</v>
      </c>
      <c r="I210" s="146">
        <v>45770</v>
      </c>
      <c r="J210" s="87"/>
      <c r="K210" s="57"/>
      <c r="L210" s="95">
        <v>45353</v>
      </c>
      <c r="M210" s="86">
        <v>75</v>
      </c>
      <c r="N210" s="85"/>
      <c r="O210" s="85"/>
      <c r="P210" s="85"/>
      <c r="Q210" s="85"/>
      <c r="R210" s="85"/>
      <c r="S210" s="85"/>
    </row>
    <row r="211" spans="1:19" ht="31.5">
      <c r="A211" s="83">
        <v>1369</v>
      </c>
      <c r="B211" s="141">
        <v>45687</v>
      </c>
      <c r="C211" s="18" t="s">
        <v>6</v>
      </c>
      <c r="D211" s="21" t="s">
        <v>1299</v>
      </c>
      <c r="E211" s="21" t="s">
        <v>1859</v>
      </c>
      <c r="F211" s="20" t="s">
        <v>16</v>
      </c>
      <c r="G211" s="18" t="str">
        <f>C211</f>
        <v>CSE</v>
      </c>
      <c r="H211" s="86">
        <v>1800</v>
      </c>
      <c r="I211" s="146">
        <v>45770</v>
      </c>
      <c r="J211" s="87"/>
      <c r="K211" s="57"/>
      <c r="L211" s="86" t="s">
        <v>988</v>
      </c>
      <c r="M211" s="86">
        <v>75</v>
      </c>
      <c r="N211" s="85"/>
      <c r="O211" s="85"/>
      <c r="P211" s="85"/>
      <c r="Q211" s="85"/>
      <c r="R211" s="85"/>
      <c r="S211" s="85"/>
    </row>
    <row r="212" spans="1:19" ht="31.5">
      <c r="A212" s="83">
        <v>1370</v>
      </c>
      <c r="B212" s="141">
        <v>45687</v>
      </c>
      <c r="C212" s="18" t="s">
        <v>6</v>
      </c>
      <c r="D212" s="21" t="s">
        <v>1299</v>
      </c>
      <c r="E212" s="21" t="s">
        <v>1858</v>
      </c>
      <c r="F212" s="20" t="s">
        <v>16</v>
      </c>
      <c r="G212" s="18" t="str">
        <f>C212</f>
        <v>CSE</v>
      </c>
      <c r="H212" s="86">
        <v>1800</v>
      </c>
      <c r="I212" s="146">
        <v>45770</v>
      </c>
      <c r="J212" s="87"/>
      <c r="K212" s="57"/>
      <c r="L212" s="86">
        <v>2024</v>
      </c>
      <c r="M212" s="86">
        <v>75</v>
      </c>
      <c r="N212" s="85"/>
      <c r="O212" s="85"/>
      <c r="P212" s="85"/>
      <c r="Q212" s="85"/>
      <c r="R212" s="85"/>
      <c r="S212" s="85"/>
    </row>
    <row r="213" spans="1:19" ht="31.5">
      <c r="A213" s="83">
        <v>1371</v>
      </c>
      <c r="B213" s="141">
        <v>45687</v>
      </c>
      <c r="C213" s="18" t="s">
        <v>6</v>
      </c>
      <c r="D213" s="21" t="s">
        <v>1299</v>
      </c>
      <c r="E213" s="21" t="s">
        <v>1857</v>
      </c>
      <c r="F213" s="20" t="s">
        <v>187</v>
      </c>
      <c r="G213" s="18" t="str">
        <f>C213</f>
        <v>CSE</v>
      </c>
      <c r="H213" s="86">
        <v>1800</v>
      </c>
      <c r="I213" s="146">
        <v>45770</v>
      </c>
      <c r="J213" s="87"/>
      <c r="K213" s="57"/>
      <c r="L213" s="86">
        <v>2024</v>
      </c>
      <c r="M213" s="86">
        <v>75</v>
      </c>
      <c r="N213" s="85"/>
      <c r="O213" s="85"/>
      <c r="P213" s="85"/>
      <c r="Q213" s="85"/>
      <c r="R213" s="85"/>
      <c r="S213" s="85"/>
    </row>
    <row r="214" spans="1:19" ht="15.75">
      <c r="A214" s="83">
        <v>1372</v>
      </c>
      <c r="B214" s="141">
        <v>45713</v>
      </c>
      <c r="C214" s="18" t="s">
        <v>5</v>
      </c>
      <c r="D214" s="21" t="s">
        <v>650</v>
      </c>
      <c r="E214" s="21" t="s">
        <v>166</v>
      </c>
      <c r="F214" s="20" t="s">
        <v>193</v>
      </c>
      <c r="G214" s="18" t="str">
        <f>C214</f>
        <v>ECE</v>
      </c>
      <c r="H214" s="86">
        <v>2000</v>
      </c>
      <c r="I214" s="146">
        <v>45770</v>
      </c>
      <c r="J214" s="87"/>
      <c r="K214" s="57"/>
      <c r="L214" s="86" t="s">
        <v>1682</v>
      </c>
      <c r="M214" s="86">
        <v>75</v>
      </c>
      <c r="N214" s="85"/>
      <c r="O214" s="85"/>
      <c r="P214" s="85"/>
      <c r="Q214" s="85"/>
      <c r="R214" s="85"/>
      <c r="S214" s="85"/>
    </row>
    <row r="215" spans="1:19" ht="47.25">
      <c r="A215" s="83">
        <v>1373</v>
      </c>
      <c r="B215" s="141">
        <v>45741</v>
      </c>
      <c r="C215" s="18" t="s">
        <v>5</v>
      </c>
      <c r="D215" s="21" t="s">
        <v>112</v>
      </c>
      <c r="E215" s="21" t="s">
        <v>1856</v>
      </c>
      <c r="F215" s="20" t="s">
        <v>324</v>
      </c>
      <c r="G215" s="18" t="str">
        <f>C215</f>
        <v>ECE</v>
      </c>
      <c r="H215" s="86">
        <v>3000</v>
      </c>
      <c r="I215" s="146">
        <v>45770</v>
      </c>
      <c r="J215" s="87"/>
      <c r="K215" s="57"/>
      <c r="L215" s="86" t="s">
        <v>1763</v>
      </c>
      <c r="M215" s="86">
        <v>75</v>
      </c>
      <c r="N215" s="85"/>
      <c r="O215" s="85"/>
      <c r="P215" s="85"/>
      <c r="Q215" s="85"/>
      <c r="R215" s="85"/>
      <c r="S215" s="85"/>
    </row>
    <row r="216" spans="1:19" ht="47.25">
      <c r="A216" s="83">
        <v>1374</v>
      </c>
      <c r="B216" s="141">
        <v>45733</v>
      </c>
      <c r="C216" s="18" t="s">
        <v>1</v>
      </c>
      <c r="D216" s="21" t="s">
        <v>1855</v>
      </c>
      <c r="E216" s="21" t="s">
        <v>1854</v>
      </c>
      <c r="F216" s="20" t="s">
        <v>16</v>
      </c>
      <c r="G216" s="18" t="str">
        <f>C216</f>
        <v>S&amp;H</v>
      </c>
      <c r="H216" s="86">
        <v>1800</v>
      </c>
      <c r="I216" s="146">
        <v>45770</v>
      </c>
      <c r="J216" s="87"/>
      <c r="K216" s="57"/>
      <c r="L216" s="99">
        <v>45536</v>
      </c>
      <c r="M216" s="86">
        <v>75</v>
      </c>
      <c r="N216" s="85"/>
      <c r="O216" s="85"/>
      <c r="P216" s="85"/>
      <c r="Q216" s="85"/>
      <c r="R216" s="85"/>
      <c r="S216" s="85"/>
    </row>
    <row r="217" spans="1:19" ht="31.5">
      <c r="A217" s="83">
        <v>1375</v>
      </c>
      <c r="B217" s="141">
        <v>45756</v>
      </c>
      <c r="C217" s="18" t="s">
        <v>5</v>
      </c>
      <c r="D217" s="21" t="s">
        <v>826</v>
      </c>
      <c r="E217" s="21" t="s">
        <v>1853</v>
      </c>
      <c r="F217" s="20" t="s">
        <v>16</v>
      </c>
      <c r="G217" s="18" t="str">
        <f>C217</f>
        <v>ECE</v>
      </c>
      <c r="H217" s="86">
        <v>3000</v>
      </c>
      <c r="I217" s="146">
        <v>45770</v>
      </c>
      <c r="J217" s="87"/>
      <c r="K217" s="57"/>
      <c r="L217" s="95">
        <v>45720</v>
      </c>
      <c r="M217" s="86">
        <v>75</v>
      </c>
      <c r="N217" s="85"/>
      <c r="O217" s="85"/>
      <c r="P217" s="85"/>
      <c r="Q217" s="85"/>
      <c r="R217" s="85"/>
      <c r="S217" s="85"/>
    </row>
    <row r="218" spans="1:19" ht="47.25">
      <c r="A218" s="83">
        <v>1376</v>
      </c>
      <c r="B218" s="141">
        <v>45713</v>
      </c>
      <c r="C218" s="18" t="s">
        <v>5</v>
      </c>
      <c r="D218" s="21" t="s">
        <v>214</v>
      </c>
      <c r="E218" s="21" t="s">
        <v>1852</v>
      </c>
      <c r="F218" s="20" t="s">
        <v>23</v>
      </c>
      <c r="G218" s="18" t="str">
        <f>C218</f>
        <v>ECE</v>
      </c>
      <c r="H218" s="86">
        <v>10000</v>
      </c>
      <c r="I218" s="146">
        <v>45770</v>
      </c>
      <c r="J218" s="87"/>
      <c r="K218" s="57"/>
      <c r="L218" s="22" t="s">
        <v>1851</v>
      </c>
      <c r="M218" s="86">
        <v>75</v>
      </c>
      <c r="N218" s="85"/>
      <c r="O218" s="85"/>
      <c r="P218" s="85"/>
      <c r="Q218" s="85"/>
      <c r="R218" s="85"/>
      <c r="S218" s="85"/>
    </row>
    <row r="219" spans="1:19" ht="31.5">
      <c r="A219" s="83">
        <v>1377</v>
      </c>
      <c r="B219" s="141">
        <v>45713</v>
      </c>
      <c r="C219" s="18" t="s">
        <v>5</v>
      </c>
      <c r="D219" s="21" t="s">
        <v>214</v>
      </c>
      <c r="E219" s="21" t="s">
        <v>1850</v>
      </c>
      <c r="F219" s="20" t="s">
        <v>187</v>
      </c>
      <c r="G219" s="18" t="str">
        <f>C219</f>
        <v>ECE</v>
      </c>
      <c r="H219" s="86">
        <v>900</v>
      </c>
      <c r="I219" s="146">
        <v>45770</v>
      </c>
      <c r="J219" s="87"/>
      <c r="K219" s="57"/>
      <c r="L219" s="22" t="s">
        <v>1849</v>
      </c>
      <c r="M219" s="86">
        <v>75</v>
      </c>
      <c r="N219" s="85"/>
      <c r="O219" s="85"/>
      <c r="P219" s="85"/>
      <c r="Q219" s="85"/>
      <c r="R219" s="85"/>
      <c r="S219" s="85"/>
    </row>
    <row r="220" spans="1:19" ht="47.25">
      <c r="A220" s="83">
        <v>1378</v>
      </c>
      <c r="B220" s="141">
        <v>45756</v>
      </c>
      <c r="C220" s="18" t="s">
        <v>2</v>
      </c>
      <c r="D220" s="21" t="s">
        <v>99</v>
      </c>
      <c r="E220" s="21" t="s">
        <v>1848</v>
      </c>
      <c r="F220" s="20" t="s">
        <v>23</v>
      </c>
      <c r="G220" s="18" t="str">
        <f>C220</f>
        <v>Mech</v>
      </c>
      <c r="H220" s="86">
        <v>10000</v>
      </c>
      <c r="I220" s="146">
        <v>45770</v>
      </c>
      <c r="J220" s="87"/>
      <c r="K220" s="57"/>
      <c r="L220" s="86" t="s">
        <v>1847</v>
      </c>
      <c r="M220" s="86">
        <v>75</v>
      </c>
      <c r="N220" s="85"/>
      <c r="O220" s="85"/>
      <c r="P220" s="85"/>
      <c r="Q220" s="85"/>
      <c r="R220" s="85"/>
      <c r="S220" s="85"/>
    </row>
    <row r="221" spans="1:19" ht="31.5">
      <c r="A221" s="83">
        <v>1379</v>
      </c>
      <c r="B221" s="141">
        <v>45756</v>
      </c>
      <c r="C221" s="18" t="s">
        <v>2</v>
      </c>
      <c r="D221" s="21" t="s">
        <v>99</v>
      </c>
      <c r="E221" s="21" t="s">
        <v>1846</v>
      </c>
      <c r="F221" s="20" t="s">
        <v>16</v>
      </c>
      <c r="G221" s="18" t="str">
        <f>C221</f>
        <v>Mech</v>
      </c>
      <c r="H221" s="86">
        <v>3000</v>
      </c>
      <c r="I221" s="146">
        <v>45770</v>
      </c>
      <c r="J221" s="87"/>
      <c r="K221" s="57"/>
      <c r="L221" s="86">
        <v>2025</v>
      </c>
      <c r="M221" s="86">
        <v>75</v>
      </c>
      <c r="N221" s="85"/>
      <c r="O221" s="85"/>
      <c r="P221" s="85"/>
      <c r="Q221" s="85"/>
      <c r="R221" s="85"/>
      <c r="S221" s="85"/>
    </row>
    <row r="222" spans="1:19" ht="47.25">
      <c r="A222" s="152">
        <v>1380</v>
      </c>
      <c r="B222" s="141">
        <v>45705</v>
      </c>
      <c r="C222" s="18" t="s">
        <v>8</v>
      </c>
      <c r="D222" s="21" t="s">
        <v>1845</v>
      </c>
      <c r="E222" s="21" t="s">
        <v>1844</v>
      </c>
      <c r="F222" s="20" t="s">
        <v>16</v>
      </c>
      <c r="G222" s="18" t="str">
        <f>C222</f>
        <v>CCE</v>
      </c>
      <c r="H222" s="86">
        <v>3000</v>
      </c>
      <c r="I222" s="146">
        <v>45770</v>
      </c>
      <c r="J222" s="87"/>
      <c r="K222" s="57"/>
      <c r="L222" s="96">
        <v>45608</v>
      </c>
      <c r="M222" s="86">
        <v>75</v>
      </c>
      <c r="N222" s="85"/>
      <c r="O222" s="85"/>
      <c r="P222" s="85"/>
      <c r="Q222" s="85"/>
      <c r="R222" s="85"/>
      <c r="S222" s="85"/>
    </row>
    <row r="223" spans="1:19" ht="31.5">
      <c r="A223" s="83">
        <v>1381</v>
      </c>
      <c r="B223" s="141">
        <v>45703</v>
      </c>
      <c r="C223" s="18" t="s">
        <v>5</v>
      </c>
      <c r="D223" s="21" t="s">
        <v>50</v>
      </c>
      <c r="E223" s="21" t="s">
        <v>1843</v>
      </c>
      <c r="F223" s="20" t="s">
        <v>16</v>
      </c>
      <c r="G223" s="18" t="str">
        <f>C223</f>
        <v>ECE</v>
      </c>
      <c r="H223" s="86">
        <v>3000</v>
      </c>
      <c r="I223" s="146">
        <v>45770</v>
      </c>
      <c r="J223" s="87"/>
      <c r="K223" s="57"/>
      <c r="L223" s="86" t="s">
        <v>1477</v>
      </c>
      <c r="M223" s="86">
        <v>75</v>
      </c>
      <c r="N223" s="85"/>
      <c r="O223" s="85"/>
      <c r="P223" s="85"/>
      <c r="Q223" s="85"/>
      <c r="R223" s="85"/>
      <c r="S223" s="85"/>
    </row>
    <row r="224" spans="1:19" ht="31.5">
      <c r="A224" s="83">
        <v>1382</v>
      </c>
      <c r="B224" s="141">
        <v>45702</v>
      </c>
      <c r="C224" s="18" t="s">
        <v>5</v>
      </c>
      <c r="D224" s="21" t="s">
        <v>311</v>
      </c>
      <c r="E224" s="21" t="s">
        <v>1842</v>
      </c>
      <c r="F224" s="20" t="s">
        <v>16</v>
      </c>
      <c r="G224" s="18" t="str">
        <f>C224</f>
        <v>ECE</v>
      </c>
      <c r="H224" s="86">
        <v>900</v>
      </c>
      <c r="I224" s="146">
        <v>45770</v>
      </c>
      <c r="J224" s="87"/>
      <c r="K224" s="57"/>
      <c r="L224" s="86" t="s">
        <v>1477</v>
      </c>
      <c r="M224" s="86">
        <v>75</v>
      </c>
      <c r="N224" s="85"/>
      <c r="O224" s="85"/>
      <c r="P224" s="85"/>
      <c r="Q224" s="85"/>
      <c r="R224" s="85"/>
      <c r="S224" s="85"/>
    </row>
    <row r="225" spans="1:19" ht="31.5">
      <c r="A225" s="83">
        <v>1383</v>
      </c>
      <c r="B225" s="141">
        <v>45735</v>
      </c>
      <c r="C225" s="18" t="s">
        <v>5</v>
      </c>
      <c r="D225" s="21" t="s">
        <v>1571</v>
      </c>
      <c r="E225" s="21" t="s">
        <v>1841</v>
      </c>
      <c r="F225" s="20" t="s">
        <v>324</v>
      </c>
      <c r="G225" s="18" t="str">
        <f>C225</f>
        <v>ECE</v>
      </c>
      <c r="H225" s="86">
        <v>3000</v>
      </c>
      <c r="I225" s="146">
        <v>45770</v>
      </c>
      <c r="J225" s="87"/>
      <c r="K225" s="57"/>
      <c r="L225" s="95">
        <v>45719</v>
      </c>
      <c r="M225" s="86">
        <v>75</v>
      </c>
      <c r="N225" s="85"/>
      <c r="O225" s="85"/>
      <c r="P225" s="85"/>
      <c r="Q225" s="85"/>
      <c r="R225" s="85"/>
      <c r="S225" s="85"/>
    </row>
    <row r="226" spans="1:19" ht="31.5">
      <c r="A226" s="83">
        <v>1384</v>
      </c>
      <c r="B226" s="141">
        <v>45735</v>
      </c>
      <c r="C226" s="18" t="s">
        <v>5</v>
      </c>
      <c r="D226" s="21" t="s">
        <v>1571</v>
      </c>
      <c r="E226" s="21" t="s">
        <v>1840</v>
      </c>
      <c r="F226" s="20" t="s">
        <v>16</v>
      </c>
      <c r="G226" s="18" t="str">
        <f>C226</f>
        <v>ECE</v>
      </c>
      <c r="H226" s="86">
        <v>1800</v>
      </c>
      <c r="I226" s="146">
        <v>45770</v>
      </c>
      <c r="J226" s="87"/>
      <c r="K226" s="57"/>
      <c r="L226" s="86" t="s">
        <v>1732</v>
      </c>
      <c r="M226" s="86">
        <v>75</v>
      </c>
      <c r="N226" s="85"/>
      <c r="O226" s="85"/>
      <c r="P226" s="85"/>
      <c r="Q226" s="85"/>
      <c r="R226" s="85"/>
      <c r="S226" s="85"/>
    </row>
    <row r="227" spans="1:19" ht="47.25">
      <c r="A227" s="83">
        <v>1385</v>
      </c>
      <c r="B227" s="141">
        <v>45735</v>
      </c>
      <c r="C227" s="18" t="s">
        <v>5</v>
      </c>
      <c r="D227" s="21" t="s">
        <v>1571</v>
      </c>
      <c r="E227" s="21" t="s">
        <v>1839</v>
      </c>
      <c r="F227" s="20" t="s">
        <v>16</v>
      </c>
      <c r="G227" s="18" t="str">
        <f>C227</f>
        <v>ECE</v>
      </c>
      <c r="H227" s="86">
        <v>3000</v>
      </c>
      <c r="I227" s="146">
        <v>45770</v>
      </c>
      <c r="J227" s="87"/>
      <c r="K227" s="57"/>
      <c r="L227" s="86" t="s">
        <v>832</v>
      </c>
      <c r="M227" s="86">
        <v>75</v>
      </c>
      <c r="N227" s="85"/>
      <c r="O227" s="85"/>
      <c r="P227" s="85"/>
      <c r="Q227" s="85"/>
      <c r="R227" s="85"/>
      <c r="S227" s="85"/>
    </row>
    <row r="228" spans="1:19" ht="47.25">
      <c r="A228" s="83">
        <v>1386</v>
      </c>
      <c r="B228" s="141">
        <v>45762</v>
      </c>
      <c r="C228" s="18" t="s">
        <v>5</v>
      </c>
      <c r="D228" s="21" t="s">
        <v>1538</v>
      </c>
      <c r="E228" s="21" t="s">
        <v>1838</v>
      </c>
      <c r="F228" s="20" t="s">
        <v>16</v>
      </c>
      <c r="G228" s="18" t="str">
        <f>C228</f>
        <v>ECE</v>
      </c>
      <c r="H228" s="86">
        <v>3000</v>
      </c>
      <c r="I228" s="146">
        <v>45770</v>
      </c>
      <c r="J228" s="87"/>
      <c r="K228" s="57"/>
      <c r="L228" s="86" t="s">
        <v>1837</v>
      </c>
      <c r="M228" s="86">
        <v>75</v>
      </c>
      <c r="N228" s="85"/>
      <c r="O228" s="85"/>
      <c r="P228" s="85"/>
      <c r="Q228" s="85"/>
      <c r="R228" s="85"/>
      <c r="S228" s="85"/>
    </row>
    <row r="229" spans="1:19" ht="47.25">
      <c r="A229" s="83">
        <v>1387</v>
      </c>
      <c r="B229" s="141">
        <v>45755</v>
      </c>
      <c r="C229" s="18" t="s">
        <v>2</v>
      </c>
      <c r="D229" s="21" t="s">
        <v>93</v>
      </c>
      <c r="E229" s="21" t="s">
        <v>1836</v>
      </c>
      <c r="F229" s="20" t="s">
        <v>23</v>
      </c>
      <c r="G229" s="18" t="str">
        <f>C229</f>
        <v>Mech</v>
      </c>
      <c r="H229" s="86">
        <v>6000</v>
      </c>
      <c r="I229" s="146">
        <v>45770</v>
      </c>
      <c r="J229" s="87"/>
      <c r="K229" s="57"/>
      <c r="L229" s="95">
        <v>45873</v>
      </c>
      <c r="M229" s="86">
        <v>75</v>
      </c>
      <c r="N229" s="85"/>
      <c r="O229" s="85"/>
      <c r="P229" s="85"/>
      <c r="Q229" s="85"/>
      <c r="R229" s="85"/>
      <c r="S229" s="85"/>
    </row>
    <row r="230" spans="1:19" ht="31.5">
      <c r="A230" s="83">
        <v>1388</v>
      </c>
      <c r="B230" s="141">
        <v>45755</v>
      </c>
      <c r="C230" s="18" t="s">
        <v>2</v>
      </c>
      <c r="D230" s="21" t="s">
        <v>93</v>
      </c>
      <c r="E230" s="21" t="s">
        <v>1835</v>
      </c>
      <c r="F230" s="20" t="s">
        <v>16</v>
      </c>
      <c r="G230" s="18" t="str">
        <f>C230</f>
        <v>Mech</v>
      </c>
      <c r="H230" s="86">
        <v>3000</v>
      </c>
      <c r="I230" s="146">
        <v>45770</v>
      </c>
      <c r="J230" s="87"/>
      <c r="K230" s="57"/>
      <c r="L230" s="95">
        <v>45873</v>
      </c>
      <c r="M230" s="86">
        <v>75</v>
      </c>
      <c r="N230" s="85"/>
      <c r="O230" s="85"/>
      <c r="P230" s="85"/>
      <c r="Q230" s="85"/>
      <c r="R230" s="85"/>
      <c r="S230" s="85"/>
    </row>
    <row r="231" spans="1:19" ht="31.5">
      <c r="A231" s="83">
        <v>1389</v>
      </c>
      <c r="B231" s="141">
        <v>45755</v>
      </c>
      <c r="C231" s="18" t="s">
        <v>2</v>
      </c>
      <c r="D231" s="21" t="s">
        <v>93</v>
      </c>
      <c r="E231" s="21" t="s">
        <v>1834</v>
      </c>
      <c r="F231" s="20" t="s">
        <v>16</v>
      </c>
      <c r="G231" s="18" t="str">
        <f>C231</f>
        <v>Mech</v>
      </c>
      <c r="H231" s="86">
        <v>900</v>
      </c>
      <c r="I231" s="146">
        <v>45770</v>
      </c>
      <c r="J231" s="87"/>
      <c r="K231" s="57"/>
      <c r="L231" s="95">
        <v>45873</v>
      </c>
      <c r="M231" s="86">
        <v>75</v>
      </c>
      <c r="N231" s="85"/>
      <c r="O231" s="85"/>
      <c r="P231" s="85"/>
      <c r="Q231" s="85"/>
      <c r="R231" s="85"/>
      <c r="S231" s="85"/>
    </row>
    <row r="232" spans="1:19" ht="63">
      <c r="A232" s="83">
        <v>1390</v>
      </c>
      <c r="B232" s="141">
        <v>45713</v>
      </c>
      <c r="C232" s="18" t="s">
        <v>2</v>
      </c>
      <c r="D232" s="21" t="s">
        <v>243</v>
      </c>
      <c r="E232" s="21" t="s">
        <v>1833</v>
      </c>
      <c r="F232" s="20" t="s">
        <v>324</v>
      </c>
      <c r="G232" s="18" t="str">
        <f>C232</f>
        <v>Mech</v>
      </c>
      <c r="H232" s="86">
        <v>5000</v>
      </c>
      <c r="I232" s="146">
        <v>45770</v>
      </c>
      <c r="J232" s="87"/>
      <c r="K232" s="57"/>
      <c r="L232" s="86" t="s">
        <v>1755</v>
      </c>
      <c r="M232" s="86">
        <v>75</v>
      </c>
      <c r="N232" s="85"/>
      <c r="O232" s="85"/>
      <c r="P232" s="85"/>
      <c r="Q232" s="85"/>
      <c r="R232" s="85"/>
      <c r="S232" s="85"/>
    </row>
    <row r="233" spans="1:19" ht="31.5">
      <c r="A233" s="83">
        <v>1391</v>
      </c>
      <c r="B233" s="141">
        <v>45729</v>
      </c>
      <c r="C233" s="18" t="s">
        <v>5</v>
      </c>
      <c r="D233" s="21" t="s">
        <v>773</v>
      </c>
      <c r="E233" s="21" t="s">
        <v>1832</v>
      </c>
      <c r="F233" s="20" t="s">
        <v>324</v>
      </c>
      <c r="G233" s="18" t="str">
        <f>C233</f>
        <v>ECE</v>
      </c>
      <c r="H233" s="86">
        <v>5000</v>
      </c>
      <c r="I233" s="146">
        <v>45770</v>
      </c>
      <c r="J233" s="87"/>
      <c r="K233" s="57"/>
      <c r="L233" s="150">
        <v>45993</v>
      </c>
      <c r="M233" s="86">
        <v>75</v>
      </c>
      <c r="N233" s="85"/>
      <c r="O233" s="85"/>
      <c r="P233" s="85"/>
      <c r="Q233" s="85"/>
      <c r="R233" s="85"/>
      <c r="S233" s="85"/>
    </row>
    <row r="234" spans="1:19" ht="47.25">
      <c r="A234" s="83">
        <v>1392</v>
      </c>
      <c r="B234" s="141">
        <v>45751</v>
      </c>
      <c r="C234" s="18" t="s">
        <v>5</v>
      </c>
      <c r="D234" s="21" t="s">
        <v>52</v>
      </c>
      <c r="E234" s="21" t="s">
        <v>1831</v>
      </c>
      <c r="F234" s="20" t="s">
        <v>23</v>
      </c>
      <c r="G234" s="18" t="str">
        <f>C234</f>
        <v>ECE</v>
      </c>
      <c r="H234" s="86">
        <v>10000</v>
      </c>
      <c r="I234" s="146">
        <v>45770</v>
      </c>
      <c r="J234" s="87"/>
      <c r="K234" s="57"/>
      <c r="L234" s="22" t="s">
        <v>1763</v>
      </c>
      <c r="M234" s="86">
        <v>75</v>
      </c>
      <c r="N234" s="85"/>
      <c r="O234" s="85"/>
      <c r="P234" s="85"/>
      <c r="Q234" s="85"/>
      <c r="R234" s="85"/>
      <c r="S234" s="85"/>
    </row>
    <row r="235" spans="1:19" ht="47.25">
      <c r="A235" s="83">
        <v>1393</v>
      </c>
      <c r="B235" s="141">
        <v>45763</v>
      </c>
      <c r="C235" s="18" t="s">
        <v>8</v>
      </c>
      <c r="D235" s="21" t="s">
        <v>405</v>
      </c>
      <c r="E235" s="21" t="s">
        <v>1830</v>
      </c>
      <c r="F235" s="20" t="s">
        <v>324</v>
      </c>
      <c r="G235" s="18" t="str">
        <f>C235</f>
        <v>CCE</v>
      </c>
      <c r="H235" s="86">
        <v>3000</v>
      </c>
      <c r="I235" s="146">
        <v>45770</v>
      </c>
      <c r="J235" s="87"/>
      <c r="K235" s="57"/>
      <c r="L235" s="150">
        <v>45331</v>
      </c>
      <c r="M235" s="86">
        <v>75</v>
      </c>
      <c r="N235" s="85"/>
      <c r="O235" s="85"/>
      <c r="P235" s="85"/>
      <c r="Q235" s="85"/>
      <c r="R235" s="85"/>
      <c r="S235" s="85"/>
    </row>
    <row r="236" spans="1:19" ht="31.5">
      <c r="A236" s="83">
        <v>1394</v>
      </c>
      <c r="B236" s="141">
        <v>45763</v>
      </c>
      <c r="C236" s="18" t="s">
        <v>8</v>
      </c>
      <c r="D236" s="21" t="s">
        <v>405</v>
      </c>
      <c r="E236" s="21" t="s">
        <v>1829</v>
      </c>
      <c r="F236" s="20" t="s">
        <v>187</v>
      </c>
      <c r="G236" s="18" t="str">
        <f>C236</f>
        <v>CCE</v>
      </c>
      <c r="H236" s="86">
        <v>3000</v>
      </c>
      <c r="I236" s="146">
        <v>45770</v>
      </c>
      <c r="J236" s="87"/>
      <c r="K236" s="57"/>
      <c r="L236" s="95">
        <v>45331</v>
      </c>
      <c r="M236" s="86">
        <v>75</v>
      </c>
      <c r="N236" s="85"/>
      <c r="O236" s="85"/>
      <c r="P236" s="85"/>
      <c r="Q236" s="85"/>
      <c r="R236" s="85"/>
      <c r="S236" s="85"/>
    </row>
    <row r="237" spans="1:19" ht="31.5">
      <c r="A237" s="83">
        <v>1395</v>
      </c>
      <c r="B237" s="141">
        <v>45763</v>
      </c>
      <c r="C237" s="18" t="s">
        <v>8</v>
      </c>
      <c r="D237" s="21" t="s">
        <v>405</v>
      </c>
      <c r="E237" s="21" t="s">
        <v>1828</v>
      </c>
      <c r="F237" s="20" t="s">
        <v>16</v>
      </c>
      <c r="G237" s="18" t="str">
        <f>C237</f>
        <v>CCE</v>
      </c>
      <c r="H237" s="86">
        <v>1800</v>
      </c>
      <c r="I237" s="146">
        <v>45770</v>
      </c>
      <c r="J237" s="87"/>
      <c r="K237" s="57"/>
      <c r="L237" s="95">
        <v>45331</v>
      </c>
      <c r="M237" s="86">
        <v>75</v>
      </c>
      <c r="N237" s="85"/>
      <c r="O237" s="85"/>
      <c r="P237" s="85"/>
      <c r="Q237" s="85"/>
      <c r="R237" s="85"/>
      <c r="S237" s="85"/>
    </row>
    <row r="238" spans="1:19" ht="31.5">
      <c r="A238" s="83">
        <v>1396</v>
      </c>
      <c r="B238" s="141">
        <v>45702</v>
      </c>
      <c r="C238" s="18" t="s">
        <v>8</v>
      </c>
      <c r="D238" s="21" t="s">
        <v>440</v>
      </c>
      <c r="E238" s="21" t="s">
        <v>1827</v>
      </c>
      <c r="F238" s="20" t="s">
        <v>16</v>
      </c>
      <c r="G238" s="18" t="str">
        <f>C238</f>
        <v>CCE</v>
      </c>
      <c r="H238" s="86">
        <v>3000</v>
      </c>
      <c r="I238" s="146">
        <v>45770</v>
      </c>
      <c r="J238" s="87"/>
      <c r="K238" s="57"/>
      <c r="L238" s="86" t="s">
        <v>1826</v>
      </c>
      <c r="M238" s="86">
        <v>75</v>
      </c>
      <c r="N238" s="85"/>
      <c r="O238" s="85"/>
      <c r="P238" s="85"/>
      <c r="Q238" s="85"/>
      <c r="R238" s="85"/>
      <c r="S238" s="85"/>
    </row>
    <row r="239" spans="1:19" ht="15.75">
      <c r="A239" s="46"/>
      <c r="B239" s="151"/>
      <c r="C239" s="46"/>
      <c r="D239" s="46"/>
      <c r="E239" s="46" t="s">
        <v>11</v>
      </c>
      <c r="F239" s="42"/>
      <c r="G239" s="90"/>
      <c r="H239" s="89">
        <f>SUM(H157:H238)</f>
        <v>336900</v>
      </c>
      <c r="I239" s="42" t="s">
        <v>718</v>
      </c>
      <c r="J239" s="42"/>
      <c r="K239" s="45">
        <f>H239</f>
        <v>336900</v>
      </c>
      <c r="L239" s="42"/>
      <c r="M239" s="46">
        <v>75</v>
      </c>
      <c r="N239" s="88"/>
      <c r="O239" s="88"/>
      <c r="P239" s="88"/>
      <c r="Q239" s="88"/>
      <c r="R239" s="88"/>
      <c r="S239" s="88"/>
    </row>
    <row r="240" spans="1:19" ht="31.5">
      <c r="A240" s="83">
        <v>1397</v>
      </c>
      <c r="B240" s="141">
        <v>45773</v>
      </c>
      <c r="C240" s="18" t="s">
        <v>4</v>
      </c>
      <c r="D240" s="21" t="s">
        <v>63</v>
      </c>
      <c r="E240" s="21" t="s">
        <v>1825</v>
      </c>
      <c r="F240" s="20" t="s">
        <v>23</v>
      </c>
      <c r="G240" s="18" t="str">
        <f>C240</f>
        <v>EEE</v>
      </c>
      <c r="H240" s="86">
        <v>10000</v>
      </c>
      <c r="I240" s="149">
        <v>45792</v>
      </c>
      <c r="J240" s="87"/>
      <c r="K240" s="57"/>
      <c r="L240" s="95">
        <v>45962</v>
      </c>
      <c r="M240" s="86">
        <v>76</v>
      </c>
      <c r="N240" s="85"/>
      <c r="O240" s="85"/>
      <c r="P240" s="85"/>
      <c r="Q240" s="85"/>
      <c r="R240" s="85"/>
      <c r="S240" s="85"/>
    </row>
    <row r="241" spans="1:19" ht="15.75">
      <c r="A241" s="83">
        <v>1398</v>
      </c>
      <c r="B241" s="141">
        <v>45769</v>
      </c>
      <c r="C241" s="18" t="s">
        <v>2</v>
      </c>
      <c r="D241" s="21" t="s">
        <v>209</v>
      </c>
      <c r="E241" s="21" t="s">
        <v>1824</v>
      </c>
      <c r="F241" s="20" t="s">
        <v>23</v>
      </c>
      <c r="G241" s="18" t="str">
        <f>C241</f>
        <v>Mech</v>
      </c>
      <c r="H241" s="86">
        <v>10000</v>
      </c>
      <c r="I241" s="149">
        <v>45792</v>
      </c>
      <c r="J241" s="87"/>
      <c r="K241" s="57"/>
      <c r="L241" s="95">
        <v>45812</v>
      </c>
      <c r="M241" s="86">
        <v>76</v>
      </c>
      <c r="N241" s="85"/>
      <c r="O241" s="85"/>
      <c r="P241" s="85"/>
      <c r="Q241" s="85"/>
      <c r="R241" s="85"/>
      <c r="S241" s="85"/>
    </row>
    <row r="242" spans="1:19" ht="63">
      <c r="A242" s="83">
        <v>1399</v>
      </c>
      <c r="B242" s="141">
        <v>45775</v>
      </c>
      <c r="C242" s="18" t="s">
        <v>36</v>
      </c>
      <c r="D242" s="21" t="s">
        <v>1666</v>
      </c>
      <c r="E242" s="21" t="s">
        <v>1823</v>
      </c>
      <c r="F242" s="20" t="s">
        <v>23</v>
      </c>
      <c r="G242" s="18" t="str">
        <f>C242</f>
        <v>AIDS</v>
      </c>
      <c r="H242" s="86">
        <v>6000</v>
      </c>
      <c r="I242" s="149">
        <v>45792</v>
      </c>
      <c r="J242" s="87"/>
      <c r="K242" s="57"/>
      <c r="L242" s="86" t="s">
        <v>1700</v>
      </c>
      <c r="M242" s="86">
        <v>76</v>
      </c>
      <c r="N242" s="85"/>
      <c r="O242" s="85"/>
      <c r="P242" s="85"/>
      <c r="Q242" s="85"/>
      <c r="R242" s="85"/>
      <c r="S242" s="85"/>
    </row>
    <row r="243" spans="1:19" ht="31.5">
      <c r="A243" s="83">
        <v>1400</v>
      </c>
      <c r="B243" s="141">
        <v>45775</v>
      </c>
      <c r="C243" s="18" t="s">
        <v>36</v>
      </c>
      <c r="D243" s="21" t="s">
        <v>1666</v>
      </c>
      <c r="E243" s="21" t="s">
        <v>1822</v>
      </c>
      <c r="F243" s="20" t="s">
        <v>16</v>
      </c>
      <c r="G243" s="18" t="str">
        <f>C243</f>
        <v>AIDS</v>
      </c>
      <c r="H243" s="86">
        <v>1800</v>
      </c>
      <c r="I243" s="149">
        <v>45792</v>
      </c>
      <c r="J243" s="87"/>
      <c r="K243" s="57"/>
      <c r="L243" s="86" t="s">
        <v>1626</v>
      </c>
      <c r="M243" s="86">
        <v>76</v>
      </c>
      <c r="N243" s="85"/>
      <c r="O243" s="85"/>
      <c r="P243" s="85"/>
      <c r="Q243" s="85"/>
      <c r="R243" s="85"/>
      <c r="S243" s="85"/>
    </row>
    <row r="244" spans="1:19" ht="31.5">
      <c r="A244" s="83">
        <v>1401</v>
      </c>
      <c r="B244" s="141">
        <v>45775</v>
      </c>
      <c r="C244" s="18" t="s">
        <v>36</v>
      </c>
      <c r="D244" s="21" t="s">
        <v>1666</v>
      </c>
      <c r="E244" s="21" t="s">
        <v>1821</v>
      </c>
      <c r="F244" s="20" t="s">
        <v>187</v>
      </c>
      <c r="G244" s="18" t="str">
        <f>C244</f>
        <v>AIDS</v>
      </c>
      <c r="H244" s="86">
        <v>1800</v>
      </c>
      <c r="I244" s="149">
        <v>45792</v>
      </c>
      <c r="J244" s="87"/>
      <c r="K244" s="57"/>
      <c r="L244" s="95">
        <v>45810</v>
      </c>
      <c r="M244" s="86">
        <v>76</v>
      </c>
      <c r="N244" s="85"/>
      <c r="O244" s="85"/>
      <c r="P244" s="85"/>
      <c r="Q244" s="85"/>
      <c r="R244" s="85"/>
      <c r="S244" s="85"/>
    </row>
    <row r="245" spans="1:19" ht="78.75">
      <c r="A245" s="83">
        <v>1402</v>
      </c>
      <c r="B245" s="141">
        <v>45775</v>
      </c>
      <c r="C245" s="18" t="s">
        <v>36</v>
      </c>
      <c r="D245" s="21" t="s">
        <v>1666</v>
      </c>
      <c r="E245" s="51" t="s">
        <v>1820</v>
      </c>
      <c r="F245" s="110" t="s">
        <v>324</v>
      </c>
      <c r="G245" s="50" t="str">
        <f>C245</f>
        <v>AIDS</v>
      </c>
      <c r="H245" s="109">
        <v>1200</v>
      </c>
      <c r="I245" s="149">
        <v>45792</v>
      </c>
      <c r="J245" s="57" t="s">
        <v>1819</v>
      </c>
      <c r="K245" s="116"/>
      <c r="L245" s="95">
        <v>45993</v>
      </c>
      <c r="M245" s="86">
        <v>76</v>
      </c>
      <c r="N245" s="85"/>
      <c r="O245" s="85"/>
      <c r="P245" s="85"/>
      <c r="Q245" s="85"/>
      <c r="R245" s="85"/>
      <c r="S245" s="85"/>
    </row>
    <row r="246" spans="1:19" ht="31.5">
      <c r="A246" s="83">
        <v>1403</v>
      </c>
      <c r="B246" s="141">
        <v>45768</v>
      </c>
      <c r="C246" s="18" t="s">
        <v>8</v>
      </c>
      <c r="D246" s="21" t="s">
        <v>1204</v>
      </c>
      <c r="E246" s="21" t="s">
        <v>1818</v>
      </c>
      <c r="F246" s="20" t="s">
        <v>16</v>
      </c>
      <c r="G246" s="18" t="str">
        <f>C246</f>
        <v>CCE</v>
      </c>
      <c r="H246" s="86">
        <v>1800</v>
      </c>
      <c r="I246" s="149">
        <v>45792</v>
      </c>
      <c r="J246" s="87"/>
      <c r="K246" s="57"/>
      <c r="L246" s="95">
        <v>45389</v>
      </c>
      <c r="M246" s="86">
        <v>76</v>
      </c>
      <c r="N246" s="85"/>
      <c r="O246" s="85"/>
      <c r="P246" s="85"/>
      <c r="Q246" s="85"/>
      <c r="R246" s="85"/>
      <c r="S246" s="85"/>
    </row>
    <row r="247" spans="1:19" ht="47.25">
      <c r="A247" s="83">
        <v>1404</v>
      </c>
      <c r="B247" s="141">
        <v>45768</v>
      </c>
      <c r="C247" s="18" t="s">
        <v>2</v>
      </c>
      <c r="D247" s="21" t="s">
        <v>97</v>
      </c>
      <c r="E247" s="21" t="s">
        <v>1817</v>
      </c>
      <c r="F247" s="20" t="s">
        <v>187</v>
      </c>
      <c r="G247" s="18" t="str">
        <f>C247</f>
        <v>Mech</v>
      </c>
      <c r="H247" s="86">
        <v>5000</v>
      </c>
      <c r="I247" s="149">
        <v>45792</v>
      </c>
      <c r="J247" s="87"/>
      <c r="K247" s="57"/>
      <c r="L247" s="95">
        <v>45780</v>
      </c>
      <c r="M247" s="86">
        <v>76</v>
      </c>
      <c r="N247" s="85"/>
      <c r="O247" s="85"/>
      <c r="P247" s="85"/>
      <c r="Q247" s="85"/>
      <c r="R247" s="85"/>
      <c r="S247" s="85"/>
    </row>
    <row r="248" spans="1:19" ht="31.5">
      <c r="A248" s="83">
        <v>1405</v>
      </c>
      <c r="B248" s="141">
        <v>45764</v>
      </c>
      <c r="C248" s="18" t="s">
        <v>6</v>
      </c>
      <c r="D248" s="21" t="s">
        <v>479</v>
      </c>
      <c r="E248" s="21" t="s">
        <v>1816</v>
      </c>
      <c r="F248" s="20" t="s">
        <v>23</v>
      </c>
      <c r="G248" s="18" t="str">
        <f>C248</f>
        <v>CSE</v>
      </c>
      <c r="H248" s="86">
        <v>6000</v>
      </c>
      <c r="I248" s="149">
        <v>45792</v>
      </c>
      <c r="J248" s="87"/>
      <c r="K248" s="57"/>
      <c r="L248" s="86" t="s">
        <v>1811</v>
      </c>
      <c r="M248" s="86">
        <v>76</v>
      </c>
      <c r="N248" s="85"/>
      <c r="O248" s="85"/>
      <c r="P248" s="85"/>
      <c r="Q248" s="85"/>
      <c r="R248" s="85"/>
      <c r="S248" s="85"/>
    </row>
    <row r="249" spans="1:19" ht="47.25">
      <c r="A249" s="83">
        <v>1406</v>
      </c>
      <c r="B249" s="141">
        <v>45769</v>
      </c>
      <c r="C249" s="18" t="s">
        <v>5</v>
      </c>
      <c r="D249" s="21" t="s">
        <v>66</v>
      </c>
      <c r="E249" s="21" t="s">
        <v>1815</v>
      </c>
      <c r="F249" s="110" t="s">
        <v>324</v>
      </c>
      <c r="G249" s="18" t="str">
        <f>C249</f>
        <v>ECE</v>
      </c>
      <c r="H249" s="86">
        <v>1500</v>
      </c>
      <c r="I249" s="149">
        <v>45792</v>
      </c>
      <c r="J249" s="87"/>
      <c r="K249" s="57"/>
      <c r="L249" s="95">
        <v>45780</v>
      </c>
      <c r="M249" s="86">
        <v>76</v>
      </c>
      <c r="N249" s="85"/>
      <c r="O249" s="85"/>
      <c r="P249" s="85"/>
      <c r="Q249" s="85"/>
      <c r="R249" s="85"/>
      <c r="S249" s="85"/>
    </row>
    <row r="250" spans="1:19" ht="47.25">
      <c r="A250" s="83">
        <v>1407</v>
      </c>
      <c r="B250" s="141">
        <v>45769</v>
      </c>
      <c r="C250" s="18" t="s">
        <v>5</v>
      </c>
      <c r="D250" s="21" t="s">
        <v>66</v>
      </c>
      <c r="E250" s="21" t="s">
        <v>1814</v>
      </c>
      <c r="F250" s="110" t="s">
        <v>324</v>
      </c>
      <c r="G250" s="18" t="str">
        <f>C250</f>
        <v>ECE</v>
      </c>
      <c r="H250" s="86">
        <v>1500</v>
      </c>
      <c r="I250" s="149">
        <v>45792</v>
      </c>
      <c r="J250" s="87"/>
      <c r="K250" s="57"/>
      <c r="L250" s="86" t="s">
        <v>1692</v>
      </c>
      <c r="M250" s="86">
        <v>76</v>
      </c>
      <c r="N250" s="85"/>
      <c r="O250" s="85"/>
      <c r="P250" s="85"/>
      <c r="Q250" s="85"/>
      <c r="R250" s="85"/>
      <c r="S250" s="85"/>
    </row>
    <row r="251" spans="1:19" ht="31.5">
      <c r="A251" s="83">
        <v>1408</v>
      </c>
      <c r="B251" s="141">
        <v>45769</v>
      </c>
      <c r="C251" s="18" t="s">
        <v>5</v>
      </c>
      <c r="D251" s="21" t="s">
        <v>66</v>
      </c>
      <c r="E251" s="21" t="s">
        <v>1813</v>
      </c>
      <c r="F251" s="110" t="s">
        <v>324</v>
      </c>
      <c r="G251" s="18" t="str">
        <f>C251</f>
        <v>ECE</v>
      </c>
      <c r="H251" s="86">
        <v>1500</v>
      </c>
      <c r="I251" s="149">
        <v>45792</v>
      </c>
      <c r="J251" s="87"/>
      <c r="K251" s="57"/>
      <c r="L251" s="86" t="s">
        <v>1692</v>
      </c>
      <c r="M251" s="86">
        <v>76</v>
      </c>
      <c r="N251" s="85"/>
      <c r="O251" s="85"/>
      <c r="P251" s="85"/>
      <c r="Q251" s="85"/>
      <c r="R251" s="85"/>
      <c r="S251" s="85"/>
    </row>
    <row r="252" spans="1:19" ht="31.5">
      <c r="A252" s="83">
        <v>1409</v>
      </c>
      <c r="B252" s="141">
        <v>45769</v>
      </c>
      <c r="C252" s="18" t="s">
        <v>5</v>
      </c>
      <c r="D252" s="21" t="s">
        <v>296</v>
      </c>
      <c r="E252" s="21" t="s">
        <v>1812</v>
      </c>
      <c r="F252" s="20" t="s">
        <v>187</v>
      </c>
      <c r="G252" s="18" t="str">
        <f>C252</f>
        <v>ECE</v>
      </c>
      <c r="H252" s="86">
        <v>1800</v>
      </c>
      <c r="I252" s="149">
        <v>45792</v>
      </c>
      <c r="J252" s="87"/>
      <c r="K252" s="57"/>
      <c r="L252" s="86" t="s">
        <v>1811</v>
      </c>
      <c r="M252" s="86">
        <v>76</v>
      </c>
      <c r="N252" s="85"/>
      <c r="O252" s="85"/>
      <c r="P252" s="85"/>
      <c r="Q252" s="85"/>
      <c r="R252" s="85"/>
      <c r="S252" s="85"/>
    </row>
    <row r="253" spans="1:19" ht="31.5">
      <c r="A253" s="83">
        <v>1410</v>
      </c>
      <c r="B253" s="141">
        <v>45766</v>
      </c>
      <c r="C253" s="18" t="s">
        <v>6</v>
      </c>
      <c r="D253" s="21" t="s">
        <v>369</v>
      </c>
      <c r="E253" s="21" t="s">
        <v>1810</v>
      </c>
      <c r="F253" s="20" t="s">
        <v>16</v>
      </c>
      <c r="G253" s="18" t="str">
        <f>C253</f>
        <v>CSE</v>
      </c>
      <c r="H253" s="86">
        <v>1800</v>
      </c>
      <c r="I253" s="149">
        <v>45792</v>
      </c>
      <c r="J253" s="87"/>
      <c r="K253" s="57"/>
      <c r="L253" s="86" t="s">
        <v>1692</v>
      </c>
      <c r="M253" s="86">
        <v>76</v>
      </c>
      <c r="N253" s="85"/>
      <c r="O253" s="85"/>
      <c r="P253" s="85"/>
      <c r="Q253" s="85"/>
      <c r="R253" s="85"/>
      <c r="S253" s="85"/>
    </row>
    <row r="254" spans="1:19" ht="47.25">
      <c r="A254" s="83">
        <v>1411</v>
      </c>
      <c r="B254" s="141">
        <v>45755</v>
      </c>
      <c r="C254" s="18" t="s">
        <v>5</v>
      </c>
      <c r="D254" s="21" t="s">
        <v>112</v>
      </c>
      <c r="E254" s="21" t="s">
        <v>1809</v>
      </c>
      <c r="F254" s="20" t="s">
        <v>16</v>
      </c>
      <c r="G254" s="18" t="str">
        <f>C254</f>
        <v>ECE</v>
      </c>
      <c r="H254" s="86">
        <v>3000</v>
      </c>
      <c r="I254" s="149">
        <v>45792</v>
      </c>
      <c r="J254" s="87"/>
      <c r="K254" s="57"/>
      <c r="L254" s="86" t="s">
        <v>1682</v>
      </c>
      <c r="M254" s="86">
        <v>76</v>
      </c>
      <c r="N254" s="85"/>
      <c r="O254" s="85"/>
      <c r="P254" s="85"/>
      <c r="Q254" s="85"/>
      <c r="R254" s="85"/>
      <c r="S254" s="85"/>
    </row>
    <row r="255" spans="1:19" ht="47.25">
      <c r="A255" s="83">
        <v>1412</v>
      </c>
      <c r="B255" s="141">
        <v>45783</v>
      </c>
      <c r="C255" s="18" t="s">
        <v>1</v>
      </c>
      <c r="D255" s="21" t="s">
        <v>167</v>
      </c>
      <c r="E255" s="21" t="s">
        <v>1808</v>
      </c>
      <c r="F255" s="20" t="s">
        <v>23</v>
      </c>
      <c r="G255" s="18" t="str">
        <f>C255</f>
        <v>S&amp;H</v>
      </c>
      <c r="H255" s="86">
        <v>6000</v>
      </c>
      <c r="I255" s="149">
        <v>45792</v>
      </c>
      <c r="J255" s="87"/>
      <c r="K255" s="57"/>
      <c r="L255" s="99">
        <v>45748</v>
      </c>
      <c r="M255" s="86">
        <v>76</v>
      </c>
      <c r="N255" s="85"/>
      <c r="O255" s="85"/>
      <c r="P255" s="85"/>
      <c r="Q255" s="85"/>
      <c r="R255" s="85"/>
      <c r="S255" s="85"/>
    </row>
    <row r="256" spans="1:19" ht="63">
      <c r="A256" s="83">
        <v>1413</v>
      </c>
      <c r="B256" s="141">
        <v>45783</v>
      </c>
      <c r="C256" s="18" t="s">
        <v>1</v>
      </c>
      <c r="D256" s="21" t="s">
        <v>167</v>
      </c>
      <c r="E256" s="21" t="s">
        <v>1807</v>
      </c>
      <c r="F256" s="20" t="s">
        <v>23</v>
      </c>
      <c r="G256" s="18" t="str">
        <f>C256</f>
        <v>S&amp;H</v>
      </c>
      <c r="H256" s="86">
        <v>10000</v>
      </c>
      <c r="I256" s="149">
        <v>45792</v>
      </c>
      <c r="J256" s="87"/>
      <c r="K256" s="57"/>
      <c r="L256" s="86" t="s">
        <v>1767</v>
      </c>
      <c r="M256" s="86">
        <v>76</v>
      </c>
      <c r="N256" s="85"/>
      <c r="O256" s="85"/>
      <c r="P256" s="85"/>
      <c r="Q256" s="85"/>
      <c r="R256" s="85"/>
      <c r="S256" s="85"/>
    </row>
    <row r="257" spans="1:19" ht="15.75">
      <c r="A257" s="83">
        <v>1414</v>
      </c>
      <c r="B257" s="141">
        <v>45783</v>
      </c>
      <c r="C257" s="18" t="s">
        <v>1</v>
      </c>
      <c r="D257" s="21" t="s">
        <v>167</v>
      </c>
      <c r="E257" s="21" t="s">
        <v>198</v>
      </c>
      <c r="F257" s="20" t="s">
        <v>193</v>
      </c>
      <c r="G257" s="18" t="str">
        <f>C257</f>
        <v>S&amp;H</v>
      </c>
      <c r="H257" s="86">
        <v>4000</v>
      </c>
      <c r="I257" s="149">
        <v>45792</v>
      </c>
      <c r="J257" s="87"/>
      <c r="K257" s="57"/>
      <c r="L257" s="95">
        <v>45782</v>
      </c>
      <c r="M257" s="86">
        <v>76</v>
      </c>
      <c r="N257" s="85"/>
      <c r="O257" s="85"/>
      <c r="P257" s="85"/>
      <c r="Q257" s="85"/>
      <c r="R257" s="85"/>
      <c r="S257" s="85"/>
    </row>
    <row r="258" spans="1:19" ht="31.5">
      <c r="A258" s="83">
        <v>1415</v>
      </c>
      <c r="B258" s="141">
        <v>45786</v>
      </c>
      <c r="C258" s="18" t="s">
        <v>5</v>
      </c>
      <c r="D258" s="21" t="s">
        <v>294</v>
      </c>
      <c r="E258" s="21" t="s">
        <v>1806</v>
      </c>
      <c r="F258" s="20" t="s">
        <v>324</v>
      </c>
      <c r="G258" s="18" t="str">
        <f>C258</f>
        <v>ECE</v>
      </c>
      <c r="H258" s="86">
        <v>1800</v>
      </c>
      <c r="I258" s="149">
        <v>45792</v>
      </c>
      <c r="J258" s="87"/>
      <c r="K258" s="57"/>
      <c r="L258" s="95">
        <v>45905</v>
      </c>
      <c r="M258" s="86">
        <v>76</v>
      </c>
      <c r="N258" s="85"/>
      <c r="O258" s="85"/>
      <c r="P258" s="85"/>
      <c r="Q258" s="85"/>
      <c r="R258" s="85"/>
      <c r="S258" s="85"/>
    </row>
    <row r="259" spans="1:19" ht="47.25">
      <c r="A259" s="83">
        <v>1416</v>
      </c>
      <c r="B259" s="141">
        <v>45785</v>
      </c>
      <c r="C259" s="18" t="s">
        <v>5</v>
      </c>
      <c r="D259" s="21" t="s">
        <v>72</v>
      </c>
      <c r="E259" s="21" t="s">
        <v>1805</v>
      </c>
      <c r="F259" s="20" t="s">
        <v>23</v>
      </c>
      <c r="G259" s="18" t="str">
        <f>C259</f>
        <v>ECE</v>
      </c>
      <c r="H259" s="86">
        <v>10000</v>
      </c>
      <c r="I259" s="149">
        <v>45792</v>
      </c>
      <c r="J259" s="87"/>
      <c r="K259" s="57"/>
      <c r="L259" s="95">
        <v>45781</v>
      </c>
      <c r="M259" s="86">
        <v>76</v>
      </c>
      <c r="N259" s="85"/>
      <c r="O259" s="85"/>
      <c r="P259" s="85"/>
      <c r="Q259" s="85"/>
      <c r="R259" s="85"/>
      <c r="S259" s="85"/>
    </row>
    <row r="260" spans="1:19" ht="15.75">
      <c r="A260" s="83">
        <v>1417</v>
      </c>
      <c r="B260" s="141">
        <v>45785</v>
      </c>
      <c r="C260" s="18" t="s">
        <v>5</v>
      </c>
      <c r="D260" s="21" t="s">
        <v>72</v>
      </c>
      <c r="E260" s="21" t="s">
        <v>737</v>
      </c>
      <c r="F260" s="20" t="s">
        <v>193</v>
      </c>
      <c r="G260" s="18" t="str">
        <f>C260</f>
        <v>ECE</v>
      </c>
      <c r="H260" s="86">
        <v>10000</v>
      </c>
      <c r="I260" s="149">
        <v>45792</v>
      </c>
      <c r="J260" s="87"/>
      <c r="K260" s="57"/>
      <c r="L260" s="95">
        <v>45874</v>
      </c>
      <c r="M260" s="86">
        <v>76</v>
      </c>
      <c r="N260" s="85"/>
      <c r="O260" s="85"/>
      <c r="P260" s="85"/>
      <c r="Q260" s="85"/>
      <c r="R260" s="85"/>
      <c r="S260" s="85"/>
    </row>
    <row r="261" spans="1:19" ht="63">
      <c r="A261" s="83">
        <v>1418</v>
      </c>
      <c r="B261" s="141">
        <v>45784</v>
      </c>
      <c r="C261" s="18" t="s">
        <v>8</v>
      </c>
      <c r="D261" s="21" t="s">
        <v>34</v>
      </c>
      <c r="E261" s="21" t="s">
        <v>1804</v>
      </c>
      <c r="F261" s="20" t="s">
        <v>23</v>
      </c>
      <c r="G261" s="18" t="str">
        <f>C261</f>
        <v>CCE</v>
      </c>
      <c r="H261" s="86">
        <v>6000</v>
      </c>
      <c r="I261" s="149">
        <v>45792</v>
      </c>
      <c r="J261" s="87"/>
      <c r="K261" s="57"/>
      <c r="L261" s="86" t="s">
        <v>1772</v>
      </c>
      <c r="M261" s="86">
        <v>76</v>
      </c>
      <c r="N261" s="85"/>
      <c r="O261" s="85"/>
      <c r="P261" s="85"/>
      <c r="Q261" s="85"/>
      <c r="R261" s="85"/>
      <c r="S261" s="85"/>
    </row>
    <row r="262" spans="1:19" ht="47.25">
      <c r="A262" s="83">
        <v>1419</v>
      </c>
      <c r="B262" s="141">
        <v>45784</v>
      </c>
      <c r="C262" s="18" t="s">
        <v>8</v>
      </c>
      <c r="D262" s="21" t="s">
        <v>34</v>
      </c>
      <c r="E262" s="21" t="s">
        <v>1803</v>
      </c>
      <c r="F262" s="20" t="s">
        <v>324</v>
      </c>
      <c r="G262" s="18" t="str">
        <f>C262</f>
        <v>CCE</v>
      </c>
      <c r="H262" s="86">
        <v>3000</v>
      </c>
      <c r="I262" s="149">
        <v>45792</v>
      </c>
      <c r="J262" s="87"/>
      <c r="K262" s="57"/>
      <c r="L262" s="86" t="s">
        <v>1760</v>
      </c>
      <c r="M262" s="86">
        <v>76</v>
      </c>
      <c r="N262" s="85"/>
      <c r="O262" s="85"/>
      <c r="P262" s="85"/>
      <c r="Q262" s="85"/>
      <c r="R262" s="85"/>
      <c r="S262" s="85"/>
    </row>
    <row r="263" spans="1:19" ht="31.5">
      <c r="A263" s="83">
        <v>1420</v>
      </c>
      <c r="B263" s="141">
        <v>45785</v>
      </c>
      <c r="C263" s="18" t="s">
        <v>36</v>
      </c>
      <c r="D263" s="21" t="s">
        <v>1802</v>
      </c>
      <c r="E263" s="21" t="s">
        <v>1801</v>
      </c>
      <c r="F263" s="20" t="s">
        <v>187</v>
      </c>
      <c r="G263" s="18" t="str">
        <f>C263</f>
        <v>AIDS</v>
      </c>
      <c r="H263" s="86">
        <v>1800</v>
      </c>
      <c r="I263" s="149">
        <v>45792</v>
      </c>
      <c r="J263" s="87"/>
      <c r="K263" s="57"/>
      <c r="L263" s="86" t="s">
        <v>1800</v>
      </c>
      <c r="M263" s="86">
        <v>76</v>
      </c>
      <c r="N263" s="85"/>
      <c r="O263" s="85"/>
      <c r="P263" s="85"/>
      <c r="Q263" s="85"/>
      <c r="R263" s="85"/>
      <c r="S263" s="85"/>
    </row>
    <row r="264" spans="1:19" ht="31.5">
      <c r="A264" s="83">
        <v>1421</v>
      </c>
      <c r="B264" s="141">
        <v>45783</v>
      </c>
      <c r="C264" s="18" t="s">
        <v>758</v>
      </c>
      <c r="D264" s="21" t="s">
        <v>757</v>
      </c>
      <c r="E264" s="21" t="s">
        <v>1799</v>
      </c>
      <c r="F264" s="20" t="s">
        <v>324</v>
      </c>
      <c r="G264" s="18" t="str">
        <f>C264</f>
        <v>AI-ML</v>
      </c>
      <c r="H264" s="86">
        <v>3000</v>
      </c>
      <c r="I264" s="149">
        <v>45792</v>
      </c>
      <c r="J264" s="87"/>
      <c r="K264" s="57"/>
      <c r="L264" s="95">
        <v>45873</v>
      </c>
      <c r="M264" s="86">
        <v>76</v>
      </c>
      <c r="N264" s="85"/>
      <c r="O264" s="85"/>
      <c r="P264" s="85"/>
      <c r="Q264" s="85"/>
      <c r="R264" s="85"/>
      <c r="S264" s="85"/>
    </row>
    <row r="265" spans="1:19" ht="31.5">
      <c r="A265" s="83">
        <v>1422</v>
      </c>
      <c r="B265" s="141">
        <v>45787</v>
      </c>
      <c r="C265" s="18" t="s">
        <v>1</v>
      </c>
      <c r="D265" s="21" t="s">
        <v>260</v>
      </c>
      <c r="E265" s="21" t="s">
        <v>1798</v>
      </c>
      <c r="F265" s="20" t="s">
        <v>23</v>
      </c>
      <c r="G265" s="18" t="str">
        <f>C265</f>
        <v>S&amp;H</v>
      </c>
      <c r="H265" s="86">
        <v>10000</v>
      </c>
      <c r="I265" s="149">
        <v>45792</v>
      </c>
      <c r="J265" s="87"/>
      <c r="K265" s="57"/>
      <c r="L265" s="86" t="s">
        <v>1797</v>
      </c>
      <c r="M265" s="86">
        <v>76</v>
      </c>
      <c r="N265" s="85"/>
      <c r="O265" s="85"/>
      <c r="P265" s="85"/>
      <c r="Q265" s="85"/>
      <c r="R265" s="85"/>
      <c r="S265" s="85"/>
    </row>
    <row r="266" spans="1:19" ht="15.75">
      <c r="A266" s="46"/>
      <c r="B266" s="141"/>
      <c r="C266" s="46"/>
      <c r="D266" s="46"/>
      <c r="E266" s="46" t="s">
        <v>11</v>
      </c>
      <c r="F266" s="42"/>
      <c r="G266" s="90"/>
      <c r="H266" s="89">
        <f>SUM(H240:H265)</f>
        <v>120300</v>
      </c>
      <c r="I266" s="42" t="s">
        <v>718</v>
      </c>
      <c r="J266" s="42"/>
      <c r="K266" s="45">
        <f>H266</f>
        <v>120300</v>
      </c>
      <c r="L266" s="42"/>
      <c r="M266" s="46">
        <v>76</v>
      </c>
      <c r="N266" s="88"/>
      <c r="O266" s="88"/>
      <c r="P266" s="88"/>
      <c r="Q266" s="88"/>
      <c r="R266" s="88"/>
      <c r="S266" s="88"/>
    </row>
    <row r="267" spans="1:19" ht="63">
      <c r="A267" s="83">
        <v>1423</v>
      </c>
      <c r="B267" s="141">
        <v>45769</v>
      </c>
      <c r="C267" s="18" t="s">
        <v>5</v>
      </c>
      <c r="D267" s="21" t="s">
        <v>21</v>
      </c>
      <c r="E267" s="21" t="s">
        <v>1796</v>
      </c>
      <c r="F267" s="20" t="s">
        <v>324</v>
      </c>
      <c r="G267" s="18" t="str">
        <f>C267</f>
        <v>ECE</v>
      </c>
      <c r="H267" s="86">
        <v>3000</v>
      </c>
      <c r="I267" s="149">
        <v>45804</v>
      </c>
      <c r="J267" s="87"/>
      <c r="K267" s="57"/>
      <c r="L267" s="86" t="s">
        <v>1795</v>
      </c>
      <c r="M267" s="86">
        <v>77</v>
      </c>
      <c r="N267" s="85"/>
      <c r="O267" s="85"/>
      <c r="P267" s="85"/>
      <c r="Q267" s="85"/>
      <c r="R267" s="85"/>
      <c r="S267" s="85"/>
    </row>
    <row r="268" spans="1:19" ht="15.75">
      <c r="A268" s="83">
        <v>1424</v>
      </c>
      <c r="B268" s="141">
        <v>45769</v>
      </c>
      <c r="C268" s="18" t="s">
        <v>5</v>
      </c>
      <c r="D268" s="21" t="s">
        <v>21</v>
      </c>
      <c r="E268" s="21" t="s">
        <v>198</v>
      </c>
      <c r="F268" s="20" t="s">
        <v>193</v>
      </c>
      <c r="G268" s="18" t="str">
        <f>C268</f>
        <v>ECE</v>
      </c>
      <c r="H268" s="86">
        <v>4000</v>
      </c>
      <c r="I268" s="149">
        <v>45804</v>
      </c>
      <c r="J268" s="87"/>
      <c r="K268" s="57"/>
      <c r="L268" s="86" t="s">
        <v>1794</v>
      </c>
      <c r="M268" s="86">
        <v>77</v>
      </c>
      <c r="N268" s="85"/>
      <c r="O268" s="85"/>
      <c r="P268" s="85"/>
      <c r="Q268" s="85"/>
      <c r="R268" s="85"/>
      <c r="S268" s="85"/>
    </row>
    <row r="269" spans="1:19" ht="15.75">
      <c r="A269" s="83">
        <v>1425</v>
      </c>
      <c r="B269" s="141">
        <v>45789</v>
      </c>
      <c r="C269" s="18" t="s">
        <v>1</v>
      </c>
      <c r="D269" s="21" t="s">
        <v>140</v>
      </c>
      <c r="E269" s="21" t="s">
        <v>166</v>
      </c>
      <c r="F269" s="20" t="s">
        <v>193</v>
      </c>
      <c r="G269" s="18" t="str">
        <f>C269</f>
        <v>S&amp;H</v>
      </c>
      <c r="H269" s="86">
        <v>2000</v>
      </c>
      <c r="I269" s="149">
        <v>45804</v>
      </c>
      <c r="J269" s="87"/>
      <c r="K269" s="57"/>
      <c r="L269" s="95">
        <v>45996</v>
      </c>
      <c r="M269" s="86">
        <v>77</v>
      </c>
      <c r="N269" s="85"/>
      <c r="O269" s="85"/>
      <c r="P269" s="85"/>
      <c r="Q269" s="85"/>
      <c r="R269" s="85"/>
      <c r="S269" s="85"/>
    </row>
    <row r="270" spans="1:19" ht="15.75">
      <c r="A270" s="83">
        <v>1426</v>
      </c>
      <c r="B270" s="141">
        <v>45790</v>
      </c>
      <c r="C270" s="18" t="s">
        <v>5</v>
      </c>
      <c r="D270" s="21" t="s">
        <v>296</v>
      </c>
      <c r="E270" s="21" t="s">
        <v>198</v>
      </c>
      <c r="F270" s="20" t="s">
        <v>193</v>
      </c>
      <c r="G270" s="18" t="str">
        <f>C270</f>
        <v>ECE</v>
      </c>
      <c r="H270" s="86">
        <v>4000</v>
      </c>
      <c r="I270" s="149">
        <v>45804</v>
      </c>
      <c r="J270" s="87"/>
      <c r="K270" s="57"/>
      <c r="L270" s="86" t="s">
        <v>1781</v>
      </c>
      <c r="M270" s="86">
        <v>77</v>
      </c>
      <c r="N270" s="85"/>
      <c r="O270" s="85"/>
      <c r="P270" s="85"/>
      <c r="Q270" s="85"/>
      <c r="R270" s="85"/>
      <c r="S270" s="85"/>
    </row>
    <row r="271" spans="1:19" ht="15.75">
      <c r="A271" s="83">
        <v>1427</v>
      </c>
      <c r="B271" s="141">
        <v>45791</v>
      </c>
      <c r="C271" s="18" t="s">
        <v>5</v>
      </c>
      <c r="D271" s="21" t="s">
        <v>781</v>
      </c>
      <c r="E271" s="21" t="s">
        <v>1793</v>
      </c>
      <c r="F271" s="20" t="s">
        <v>187</v>
      </c>
      <c r="G271" s="18" t="str">
        <f>C271</f>
        <v>ECE</v>
      </c>
      <c r="H271" s="86">
        <v>900</v>
      </c>
      <c r="I271" s="149">
        <v>45804</v>
      </c>
      <c r="J271" s="87"/>
      <c r="K271" s="57"/>
      <c r="L271" s="86" t="s">
        <v>1792</v>
      </c>
      <c r="M271" s="86">
        <v>77</v>
      </c>
      <c r="N271" s="85"/>
      <c r="O271" s="85"/>
      <c r="P271" s="85"/>
      <c r="Q271" s="85"/>
      <c r="R271" s="85"/>
      <c r="S271" s="85"/>
    </row>
    <row r="272" spans="1:19" ht="15.75">
      <c r="A272" s="83">
        <v>1428</v>
      </c>
      <c r="B272" s="141">
        <v>45790</v>
      </c>
      <c r="C272" s="18" t="s">
        <v>0</v>
      </c>
      <c r="D272" s="21" t="s">
        <v>126</v>
      </c>
      <c r="E272" s="21" t="s">
        <v>840</v>
      </c>
      <c r="F272" s="20" t="s">
        <v>193</v>
      </c>
      <c r="G272" s="18" t="str">
        <f>C272</f>
        <v>Maths</v>
      </c>
      <c r="H272" s="86">
        <v>16000</v>
      </c>
      <c r="I272" s="149">
        <v>45804</v>
      </c>
      <c r="J272" s="87"/>
      <c r="K272" s="57"/>
      <c r="L272" s="86" t="s">
        <v>1781</v>
      </c>
      <c r="M272" s="86">
        <v>77</v>
      </c>
      <c r="N272" s="85"/>
      <c r="O272" s="85"/>
      <c r="P272" s="85"/>
      <c r="Q272" s="85"/>
      <c r="R272" s="85"/>
      <c r="S272" s="85"/>
    </row>
    <row r="273" spans="1:19" ht="15.75">
      <c r="A273" s="83">
        <v>1429</v>
      </c>
      <c r="B273" s="141">
        <v>45770</v>
      </c>
      <c r="C273" s="18" t="s">
        <v>6</v>
      </c>
      <c r="D273" s="21" t="s">
        <v>869</v>
      </c>
      <c r="E273" s="21" t="s">
        <v>166</v>
      </c>
      <c r="F273" s="20" t="s">
        <v>193</v>
      </c>
      <c r="G273" s="18" t="str">
        <f>C273</f>
        <v>CSE</v>
      </c>
      <c r="H273" s="86">
        <v>2000</v>
      </c>
      <c r="I273" s="149">
        <v>45804</v>
      </c>
      <c r="J273" s="87"/>
      <c r="K273" s="57"/>
      <c r="L273" s="86" t="s">
        <v>1767</v>
      </c>
      <c r="M273" s="86">
        <v>77</v>
      </c>
      <c r="N273" s="85"/>
      <c r="O273" s="85"/>
      <c r="P273" s="85"/>
      <c r="Q273" s="85"/>
      <c r="R273" s="85"/>
      <c r="S273" s="85"/>
    </row>
    <row r="274" spans="1:19" ht="47.25">
      <c r="A274" s="83">
        <v>1430</v>
      </c>
      <c r="B274" s="141">
        <v>45790</v>
      </c>
      <c r="C274" s="18" t="s">
        <v>4</v>
      </c>
      <c r="D274" s="21" t="s">
        <v>482</v>
      </c>
      <c r="E274" s="21" t="s">
        <v>1791</v>
      </c>
      <c r="F274" s="20" t="s">
        <v>23</v>
      </c>
      <c r="G274" s="18" t="str">
        <f>C274</f>
        <v>EEE</v>
      </c>
      <c r="H274" s="86">
        <v>6000</v>
      </c>
      <c r="I274" s="149">
        <v>45804</v>
      </c>
      <c r="J274" s="87"/>
      <c r="K274" s="57"/>
      <c r="L274" s="95">
        <v>45721</v>
      </c>
      <c r="M274" s="86">
        <v>77</v>
      </c>
      <c r="N274" s="85"/>
      <c r="O274" s="85"/>
      <c r="P274" s="85"/>
      <c r="Q274" s="85"/>
      <c r="R274" s="85"/>
      <c r="S274" s="85"/>
    </row>
    <row r="275" spans="1:19" ht="31.5">
      <c r="A275" s="83">
        <v>1431</v>
      </c>
      <c r="B275" s="141">
        <v>45786</v>
      </c>
      <c r="C275" s="18" t="s">
        <v>8</v>
      </c>
      <c r="D275" s="21" t="s">
        <v>1787</v>
      </c>
      <c r="E275" s="21" t="s">
        <v>1790</v>
      </c>
      <c r="F275" s="20" t="s">
        <v>324</v>
      </c>
      <c r="G275" s="18" t="str">
        <f>C275</f>
        <v>CCE</v>
      </c>
      <c r="H275" s="86">
        <v>3000</v>
      </c>
      <c r="I275" s="149">
        <v>45804</v>
      </c>
      <c r="J275" s="87"/>
      <c r="K275" s="57"/>
      <c r="L275" s="95">
        <v>45455</v>
      </c>
      <c r="M275" s="86">
        <v>77</v>
      </c>
      <c r="N275" s="85"/>
      <c r="O275" s="85"/>
      <c r="P275" s="85"/>
      <c r="Q275" s="85"/>
      <c r="R275" s="85"/>
      <c r="S275" s="85"/>
    </row>
    <row r="276" spans="1:19" ht="15.75">
      <c r="A276" s="83">
        <v>1432</v>
      </c>
      <c r="B276" s="141">
        <v>45786</v>
      </c>
      <c r="C276" s="18" t="s">
        <v>8</v>
      </c>
      <c r="D276" s="21" t="s">
        <v>1787</v>
      </c>
      <c r="E276" s="21" t="s">
        <v>1789</v>
      </c>
      <c r="F276" s="20" t="s">
        <v>16</v>
      </c>
      <c r="G276" s="18" t="str">
        <f>C276</f>
        <v>CCE</v>
      </c>
      <c r="H276" s="86">
        <v>1800</v>
      </c>
      <c r="I276" s="149">
        <v>45804</v>
      </c>
      <c r="J276" s="87"/>
      <c r="K276" s="57"/>
      <c r="L276" s="86" t="s">
        <v>1788</v>
      </c>
      <c r="M276" s="86">
        <v>77</v>
      </c>
      <c r="N276" s="85"/>
      <c r="O276" s="85"/>
      <c r="P276" s="85"/>
      <c r="Q276" s="85"/>
      <c r="R276" s="85"/>
      <c r="S276" s="85"/>
    </row>
    <row r="277" spans="1:19" ht="31.5">
      <c r="A277" s="83">
        <v>1433</v>
      </c>
      <c r="B277" s="141">
        <v>45786</v>
      </c>
      <c r="C277" s="18" t="s">
        <v>8</v>
      </c>
      <c r="D277" s="21" t="s">
        <v>1787</v>
      </c>
      <c r="E277" s="21" t="s">
        <v>1786</v>
      </c>
      <c r="F277" s="20" t="s">
        <v>16</v>
      </c>
      <c r="G277" s="18" t="str">
        <f>C277</f>
        <v>CCE</v>
      </c>
      <c r="H277" s="86">
        <v>1800</v>
      </c>
      <c r="I277" s="149">
        <v>45804</v>
      </c>
      <c r="J277" s="87"/>
      <c r="K277" s="57"/>
      <c r="L277" s="86" t="s">
        <v>1045</v>
      </c>
      <c r="M277" s="86">
        <v>77</v>
      </c>
      <c r="N277" s="85"/>
      <c r="O277" s="85"/>
      <c r="P277" s="85"/>
      <c r="Q277" s="85"/>
      <c r="R277" s="85"/>
      <c r="S277" s="85"/>
    </row>
    <row r="278" spans="1:19" ht="47.25">
      <c r="A278" s="83">
        <v>1434</v>
      </c>
      <c r="B278" s="141">
        <v>45790</v>
      </c>
      <c r="C278" s="18" t="s">
        <v>5</v>
      </c>
      <c r="D278" s="21" t="s">
        <v>170</v>
      </c>
      <c r="E278" s="21" t="s">
        <v>1785</v>
      </c>
      <c r="F278" s="20" t="s">
        <v>324</v>
      </c>
      <c r="G278" s="18" t="str">
        <f>C278</f>
        <v>ECE</v>
      </c>
      <c r="H278" s="86">
        <v>5000</v>
      </c>
      <c r="I278" s="149">
        <v>45804</v>
      </c>
      <c r="J278" s="87"/>
      <c r="K278" s="57"/>
      <c r="L278" s="95">
        <v>45782</v>
      </c>
      <c r="M278" s="86">
        <v>77</v>
      </c>
      <c r="N278" s="85"/>
      <c r="O278" s="85"/>
      <c r="P278" s="85"/>
      <c r="Q278" s="85"/>
      <c r="R278" s="85"/>
      <c r="S278" s="85"/>
    </row>
    <row r="279" spans="1:19" ht="31.5">
      <c r="A279" s="83">
        <v>1435</v>
      </c>
      <c r="B279" s="141">
        <v>45790</v>
      </c>
      <c r="C279" s="18" t="s">
        <v>5</v>
      </c>
      <c r="D279" s="21" t="s">
        <v>170</v>
      </c>
      <c r="E279" s="21" t="s">
        <v>1784</v>
      </c>
      <c r="F279" s="20" t="s">
        <v>16</v>
      </c>
      <c r="G279" s="18" t="str">
        <f>C279</f>
        <v>ECE</v>
      </c>
      <c r="H279" s="86">
        <v>1800</v>
      </c>
      <c r="I279" s="149">
        <v>45804</v>
      </c>
      <c r="J279" s="87"/>
      <c r="K279" s="57"/>
      <c r="L279" s="86" t="s">
        <v>1781</v>
      </c>
      <c r="M279" s="86">
        <v>77</v>
      </c>
      <c r="N279" s="85"/>
      <c r="O279" s="85"/>
      <c r="P279" s="85"/>
      <c r="Q279" s="85"/>
      <c r="R279" s="85"/>
      <c r="S279" s="85"/>
    </row>
    <row r="280" spans="1:19" ht="15.75">
      <c r="A280" s="46"/>
      <c r="B280" s="141"/>
      <c r="C280" s="46"/>
      <c r="D280" s="46"/>
      <c r="E280" s="46" t="s">
        <v>11</v>
      </c>
      <c r="F280" s="42"/>
      <c r="G280" s="90"/>
      <c r="H280" s="89">
        <f>SUM(H267:H279)</f>
        <v>51300</v>
      </c>
      <c r="I280" s="42" t="s">
        <v>718</v>
      </c>
      <c r="J280" s="42"/>
      <c r="K280" s="45">
        <f>H280</f>
        <v>51300</v>
      </c>
      <c r="L280" s="42"/>
      <c r="M280" s="46">
        <v>77</v>
      </c>
      <c r="N280" s="88"/>
      <c r="O280" s="88"/>
      <c r="P280" s="88"/>
      <c r="Q280" s="88"/>
      <c r="R280" s="88"/>
      <c r="S280" s="88"/>
    </row>
    <row r="281" spans="1:19" ht="31.5">
      <c r="A281" s="83">
        <v>1436</v>
      </c>
      <c r="B281" s="141">
        <v>45796</v>
      </c>
      <c r="C281" s="18" t="s">
        <v>5</v>
      </c>
      <c r="D281" s="21" t="s">
        <v>269</v>
      </c>
      <c r="E281" s="21" t="s">
        <v>1783</v>
      </c>
      <c r="F281" s="20" t="s">
        <v>16</v>
      </c>
      <c r="G281" s="18" t="str">
        <f>C281</f>
        <v>ECE</v>
      </c>
      <c r="H281" s="86">
        <v>3000</v>
      </c>
      <c r="I281" s="149">
        <v>45836</v>
      </c>
      <c r="J281" s="87"/>
      <c r="K281" s="57"/>
      <c r="L281" s="95">
        <v>45693</v>
      </c>
      <c r="M281" s="86">
        <v>78</v>
      </c>
      <c r="N281" s="85"/>
      <c r="O281" s="85"/>
      <c r="P281" s="85"/>
      <c r="Q281" s="85"/>
      <c r="R281" s="85"/>
      <c r="S281" s="85"/>
    </row>
    <row r="282" spans="1:19" ht="47.25">
      <c r="A282" s="83">
        <v>1437</v>
      </c>
      <c r="B282" s="141">
        <v>45804</v>
      </c>
      <c r="C282" s="18" t="s">
        <v>8</v>
      </c>
      <c r="D282" s="21" t="s">
        <v>34</v>
      </c>
      <c r="E282" s="21" t="s">
        <v>1782</v>
      </c>
      <c r="F282" s="20" t="s">
        <v>23</v>
      </c>
      <c r="G282" s="18" t="str">
        <f>C282</f>
        <v>CCE</v>
      </c>
      <c r="H282" s="86">
        <v>6000</v>
      </c>
      <c r="I282" s="149">
        <v>45836</v>
      </c>
      <c r="J282" s="87"/>
      <c r="K282" s="57"/>
      <c r="L282" s="86" t="s">
        <v>1781</v>
      </c>
      <c r="M282" s="86">
        <v>78</v>
      </c>
      <c r="N282" s="85"/>
      <c r="O282" s="85"/>
      <c r="P282" s="85"/>
      <c r="Q282" s="85"/>
      <c r="R282" s="85"/>
      <c r="S282" s="85"/>
    </row>
    <row r="283" spans="1:19" ht="31.5">
      <c r="A283" s="83">
        <v>1438</v>
      </c>
      <c r="B283" s="141">
        <v>45804</v>
      </c>
      <c r="C283" s="18" t="s">
        <v>4</v>
      </c>
      <c r="D283" s="21" t="s">
        <v>856</v>
      </c>
      <c r="E283" s="21" t="s">
        <v>1780</v>
      </c>
      <c r="F283" s="20" t="s">
        <v>23</v>
      </c>
      <c r="G283" s="18" t="str">
        <f>C283</f>
        <v>EEE</v>
      </c>
      <c r="H283" s="86">
        <v>6000</v>
      </c>
      <c r="I283" s="149">
        <v>45836</v>
      </c>
      <c r="J283" s="87"/>
      <c r="K283" s="57"/>
      <c r="L283" s="86"/>
      <c r="M283" s="86">
        <v>78</v>
      </c>
      <c r="N283" s="85"/>
      <c r="O283" s="85"/>
      <c r="P283" s="85"/>
      <c r="Q283" s="85"/>
      <c r="R283" s="85"/>
      <c r="S283" s="85"/>
    </row>
    <row r="284" spans="1:19" ht="31.5">
      <c r="A284" s="83">
        <v>1439</v>
      </c>
      <c r="B284" s="141">
        <v>45804</v>
      </c>
      <c r="C284" s="18" t="s">
        <v>4</v>
      </c>
      <c r="D284" s="21" t="s">
        <v>856</v>
      </c>
      <c r="E284" s="21" t="s">
        <v>1779</v>
      </c>
      <c r="F284" s="20" t="s">
        <v>23</v>
      </c>
      <c r="G284" s="18" t="str">
        <f>C284</f>
        <v>EEE</v>
      </c>
      <c r="H284" s="86">
        <v>6000</v>
      </c>
      <c r="I284" s="149">
        <v>45836</v>
      </c>
      <c r="J284" s="87"/>
      <c r="K284" s="57"/>
      <c r="L284" s="86"/>
      <c r="M284" s="86">
        <v>78</v>
      </c>
      <c r="N284" s="85"/>
      <c r="O284" s="85"/>
      <c r="P284" s="85"/>
      <c r="Q284" s="85"/>
      <c r="R284" s="85"/>
      <c r="S284" s="85"/>
    </row>
    <row r="285" spans="1:19" ht="31.5">
      <c r="A285" s="83">
        <v>1440</v>
      </c>
      <c r="B285" s="141">
        <v>45804</v>
      </c>
      <c r="C285" s="18" t="s">
        <v>4</v>
      </c>
      <c r="D285" s="21" t="s">
        <v>856</v>
      </c>
      <c r="E285" s="21" t="s">
        <v>1778</v>
      </c>
      <c r="F285" s="20" t="s">
        <v>23</v>
      </c>
      <c r="G285" s="18" t="str">
        <f>C285</f>
        <v>EEE</v>
      </c>
      <c r="H285" s="86">
        <v>6000</v>
      </c>
      <c r="I285" s="149">
        <v>45836</v>
      </c>
      <c r="J285" s="87"/>
      <c r="K285" s="57"/>
      <c r="L285" s="86"/>
      <c r="M285" s="86">
        <v>78</v>
      </c>
      <c r="N285" s="85"/>
      <c r="O285" s="85"/>
      <c r="P285" s="85"/>
      <c r="Q285" s="85"/>
      <c r="R285" s="85"/>
      <c r="S285" s="85"/>
    </row>
    <row r="286" spans="1:19" ht="47.25">
      <c r="A286" s="83">
        <v>1441</v>
      </c>
      <c r="B286" s="141">
        <v>45804</v>
      </c>
      <c r="C286" s="18" t="s">
        <v>4</v>
      </c>
      <c r="D286" s="21" t="s">
        <v>856</v>
      </c>
      <c r="E286" s="21" t="s">
        <v>1777</v>
      </c>
      <c r="F286" s="20" t="s">
        <v>16</v>
      </c>
      <c r="G286" s="18" t="str">
        <f>C286</f>
        <v>EEE</v>
      </c>
      <c r="H286" s="86">
        <v>1500</v>
      </c>
      <c r="I286" s="149">
        <v>45836</v>
      </c>
      <c r="J286" s="87"/>
      <c r="K286" s="57"/>
      <c r="L286" s="86"/>
      <c r="M286" s="86">
        <v>78</v>
      </c>
      <c r="N286" s="85"/>
      <c r="O286" s="85"/>
      <c r="P286" s="85"/>
      <c r="Q286" s="85"/>
      <c r="R286" s="85"/>
      <c r="S286" s="85"/>
    </row>
    <row r="287" spans="1:19" ht="31.5">
      <c r="A287" s="83">
        <v>1442</v>
      </c>
      <c r="B287" s="141">
        <v>45804</v>
      </c>
      <c r="C287" s="18" t="s">
        <v>4</v>
      </c>
      <c r="D287" s="21" t="s">
        <v>856</v>
      </c>
      <c r="E287" s="21" t="s">
        <v>1776</v>
      </c>
      <c r="F287" s="20" t="s">
        <v>16</v>
      </c>
      <c r="G287" s="18" t="str">
        <f>C287</f>
        <v>EEE</v>
      </c>
      <c r="H287" s="86">
        <v>1800</v>
      </c>
      <c r="I287" s="149">
        <v>45836</v>
      </c>
      <c r="J287" s="87"/>
      <c r="K287" s="57"/>
      <c r="L287" s="86"/>
      <c r="M287" s="86">
        <v>78</v>
      </c>
      <c r="N287" s="85"/>
      <c r="O287" s="85"/>
      <c r="P287" s="85"/>
      <c r="Q287" s="85"/>
      <c r="R287" s="85"/>
      <c r="S287" s="85"/>
    </row>
    <row r="288" spans="1:19" ht="47.25">
      <c r="A288" s="83">
        <v>1443</v>
      </c>
      <c r="B288" s="141">
        <v>45804</v>
      </c>
      <c r="C288" s="18" t="s">
        <v>4</v>
      </c>
      <c r="D288" s="21" t="s">
        <v>856</v>
      </c>
      <c r="E288" s="21" t="s">
        <v>1775</v>
      </c>
      <c r="F288" s="20" t="s">
        <v>16</v>
      </c>
      <c r="G288" s="18" t="str">
        <f>C288</f>
        <v>EEE</v>
      </c>
      <c r="H288" s="86">
        <v>1800</v>
      </c>
      <c r="I288" s="149">
        <v>45836</v>
      </c>
      <c r="J288" s="87"/>
      <c r="K288" s="57"/>
      <c r="L288" s="86"/>
      <c r="M288" s="86">
        <v>78</v>
      </c>
      <c r="N288" s="85"/>
      <c r="O288" s="85"/>
      <c r="P288" s="85"/>
      <c r="Q288" s="85"/>
      <c r="R288" s="85"/>
      <c r="S288" s="85"/>
    </row>
    <row r="289" spans="1:19" ht="31.5">
      <c r="A289" s="83">
        <v>1444</v>
      </c>
      <c r="B289" s="141">
        <v>45804</v>
      </c>
      <c r="C289" s="18" t="s">
        <v>4</v>
      </c>
      <c r="D289" s="21" t="s">
        <v>856</v>
      </c>
      <c r="E289" s="21" t="s">
        <v>1774</v>
      </c>
      <c r="F289" s="20" t="s">
        <v>16</v>
      </c>
      <c r="G289" s="18" t="str">
        <f>C289</f>
        <v>EEE</v>
      </c>
      <c r="H289" s="86">
        <v>1800</v>
      </c>
      <c r="I289" s="149">
        <v>45836</v>
      </c>
      <c r="J289" s="87"/>
      <c r="K289" s="57"/>
      <c r="L289" s="86"/>
      <c r="M289" s="86">
        <v>78</v>
      </c>
      <c r="N289" s="85"/>
      <c r="O289" s="85"/>
      <c r="P289" s="85"/>
      <c r="Q289" s="85"/>
      <c r="R289" s="85"/>
      <c r="S289" s="85"/>
    </row>
    <row r="290" spans="1:19" ht="47.25">
      <c r="A290" s="83">
        <v>1445</v>
      </c>
      <c r="B290" s="141">
        <v>45807</v>
      </c>
      <c r="C290" s="18" t="s">
        <v>1</v>
      </c>
      <c r="D290" s="21" t="s">
        <v>1526</v>
      </c>
      <c r="E290" s="21" t="s">
        <v>1773</v>
      </c>
      <c r="F290" s="20" t="s">
        <v>23</v>
      </c>
      <c r="G290" s="18" t="str">
        <f>C290</f>
        <v>S&amp;H</v>
      </c>
      <c r="H290" s="86">
        <v>6000</v>
      </c>
      <c r="I290" s="149">
        <v>45836</v>
      </c>
      <c r="J290" s="87"/>
      <c r="K290" s="57"/>
      <c r="L290" s="86" t="s">
        <v>1772</v>
      </c>
      <c r="M290" s="86">
        <v>78</v>
      </c>
      <c r="N290" s="85"/>
      <c r="O290" s="85"/>
      <c r="P290" s="85"/>
      <c r="Q290" s="85"/>
      <c r="R290" s="85"/>
      <c r="S290" s="85"/>
    </row>
    <row r="291" spans="1:19" ht="15.75">
      <c r="A291" s="83">
        <v>1446</v>
      </c>
      <c r="B291" s="141">
        <v>45799</v>
      </c>
      <c r="C291" s="18" t="s">
        <v>5</v>
      </c>
      <c r="D291" s="21" t="s">
        <v>951</v>
      </c>
      <c r="E291" s="21" t="s">
        <v>1771</v>
      </c>
      <c r="F291" s="20" t="s">
        <v>16</v>
      </c>
      <c r="G291" s="18" t="str">
        <f>C291</f>
        <v>ECE</v>
      </c>
      <c r="H291" s="86">
        <v>3000</v>
      </c>
      <c r="I291" s="149">
        <v>45836</v>
      </c>
      <c r="J291" s="87"/>
      <c r="K291" s="57"/>
      <c r="L291" s="95">
        <v>45360</v>
      </c>
      <c r="M291" s="86">
        <v>78</v>
      </c>
      <c r="N291" s="85"/>
      <c r="O291" s="85"/>
      <c r="P291" s="85"/>
      <c r="Q291" s="85"/>
      <c r="R291" s="85"/>
      <c r="S291" s="85"/>
    </row>
    <row r="292" spans="1:19" ht="47.25">
      <c r="A292" s="83">
        <v>1447</v>
      </c>
      <c r="B292" s="141">
        <v>45799</v>
      </c>
      <c r="C292" s="18" t="s">
        <v>5</v>
      </c>
      <c r="D292" s="21" t="s">
        <v>951</v>
      </c>
      <c r="E292" s="21" t="s">
        <v>1770</v>
      </c>
      <c r="F292" s="20" t="s">
        <v>16</v>
      </c>
      <c r="G292" s="18" t="str">
        <f>C292</f>
        <v>ECE</v>
      </c>
      <c r="H292" s="86">
        <v>3000</v>
      </c>
      <c r="I292" s="149">
        <v>45836</v>
      </c>
      <c r="J292" s="87"/>
      <c r="K292" s="57"/>
      <c r="L292" s="95">
        <v>45360</v>
      </c>
      <c r="M292" s="86">
        <v>78</v>
      </c>
      <c r="N292" s="85"/>
      <c r="O292" s="85"/>
      <c r="P292" s="85"/>
      <c r="Q292" s="85"/>
      <c r="R292" s="85"/>
      <c r="S292" s="85"/>
    </row>
    <row r="293" spans="1:19" ht="31.5">
      <c r="A293" s="83">
        <v>1448</v>
      </c>
      <c r="B293" s="141">
        <v>45810</v>
      </c>
      <c r="C293" s="18" t="s">
        <v>5</v>
      </c>
      <c r="D293" s="21" t="s">
        <v>115</v>
      </c>
      <c r="E293" s="21" t="s">
        <v>1769</v>
      </c>
      <c r="F293" s="20" t="s">
        <v>23</v>
      </c>
      <c r="G293" s="18" t="str">
        <f>C293</f>
        <v>ECE</v>
      </c>
      <c r="H293" s="86">
        <v>10000</v>
      </c>
      <c r="I293" s="149">
        <v>45836</v>
      </c>
      <c r="J293" s="87"/>
      <c r="K293" s="57"/>
      <c r="L293" s="95">
        <v>45996</v>
      </c>
      <c r="M293" s="86">
        <v>78</v>
      </c>
      <c r="N293" s="85"/>
      <c r="O293" s="85"/>
      <c r="P293" s="85"/>
      <c r="Q293" s="85"/>
      <c r="R293" s="85"/>
      <c r="S293" s="85"/>
    </row>
    <row r="294" spans="1:19" ht="31.5">
      <c r="A294" s="83">
        <v>1449</v>
      </c>
      <c r="B294" s="141">
        <v>45810</v>
      </c>
      <c r="C294" s="18" t="s">
        <v>5</v>
      </c>
      <c r="D294" s="21" t="s">
        <v>115</v>
      </c>
      <c r="E294" s="21" t="s">
        <v>1768</v>
      </c>
      <c r="F294" s="20" t="s">
        <v>23</v>
      </c>
      <c r="G294" s="18" t="str">
        <f>C294</f>
        <v>ECE</v>
      </c>
      <c r="H294" s="86">
        <v>6000</v>
      </c>
      <c r="I294" s="149">
        <v>45836</v>
      </c>
      <c r="J294" s="87"/>
      <c r="K294" s="57"/>
      <c r="L294" s="86" t="s">
        <v>1767</v>
      </c>
      <c r="M294" s="86">
        <v>78</v>
      </c>
      <c r="N294" s="85"/>
      <c r="O294" s="85"/>
      <c r="P294" s="85"/>
      <c r="Q294" s="85"/>
      <c r="R294" s="85"/>
      <c r="S294" s="85"/>
    </row>
    <row r="295" spans="1:19" ht="47.25">
      <c r="A295" s="83">
        <v>1450</v>
      </c>
      <c r="B295" s="141">
        <v>45810</v>
      </c>
      <c r="C295" s="18" t="s">
        <v>5</v>
      </c>
      <c r="D295" s="21" t="s">
        <v>115</v>
      </c>
      <c r="E295" s="21" t="s">
        <v>1766</v>
      </c>
      <c r="F295" s="20" t="s">
        <v>324</v>
      </c>
      <c r="G295" s="18" t="str">
        <f>C295</f>
        <v>ECE</v>
      </c>
      <c r="H295" s="86">
        <v>5000</v>
      </c>
      <c r="I295" s="149">
        <v>45836</v>
      </c>
      <c r="J295" s="87"/>
      <c r="K295" s="57"/>
      <c r="L295" s="86" t="s">
        <v>1706</v>
      </c>
      <c r="M295" s="86">
        <v>78</v>
      </c>
      <c r="N295" s="85"/>
      <c r="O295" s="85"/>
      <c r="P295" s="85"/>
      <c r="Q295" s="85"/>
      <c r="R295" s="85"/>
      <c r="S295" s="85"/>
    </row>
    <row r="296" spans="1:19" ht="31.5">
      <c r="A296" s="83">
        <v>1451</v>
      </c>
      <c r="B296" s="141">
        <v>45794</v>
      </c>
      <c r="C296" s="18" t="s">
        <v>5</v>
      </c>
      <c r="D296" s="21" t="s">
        <v>262</v>
      </c>
      <c r="E296" s="21" t="s">
        <v>1765</v>
      </c>
      <c r="F296" s="20" t="s">
        <v>16</v>
      </c>
      <c r="G296" s="18" t="str">
        <f>C296</f>
        <v>ECE</v>
      </c>
      <c r="H296" s="86">
        <v>1800</v>
      </c>
      <c r="I296" s="149">
        <v>45836</v>
      </c>
      <c r="J296" s="87"/>
      <c r="K296" s="57"/>
      <c r="L296" s="86" t="s">
        <v>1477</v>
      </c>
      <c r="M296" s="86">
        <v>78</v>
      </c>
      <c r="N296" s="85"/>
      <c r="O296" s="85"/>
      <c r="P296" s="85"/>
      <c r="Q296" s="85"/>
      <c r="R296" s="85"/>
      <c r="S296" s="85"/>
    </row>
    <row r="297" spans="1:19" ht="15.75">
      <c r="A297" s="83">
        <v>1452</v>
      </c>
      <c r="B297" s="141">
        <v>45794</v>
      </c>
      <c r="C297" s="18" t="s">
        <v>5</v>
      </c>
      <c r="D297" s="21" t="s">
        <v>262</v>
      </c>
      <c r="E297" s="21" t="s">
        <v>1764</v>
      </c>
      <c r="F297" s="20" t="s">
        <v>16</v>
      </c>
      <c r="G297" s="18" t="str">
        <f>C297</f>
        <v>ECE</v>
      </c>
      <c r="H297" s="86">
        <v>1800</v>
      </c>
      <c r="I297" s="149">
        <v>45836</v>
      </c>
      <c r="J297" s="87"/>
      <c r="K297" s="57"/>
      <c r="L297" s="86" t="s">
        <v>1763</v>
      </c>
      <c r="M297" s="86">
        <v>78</v>
      </c>
      <c r="N297" s="85"/>
      <c r="O297" s="85"/>
      <c r="P297" s="85"/>
      <c r="Q297" s="85"/>
      <c r="R297" s="85"/>
      <c r="S297" s="85"/>
    </row>
    <row r="298" spans="1:19" ht="15.75">
      <c r="A298" s="83">
        <v>1453</v>
      </c>
      <c r="B298" s="141">
        <v>45810</v>
      </c>
      <c r="C298" s="18" t="s">
        <v>5</v>
      </c>
      <c r="D298" s="21" t="s">
        <v>115</v>
      </c>
      <c r="E298" s="21" t="s">
        <v>1762</v>
      </c>
      <c r="F298" s="20" t="s">
        <v>193</v>
      </c>
      <c r="G298" s="18" t="str">
        <f>C298</f>
        <v>ECE</v>
      </c>
      <c r="H298" s="86">
        <v>20000</v>
      </c>
      <c r="I298" s="149">
        <v>45836</v>
      </c>
      <c r="J298" s="87"/>
      <c r="K298" s="57"/>
      <c r="L298" s="95">
        <v>45694</v>
      </c>
      <c r="M298" s="86">
        <v>78</v>
      </c>
      <c r="N298" s="85"/>
      <c r="O298" s="85"/>
      <c r="P298" s="85"/>
      <c r="Q298" s="85"/>
      <c r="R298" s="85"/>
      <c r="S298" s="85"/>
    </row>
    <row r="299" spans="1:19" ht="47.25">
      <c r="A299" s="83">
        <v>1454</v>
      </c>
      <c r="B299" s="141">
        <v>45805</v>
      </c>
      <c r="C299" s="18" t="s">
        <v>0</v>
      </c>
      <c r="D299" s="21" t="s">
        <v>249</v>
      </c>
      <c r="E299" s="21" t="s">
        <v>1761</v>
      </c>
      <c r="F299" s="20" t="s">
        <v>23</v>
      </c>
      <c r="G299" s="18" t="str">
        <f>C299</f>
        <v>Maths</v>
      </c>
      <c r="H299" s="86">
        <v>6000</v>
      </c>
      <c r="I299" s="149">
        <v>45836</v>
      </c>
      <c r="J299" s="87"/>
      <c r="K299" s="57"/>
      <c r="L299" s="86" t="s">
        <v>1760</v>
      </c>
      <c r="M299" s="86">
        <v>78</v>
      </c>
      <c r="N299" s="85"/>
      <c r="O299" s="85"/>
      <c r="P299" s="85"/>
      <c r="Q299" s="85"/>
      <c r="R299" s="85"/>
      <c r="S299" s="85"/>
    </row>
    <row r="300" spans="1:19" ht="15.75">
      <c r="A300" s="83">
        <v>1455</v>
      </c>
      <c r="B300" s="141">
        <v>45812</v>
      </c>
      <c r="C300" s="18" t="s">
        <v>7</v>
      </c>
      <c r="D300" s="21" t="s">
        <v>1746</v>
      </c>
      <c r="E300" s="21" t="s">
        <v>1759</v>
      </c>
      <c r="F300" s="20" t="s">
        <v>16</v>
      </c>
      <c r="G300" s="18" t="str">
        <f>C300</f>
        <v>CSBS</v>
      </c>
      <c r="H300" s="86">
        <v>1800</v>
      </c>
      <c r="I300" s="149">
        <v>45836</v>
      </c>
      <c r="J300" s="87"/>
      <c r="K300" s="57"/>
      <c r="L300" s="95">
        <v>45994</v>
      </c>
      <c r="M300" s="86">
        <v>78</v>
      </c>
      <c r="N300" s="85"/>
      <c r="O300" s="85"/>
      <c r="P300" s="85"/>
      <c r="Q300" s="85"/>
      <c r="R300" s="85"/>
      <c r="S300" s="85"/>
    </row>
    <row r="301" spans="1:19" ht="47.25">
      <c r="A301" s="83">
        <v>1456</v>
      </c>
      <c r="B301" s="141">
        <v>45796</v>
      </c>
      <c r="C301" s="18" t="s">
        <v>8</v>
      </c>
      <c r="D301" s="21" t="s">
        <v>1276</v>
      </c>
      <c r="E301" s="21" t="s">
        <v>1758</v>
      </c>
      <c r="F301" s="20" t="s">
        <v>16</v>
      </c>
      <c r="G301" s="18" t="str">
        <f>C301</f>
        <v>CCE</v>
      </c>
      <c r="H301" s="86">
        <v>3000</v>
      </c>
      <c r="I301" s="149">
        <v>45836</v>
      </c>
      <c r="J301" s="87"/>
      <c r="K301" s="57"/>
      <c r="L301" s="86" t="s">
        <v>1757</v>
      </c>
      <c r="M301" s="86">
        <v>78</v>
      </c>
      <c r="N301" s="85"/>
      <c r="O301" s="85"/>
      <c r="P301" s="85"/>
      <c r="Q301" s="85"/>
      <c r="R301" s="85"/>
      <c r="S301" s="85"/>
    </row>
    <row r="302" spans="1:19" ht="15.75">
      <c r="A302" s="83">
        <v>1457</v>
      </c>
      <c r="B302" s="141">
        <v>45813</v>
      </c>
      <c r="C302" s="18" t="s">
        <v>1</v>
      </c>
      <c r="D302" s="21" t="s">
        <v>902</v>
      </c>
      <c r="E302" s="21" t="s">
        <v>1756</v>
      </c>
      <c r="F302" s="20" t="s">
        <v>324</v>
      </c>
      <c r="G302" s="18" t="str">
        <f>C302</f>
        <v>S&amp;H</v>
      </c>
      <c r="H302" s="86">
        <v>5000</v>
      </c>
      <c r="I302" s="149">
        <v>45836</v>
      </c>
      <c r="J302" s="87"/>
      <c r="K302" s="57"/>
      <c r="L302" s="86" t="s">
        <v>1755</v>
      </c>
      <c r="M302" s="86">
        <v>78</v>
      </c>
      <c r="N302" s="85"/>
      <c r="O302" s="85"/>
      <c r="P302" s="85"/>
      <c r="Q302" s="85"/>
      <c r="R302" s="85"/>
      <c r="S302" s="85"/>
    </row>
    <row r="303" spans="1:19" ht="15.75">
      <c r="A303" s="83">
        <v>1458</v>
      </c>
      <c r="B303" s="141">
        <v>45813</v>
      </c>
      <c r="C303" s="18" t="s">
        <v>1</v>
      </c>
      <c r="D303" s="21" t="s">
        <v>902</v>
      </c>
      <c r="E303" s="21" t="s">
        <v>393</v>
      </c>
      <c r="F303" s="20" t="s">
        <v>193</v>
      </c>
      <c r="G303" s="18" t="str">
        <f>C303</f>
        <v>S&amp;H</v>
      </c>
      <c r="H303" s="86">
        <v>2000</v>
      </c>
      <c r="I303" s="149">
        <v>45836</v>
      </c>
      <c r="J303" s="87"/>
      <c r="K303" s="57"/>
      <c r="L303" s="150">
        <v>45694</v>
      </c>
      <c r="M303" s="86">
        <v>78</v>
      </c>
      <c r="N303" s="85"/>
      <c r="O303" s="85"/>
      <c r="P303" s="85"/>
      <c r="Q303" s="85"/>
      <c r="R303" s="85"/>
      <c r="S303" s="85"/>
    </row>
    <row r="304" spans="1:19" ht="31.5">
      <c r="A304" s="83">
        <v>1459</v>
      </c>
      <c r="B304" s="141">
        <v>45799</v>
      </c>
      <c r="C304" s="18" t="s">
        <v>1</v>
      </c>
      <c r="D304" s="21" t="s">
        <v>886</v>
      </c>
      <c r="E304" s="21" t="s">
        <v>1754</v>
      </c>
      <c r="F304" s="20" t="s">
        <v>324</v>
      </c>
      <c r="G304" s="18" t="str">
        <f>C304</f>
        <v>S&amp;H</v>
      </c>
      <c r="H304" s="86">
        <v>5000</v>
      </c>
      <c r="I304" s="149">
        <v>45836</v>
      </c>
      <c r="J304" s="87"/>
      <c r="K304" s="57"/>
      <c r="L304" s="86" t="s">
        <v>1753</v>
      </c>
      <c r="M304" s="86">
        <v>78</v>
      </c>
      <c r="N304" s="85"/>
      <c r="O304" s="85"/>
      <c r="P304" s="85"/>
      <c r="Q304" s="85"/>
      <c r="R304" s="85"/>
      <c r="S304" s="85"/>
    </row>
    <row r="305" spans="1:19" ht="15.75">
      <c r="A305" s="83">
        <v>1460</v>
      </c>
      <c r="B305" s="141">
        <v>45813</v>
      </c>
      <c r="C305" s="18" t="s">
        <v>5</v>
      </c>
      <c r="D305" s="21" t="s">
        <v>826</v>
      </c>
      <c r="E305" s="21" t="s">
        <v>1752</v>
      </c>
      <c r="F305" s="20" t="s">
        <v>16</v>
      </c>
      <c r="G305" s="18" t="str">
        <f>C305</f>
        <v>ECE</v>
      </c>
      <c r="H305" s="86">
        <v>1800</v>
      </c>
      <c r="I305" s="149">
        <v>45836</v>
      </c>
      <c r="J305" s="87"/>
      <c r="K305" s="57"/>
      <c r="L305" s="95">
        <v>45783</v>
      </c>
      <c r="M305" s="86">
        <v>78</v>
      </c>
      <c r="N305" s="85"/>
      <c r="O305" s="85"/>
      <c r="P305" s="85"/>
      <c r="Q305" s="85"/>
      <c r="R305" s="85"/>
      <c r="S305" s="85"/>
    </row>
    <row r="306" spans="1:19" ht="47.25">
      <c r="A306" s="83">
        <v>1461</v>
      </c>
      <c r="B306" s="141">
        <v>45813</v>
      </c>
      <c r="C306" s="18" t="s">
        <v>5</v>
      </c>
      <c r="D306" s="21" t="s">
        <v>112</v>
      </c>
      <c r="E306" s="21" t="s">
        <v>1751</v>
      </c>
      <c r="F306" s="20" t="s">
        <v>324</v>
      </c>
      <c r="G306" s="18" t="str">
        <f>C306</f>
        <v>ECE</v>
      </c>
      <c r="H306" s="86">
        <v>5000</v>
      </c>
      <c r="I306" s="149">
        <v>45836</v>
      </c>
      <c r="J306" s="87"/>
      <c r="K306" s="57"/>
      <c r="L306" s="86">
        <v>2024</v>
      </c>
      <c r="M306" s="86">
        <v>78</v>
      </c>
      <c r="N306" s="85"/>
      <c r="O306" s="85"/>
      <c r="P306" s="85"/>
      <c r="Q306" s="85"/>
      <c r="R306" s="85"/>
      <c r="S306" s="85"/>
    </row>
    <row r="307" spans="1:19" ht="31.5">
      <c r="A307" s="83">
        <v>1462</v>
      </c>
      <c r="B307" s="141">
        <v>45813</v>
      </c>
      <c r="C307" s="18" t="s">
        <v>5</v>
      </c>
      <c r="D307" s="21" t="s">
        <v>112</v>
      </c>
      <c r="E307" s="21" t="s">
        <v>1750</v>
      </c>
      <c r="F307" s="20" t="s">
        <v>16</v>
      </c>
      <c r="G307" s="18" t="str">
        <f>C307</f>
        <v>ECE</v>
      </c>
      <c r="H307" s="86">
        <v>1800</v>
      </c>
      <c r="I307" s="149">
        <v>45836</v>
      </c>
      <c r="J307" s="87"/>
      <c r="K307" s="57"/>
      <c r="L307" s="86" t="s">
        <v>1672</v>
      </c>
      <c r="M307" s="86">
        <v>78</v>
      </c>
      <c r="N307" s="85"/>
      <c r="O307" s="85"/>
      <c r="P307" s="85"/>
      <c r="Q307" s="85"/>
      <c r="R307" s="85"/>
      <c r="S307" s="85"/>
    </row>
    <row r="308" spans="1:19" ht="15.75">
      <c r="A308" s="83">
        <v>1463</v>
      </c>
      <c r="B308" s="141">
        <v>45813</v>
      </c>
      <c r="C308" s="18" t="s">
        <v>5</v>
      </c>
      <c r="D308" s="21" t="s">
        <v>112</v>
      </c>
      <c r="E308" s="21" t="s">
        <v>1455</v>
      </c>
      <c r="F308" s="20" t="s">
        <v>193</v>
      </c>
      <c r="G308" s="18" t="str">
        <f>C308</f>
        <v>ECE</v>
      </c>
      <c r="H308" s="86">
        <v>4000</v>
      </c>
      <c r="I308" s="149">
        <v>45836</v>
      </c>
      <c r="J308" s="87"/>
      <c r="K308" s="57"/>
      <c r="L308" s="95">
        <v>45783</v>
      </c>
      <c r="M308" s="86">
        <v>78</v>
      </c>
      <c r="N308" s="85"/>
      <c r="O308" s="85"/>
      <c r="P308" s="85"/>
      <c r="Q308" s="85"/>
      <c r="R308" s="85"/>
      <c r="S308" s="85"/>
    </row>
    <row r="309" spans="1:19" ht="31.5">
      <c r="A309" s="83">
        <v>1464</v>
      </c>
      <c r="B309" s="141">
        <v>45813</v>
      </c>
      <c r="C309" s="18" t="s">
        <v>5</v>
      </c>
      <c r="D309" s="21" t="s">
        <v>1002</v>
      </c>
      <c r="E309" s="21" t="s">
        <v>1749</v>
      </c>
      <c r="F309" s="20" t="s">
        <v>324</v>
      </c>
      <c r="G309" s="18" t="str">
        <f>C309</f>
        <v>ECE</v>
      </c>
      <c r="H309" s="86">
        <v>5000</v>
      </c>
      <c r="I309" s="149">
        <v>45836</v>
      </c>
      <c r="J309" s="87"/>
      <c r="K309" s="57"/>
      <c r="L309" s="86">
        <v>2025</v>
      </c>
      <c r="M309" s="86">
        <v>78</v>
      </c>
      <c r="N309" s="85"/>
      <c r="O309" s="85"/>
      <c r="P309" s="85"/>
      <c r="Q309" s="85"/>
      <c r="R309" s="85"/>
      <c r="S309" s="85"/>
    </row>
    <row r="310" spans="1:19" ht="31.5">
      <c r="A310" s="83">
        <v>1465</v>
      </c>
      <c r="B310" s="141">
        <v>45813</v>
      </c>
      <c r="C310" s="18" t="s">
        <v>5</v>
      </c>
      <c r="D310" s="21" t="s">
        <v>1002</v>
      </c>
      <c r="E310" s="21" t="s">
        <v>1748</v>
      </c>
      <c r="F310" s="20" t="s">
        <v>16</v>
      </c>
      <c r="G310" s="18" t="str">
        <f>C310</f>
        <v>ECE</v>
      </c>
      <c r="H310" s="86">
        <v>3000</v>
      </c>
      <c r="I310" s="149">
        <v>45836</v>
      </c>
      <c r="J310" s="87"/>
      <c r="K310" s="57"/>
      <c r="L310" s="95">
        <v>45932</v>
      </c>
      <c r="M310" s="86">
        <v>78</v>
      </c>
      <c r="N310" s="85"/>
      <c r="O310" s="85"/>
      <c r="P310" s="85"/>
      <c r="Q310" s="85"/>
      <c r="R310" s="85"/>
      <c r="S310" s="85"/>
    </row>
    <row r="311" spans="1:19" ht="15.75">
      <c r="A311" s="83">
        <v>1466</v>
      </c>
      <c r="B311" s="141">
        <v>45813</v>
      </c>
      <c r="C311" s="18" t="s">
        <v>5</v>
      </c>
      <c r="D311" s="21" t="s">
        <v>1002</v>
      </c>
      <c r="E311" s="21" t="s">
        <v>1455</v>
      </c>
      <c r="F311" s="20" t="s">
        <v>193</v>
      </c>
      <c r="G311" s="18" t="str">
        <f>C311</f>
        <v>ECE</v>
      </c>
      <c r="H311" s="86">
        <v>4000</v>
      </c>
      <c r="I311" s="149">
        <v>45836</v>
      </c>
      <c r="J311" s="87"/>
      <c r="K311" s="57"/>
      <c r="L311" s="95">
        <v>45783</v>
      </c>
      <c r="M311" s="86">
        <v>78</v>
      </c>
      <c r="N311" s="85"/>
      <c r="O311" s="85"/>
      <c r="P311" s="85"/>
      <c r="Q311" s="85"/>
      <c r="R311" s="85"/>
      <c r="S311" s="85"/>
    </row>
    <row r="312" spans="1:19" ht="31.5">
      <c r="A312" s="83">
        <v>1467</v>
      </c>
      <c r="B312" s="141">
        <v>45817</v>
      </c>
      <c r="C312" s="18" t="s">
        <v>4</v>
      </c>
      <c r="D312" s="21" t="s">
        <v>772</v>
      </c>
      <c r="E312" s="21" t="s">
        <v>1747</v>
      </c>
      <c r="F312" s="20" t="s">
        <v>324</v>
      </c>
      <c r="G312" s="18" t="str">
        <f>C312</f>
        <v>EEE</v>
      </c>
      <c r="H312" s="86">
        <v>3000</v>
      </c>
      <c r="I312" s="149">
        <v>45836</v>
      </c>
      <c r="J312" s="87"/>
      <c r="K312" s="57"/>
      <c r="L312" s="95">
        <v>45906</v>
      </c>
      <c r="M312" s="86">
        <v>78</v>
      </c>
      <c r="N312" s="85"/>
      <c r="O312" s="85"/>
      <c r="P312" s="85"/>
      <c r="Q312" s="85"/>
      <c r="R312" s="85"/>
      <c r="S312" s="85"/>
    </row>
    <row r="313" spans="1:19" ht="15.75">
      <c r="A313" s="83">
        <v>1468</v>
      </c>
      <c r="B313" s="141">
        <v>45812</v>
      </c>
      <c r="C313" s="18" t="s">
        <v>7</v>
      </c>
      <c r="D313" s="21" t="s">
        <v>1746</v>
      </c>
      <c r="E313" s="21" t="s">
        <v>1745</v>
      </c>
      <c r="F313" s="20" t="s">
        <v>16</v>
      </c>
      <c r="G313" s="18" t="str">
        <f>C313</f>
        <v>CSBS</v>
      </c>
      <c r="H313" s="86">
        <v>1800</v>
      </c>
      <c r="I313" s="149">
        <v>45836</v>
      </c>
      <c r="J313" s="87"/>
      <c r="K313" s="57"/>
      <c r="L313" s="95">
        <v>45994</v>
      </c>
      <c r="M313" s="86">
        <v>78</v>
      </c>
      <c r="N313" s="85"/>
      <c r="O313" s="85"/>
      <c r="P313" s="85"/>
      <c r="Q313" s="85"/>
      <c r="R313" s="85"/>
      <c r="S313" s="85"/>
    </row>
    <row r="314" spans="1:19" ht="31.5">
      <c r="A314" s="83">
        <v>1469</v>
      </c>
      <c r="B314" s="141">
        <v>45824</v>
      </c>
      <c r="C314" s="18" t="s">
        <v>1</v>
      </c>
      <c r="D314" s="21" t="s">
        <v>1744</v>
      </c>
      <c r="E314" s="21" t="s">
        <v>1743</v>
      </c>
      <c r="F314" s="20" t="s">
        <v>23</v>
      </c>
      <c r="G314" s="18" t="str">
        <f>C314</f>
        <v>S&amp;H</v>
      </c>
      <c r="H314" s="86">
        <v>6000</v>
      </c>
      <c r="I314" s="149">
        <v>45836</v>
      </c>
      <c r="J314" s="87"/>
      <c r="K314" s="57"/>
      <c r="L314" s="86" t="s">
        <v>1742</v>
      </c>
      <c r="M314" s="86">
        <v>78</v>
      </c>
      <c r="N314" s="85"/>
      <c r="O314" s="85"/>
      <c r="P314" s="85"/>
      <c r="Q314" s="85"/>
      <c r="R314" s="85"/>
      <c r="S314" s="85"/>
    </row>
    <row r="315" spans="1:19" ht="31.5">
      <c r="A315" s="83">
        <v>1470</v>
      </c>
      <c r="B315" s="141">
        <v>45796</v>
      </c>
      <c r="C315" s="18" t="s">
        <v>2</v>
      </c>
      <c r="D315" s="21" t="s">
        <v>93</v>
      </c>
      <c r="E315" s="21" t="s">
        <v>1741</v>
      </c>
      <c r="F315" s="20" t="s">
        <v>23</v>
      </c>
      <c r="G315" s="18" t="str">
        <f>C315</f>
        <v>Mech</v>
      </c>
      <c r="H315" s="86">
        <v>12000</v>
      </c>
      <c r="I315" s="149">
        <v>45836</v>
      </c>
      <c r="J315" s="87" t="s">
        <v>1740</v>
      </c>
      <c r="K315" s="57"/>
      <c r="L315" s="86" t="s">
        <v>1738</v>
      </c>
      <c r="M315" s="86">
        <v>78</v>
      </c>
      <c r="N315" s="85"/>
      <c r="O315" s="85"/>
      <c r="P315" s="85"/>
      <c r="Q315" s="85"/>
      <c r="R315" s="85"/>
      <c r="S315" s="85"/>
    </row>
    <row r="316" spans="1:19" ht="15.75">
      <c r="A316" s="83">
        <v>1471</v>
      </c>
      <c r="B316" s="141">
        <v>45796</v>
      </c>
      <c r="C316" s="18" t="s">
        <v>2</v>
      </c>
      <c r="D316" s="21" t="s">
        <v>93</v>
      </c>
      <c r="E316" s="21" t="s">
        <v>1739</v>
      </c>
      <c r="F316" s="20" t="s">
        <v>193</v>
      </c>
      <c r="G316" s="18" t="str">
        <f>C316</f>
        <v>Mech</v>
      </c>
      <c r="H316" s="86">
        <v>24000</v>
      </c>
      <c r="I316" s="149">
        <v>45836</v>
      </c>
      <c r="J316" s="87"/>
      <c r="K316" s="57"/>
      <c r="L316" s="86" t="s">
        <v>1738</v>
      </c>
      <c r="M316" s="86">
        <v>78</v>
      </c>
      <c r="N316" s="85"/>
      <c r="O316" s="85"/>
      <c r="P316" s="85"/>
      <c r="Q316" s="85"/>
      <c r="R316" s="85"/>
      <c r="S316" s="85"/>
    </row>
    <row r="317" spans="1:19" ht="47.25">
      <c r="A317" s="83">
        <v>1472</v>
      </c>
      <c r="B317" s="141">
        <v>45805</v>
      </c>
      <c r="C317" s="18" t="s">
        <v>2</v>
      </c>
      <c r="D317" s="21" t="s">
        <v>93</v>
      </c>
      <c r="E317" s="21" t="s">
        <v>1737</v>
      </c>
      <c r="F317" s="20" t="s">
        <v>193</v>
      </c>
      <c r="G317" s="18" t="str">
        <f>C317</f>
        <v>Mech</v>
      </c>
      <c r="H317" s="86">
        <v>10000</v>
      </c>
      <c r="I317" s="149">
        <v>45836</v>
      </c>
      <c r="J317" s="87"/>
      <c r="K317" s="57"/>
      <c r="L317" s="86" t="s">
        <v>1736</v>
      </c>
      <c r="M317" s="86">
        <v>78</v>
      </c>
      <c r="N317" s="85"/>
      <c r="O317" s="85"/>
      <c r="P317" s="85"/>
      <c r="Q317" s="85"/>
      <c r="R317" s="85"/>
      <c r="S317" s="85"/>
    </row>
    <row r="318" spans="1:19" ht="15.75">
      <c r="A318" s="83">
        <v>1473</v>
      </c>
      <c r="B318" s="141">
        <v>45825</v>
      </c>
      <c r="C318" s="18" t="s">
        <v>1</v>
      </c>
      <c r="D318" s="21" t="s">
        <v>167</v>
      </c>
      <c r="E318" s="21" t="s">
        <v>1455</v>
      </c>
      <c r="F318" s="20" t="s">
        <v>193</v>
      </c>
      <c r="G318" s="18" t="str">
        <f>C318</f>
        <v>S&amp;H</v>
      </c>
      <c r="H318" s="86">
        <v>4000</v>
      </c>
      <c r="I318" s="149">
        <v>45836</v>
      </c>
      <c r="J318" s="87"/>
      <c r="K318" s="57"/>
      <c r="L318" s="86" t="s">
        <v>1704</v>
      </c>
      <c r="M318" s="86">
        <v>78</v>
      </c>
      <c r="N318" s="85"/>
      <c r="O318" s="85"/>
      <c r="P318" s="85"/>
      <c r="Q318" s="85"/>
      <c r="R318" s="85"/>
      <c r="S318" s="85"/>
    </row>
    <row r="319" spans="1:19" ht="47.25">
      <c r="A319" s="83">
        <v>1474</v>
      </c>
      <c r="B319" s="141">
        <v>45824</v>
      </c>
      <c r="C319" s="18" t="s">
        <v>2</v>
      </c>
      <c r="D319" s="21" t="s">
        <v>209</v>
      </c>
      <c r="E319" s="21" t="s">
        <v>1735</v>
      </c>
      <c r="F319" s="20" t="s">
        <v>187</v>
      </c>
      <c r="G319" s="18" t="str">
        <f>C319</f>
        <v>Mech</v>
      </c>
      <c r="H319" s="86">
        <v>1800</v>
      </c>
      <c r="I319" s="149">
        <v>45836</v>
      </c>
      <c r="J319" s="87"/>
      <c r="K319" s="57"/>
      <c r="L319" s="86" t="s">
        <v>1734</v>
      </c>
      <c r="M319" s="86">
        <v>78</v>
      </c>
      <c r="N319" s="85"/>
      <c r="O319" s="85"/>
      <c r="P319" s="85"/>
      <c r="Q319" s="85"/>
      <c r="R319" s="85"/>
      <c r="S319" s="85"/>
    </row>
    <row r="320" spans="1:19" ht="31.5">
      <c r="A320" s="83">
        <v>1475</v>
      </c>
      <c r="B320" s="141">
        <v>45818</v>
      </c>
      <c r="C320" s="18" t="s">
        <v>6</v>
      </c>
      <c r="D320" s="21" t="s">
        <v>247</v>
      </c>
      <c r="E320" s="21" t="s">
        <v>1733</v>
      </c>
      <c r="F320" s="20" t="s">
        <v>16</v>
      </c>
      <c r="G320" s="18" t="str">
        <f>C320</f>
        <v>CSE</v>
      </c>
      <c r="H320" s="86">
        <v>1800</v>
      </c>
      <c r="I320" s="149">
        <v>45836</v>
      </c>
      <c r="J320" s="87"/>
      <c r="K320" s="57"/>
      <c r="L320" s="86" t="s">
        <v>1732</v>
      </c>
      <c r="M320" s="86">
        <v>78</v>
      </c>
      <c r="N320" s="85"/>
      <c r="O320" s="85"/>
      <c r="P320" s="85"/>
      <c r="Q320" s="85"/>
      <c r="R320" s="85"/>
      <c r="S320" s="85"/>
    </row>
    <row r="321" spans="1:19" ht="31.5">
      <c r="A321" s="83">
        <v>1476</v>
      </c>
      <c r="B321" s="141">
        <v>45824</v>
      </c>
      <c r="C321" s="18" t="s">
        <v>3</v>
      </c>
      <c r="D321" s="21" t="s">
        <v>1731</v>
      </c>
      <c r="E321" s="21" t="s">
        <v>1730</v>
      </c>
      <c r="F321" s="20" t="s">
        <v>23</v>
      </c>
      <c r="G321" s="18" t="str">
        <f>C321</f>
        <v>IT</v>
      </c>
      <c r="H321" s="86">
        <v>6000</v>
      </c>
      <c r="I321" s="149">
        <v>45836</v>
      </c>
      <c r="J321" s="87"/>
      <c r="K321" s="57"/>
      <c r="L321" s="86" t="s">
        <v>1729</v>
      </c>
      <c r="M321" s="86">
        <v>78</v>
      </c>
      <c r="N321" s="85"/>
      <c r="O321" s="85"/>
      <c r="P321" s="85"/>
      <c r="Q321" s="85"/>
      <c r="R321" s="85"/>
      <c r="S321" s="85"/>
    </row>
    <row r="322" spans="1:19" ht="47.25">
      <c r="A322" s="83">
        <v>1477</v>
      </c>
      <c r="B322" s="141">
        <v>45736</v>
      </c>
      <c r="C322" s="18" t="s">
        <v>7</v>
      </c>
      <c r="D322" s="21" t="s">
        <v>1728</v>
      </c>
      <c r="E322" s="21" t="s">
        <v>1727</v>
      </c>
      <c r="F322" s="20" t="s">
        <v>23</v>
      </c>
      <c r="G322" s="18" t="str">
        <f>C322</f>
        <v>CSBS</v>
      </c>
      <c r="H322" s="86">
        <v>6000</v>
      </c>
      <c r="I322" s="149">
        <v>45836</v>
      </c>
      <c r="J322" s="87"/>
      <c r="K322" s="57"/>
      <c r="L322" s="95">
        <v>45717</v>
      </c>
      <c r="M322" s="86">
        <v>78</v>
      </c>
      <c r="N322" s="85"/>
      <c r="O322" s="85"/>
      <c r="P322" s="85"/>
      <c r="Q322" s="85"/>
      <c r="R322" s="85"/>
      <c r="S322" s="85"/>
    </row>
    <row r="323" spans="1:19" ht="15.75">
      <c r="A323" s="46"/>
      <c r="B323" s="141"/>
      <c r="C323" s="46"/>
      <c r="D323" s="46"/>
      <c r="E323" s="46" t="s">
        <v>11</v>
      </c>
      <c r="F323" s="42"/>
      <c r="G323" s="90"/>
      <c r="H323" s="89">
        <f>SUM(H281:H322)</f>
        <v>214300</v>
      </c>
      <c r="I323" s="42" t="s">
        <v>718</v>
      </c>
      <c r="J323" s="42"/>
      <c r="K323" s="45">
        <f>H323</f>
        <v>214300</v>
      </c>
      <c r="L323" s="42"/>
      <c r="M323" s="46">
        <v>78</v>
      </c>
      <c r="N323" s="88"/>
      <c r="O323" s="88"/>
      <c r="P323" s="88"/>
      <c r="Q323" s="88"/>
      <c r="R323" s="88"/>
      <c r="S323" s="88"/>
    </row>
    <row r="324" spans="1:19" ht="31.5">
      <c r="A324" s="83">
        <v>1478</v>
      </c>
      <c r="B324" s="141">
        <v>45831</v>
      </c>
      <c r="C324" s="18" t="s">
        <v>36</v>
      </c>
      <c r="D324" s="21" t="s">
        <v>1376</v>
      </c>
      <c r="E324" s="21" t="s">
        <v>1726</v>
      </c>
      <c r="F324" s="20" t="s">
        <v>16</v>
      </c>
      <c r="G324" s="18" t="str">
        <f>C324</f>
        <v>AIDS</v>
      </c>
      <c r="H324" s="86">
        <v>1800</v>
      </c>
      <c r="I324" s="149">
        <v>45849</v>
      </c>
      <c r="J324" s="87"/>
      <c r="K324" s="57"/>
      <c r="L324" s="95">
        <v>45363</v>
      </c>
      <c r="M324" s="86">
        <v>79</v>
      </c>
      <c r="N324" s="85"/>
      <c r="O324" s="85"/>
      <c r="P324" s="85"/>
      <c r="Q324" s="85"/>
      <c r="R324" s="85"/>
      <c r="S324" s="85"/>
    </row>
    <row r="325" spans="1:19" ht="31.5">
      <c r="A325" s="83">
        <v>1479</v>
      </c>
      <c r="B325" s="141">
        <v>45829</v>
      </c>
      <c r="C325" s="18" t="s">
        <v>36</v>
      </c>
      <c r="D325" s="21" t="s">
        <v>275</v>
      </c>
      <c r="E325" s="21" t="s">
        <v>1725</v>
      </c>
      <c r="F325" s="20" t="s">
        <v>23</v>
      </c>
      <c r="G325" s="18" t="str">
        <f>C325</f>
        <v>AIDS</v>
      </c>
      <c r="H325" s="86">
        <v>10000</v>
      </c>
      <c r="I325" s="149">
        <v>45849</v>
      </c>
      <c r="J325" s="87"/>
      <c r="K325" s="57"/>
      <c r="L325" s="86" t="s">
        <v>1724</v>
      </c>
      <c r="M325" s="86">
        <v>79</v>
      </c>
      <c r="N325" s="85"/>
      <c r="O325" s="85"/>
      <c r="P325" s="85"/>
      <c r="Q325" s="85"/>
      <c r="R325" s="85"/>
      <c r="S325" s="85"/>
    </row>
    <row r="326" spans="1:19" ht="31.5">
      <c r="A326" s="83">
        <v>1480</v>
      </c>
      <c r="B326" s="141">
        <v>45832</v>
      </c>
      <c r="C326" s="18" t="s">
        <v>36</v>
      </c>
      <c r="D326" s="21" t="s">
        <v>1721</v>
      </c>
      <c r="E326" s="21" t="s">
        <v>1723</v>
      </c>
      <c r="F326" s="20" t="s">
        <v>16</v>
      </c>
      <c r="G326" s="18" t="str">
        <f>C326</f>
        <v>AIDS</v>
      </c>
      <c r="H326" s="86">
        <v>3000</v>
      </c>
      <c r="I326" s="149">
        <v>45849</v>
      </c>
      <c r="J326" s="87"/>
      <c r="K326" s="57"/>
      <c r="L326" s="95">
        <v>45810</v>
      </c>
      <c r="M326" s="86">
        <v>79</v>
      </c>
      <c r="N326" s="85"/>
      <c r="O326" s="85"/>
      <c r="P326" s="85"/>
      <c r="Q326" s="85"/>
      <c r="R326" s="85"/>
      <c r="S326" s="85"/>
    </row>
    <row r="327" spans="1:19" ht="31.5">
      <c r="A327" s="83">
        <v>1481</v>
      </c>
      <c r="B327" s="141">
        <v>45832</v>
      </c>
      <c r="C327" s="18" t="s">
        <v>36</v>
      </c>
      <c r="D327" s="21" t="s">
        <v>1721</v>
      </c>
      <c r="E327" s="21" t="s">
        <v>1722</v>
      </c>
      <c r="F327" s="20" t="s">
        <v>16</v>
      </c>
      <c r="G327" s="18" t="str">
        <f>C327</f>
        <v>AIDS</v>
      </c>
      <c r="H327" s="86">
        <v>1800</v>
      </c>
      <c r="I327" s="149">
        <v>45849</v>
      </c>
      <c r="J327" s="87"/>
      <c r="K327" s="57"/>
      <c r="L327" s="86" t="s">
        <v>1477</v>
      </c>
      <c r="M327" s="86">
        <v>79</v>
      </c>
      <c r="N327" s="85"/>
      <c r="O327" s="85"/>
      <c r="P327" s="85"/>
      <c r="Q327" s="85"/>
      <c r="R327" s="85"/>
      <c r="S327" s="85"/>
    </row>
    <row r="328" spans="1:19" ht="31.5">
      <c r="A328" s="83">
        <v>1482</v>
      </c>
      <c r="B328" s="141">
        <v>45832</v>
      </c>
      <c r="C328" s="18" t="s">
        <v>36</v>
      </c>
      <c r="D328" s="21" t="s">
        <v>1721</v>
      </c>
      <c r="E328" s="21" t="s">
        <v>1720</v>
      </c>
      <c r="F328" s="20" t="s">
        <v>16</v>
      </c>
      <c r="G328" s="18" t="str">
        <f>C328</f>
        <v>AIDS</v>
      </c>
      <c r="H328" s="86">
        <v>900</v>
      </c>
      <c r="I328" s="149">
        <v>45849</v>
      </c>
      <c r="J328" s="87"/>
      <c r="K328" s="57"/>
      <c r="L328" s="86" t="s">
        <v>1477</v>
      </c>
      <c r="M328" s="86">
        <v>79</v>
      </c>
      <c r="N328" s="85"/>
      <c r="O328" s="85"/>
      <c r="P328" s="85"/>
      <c r="Q328" s="85"/>
      <c r="R328" s="85"/>
      <c r="S328" s="85"/>
    </row>
    <row r="329" spans="1:19" ht="47.25">
      <c r="A329" s="83">
        <v>1483</v>
      </c>
      <c r="B329" s="141">
        <v>45839</v>
      </c>
      <c r="C329" s="18" t="s">
        <v>36</v>
      </c>
      <c r="D329" s="21" t="s">
        <v>1666</v>
      </c>
      <c r="E329" s="21" t="s">
        <v>1719</v>
      </c>
      <c r="F329" s="20" t="s">
        <v>23</v>
      </c>
      <c r="G329" s="18" t="str">
        <f>C329</f>
        <v>AIDS</v>
      </c>
      <c r="H329" s="86">
        <v>6000</v>
      </c>
      <c r="I329" s="149">
        <v>45849</v>
      </c>
      <c r="J329" s="87"/>
      <c r="K329" s="57"/>
      <c r="L329" s="99">
        <v>45505</v>
      </c>
      <c r="M329" s="86">
        <v>79</v>
      </c>
      <c r="N329" s="85"/>
      <c r="O329" s="85"/>
      <c r="P329" s="85"/>
      <c r="Q329" s="85"/>
      <c r="R329" s="85"/>
      <c r="S329" s="85"/>
    </row>
    <row r="330" spans="1:19" ht="31.5">
      <c r="A330" s="83">
        <v>1484</v>
      </c>
      <c r="B330" s="141">
        <v>45838</v>
      </c>
      <c r="C330" s="18" t="s">
        <v>8</v>
      </c>
      <c r="D330" s="21" t="s">
        <v>1635</v>
      </c>
      <c r="E330" s="21" t="s">
        <v>1718</v>
      </c>
      <c r="F330" s="20" t="s">
        <v>16</v>
      </c>
      <c r="G330" s="18" t="str">
        <f>C330</f>
        <v>CCE</v>
      </c>
      <c r="H330" s="86">
        <v>1800</v>
      </c>
      <c r="I330" s="149">
        <v>45849</v>
      </c>
      <c r="J330" s="87"/>
      <c r="K330" s="57"/>
      <c r="L330" s="86" t="s">
        <v>1717</v>
      </c>
      <c r="M330" s="86">
        <v>79</v>
      </c>
      <c r="N330" s="85"/>
      <c r="O330" s="85"/>
      <c r="P330" s="85"/>
      <c r="Q330" s="85"/>
      <c r="R330" s="85"/>
      <c r="S330" s="85"/>
    </row>
    <row r="331" spans="1:19" ht="31.5">
      <c r="A331" s="83">
        <v>1485</v>
      </c>
      <c r="B331" s="141">
        <v>45833</v>
      </c>
      <c r="C331" s="18" t="s">
        <v>5</v>
      </c>
      <c r="D331" s="21" t="s">
        <v>170</v>
      </c>
      <c r="E331" s="21" t="s">
        <v>1716</v>
      </c>
      <c r="F331" s="20" t="s">
        <v>324</v>
      </c>
      <c r="G331" s="18" t="str">
        <f>C331</f>
        <v>ECE</v>
      </c>
      <c r="H331" s="86">
        <v>5000</v>
      </c>
      <c r="I331" s="149">
        <v>45849</v>
      </c>
      <c r="J331" s="87"/>
      <c r="K331" s="57"/>
      <c r="L331" s="86" t="s">
        <v>1715</v>
      </c>
      <c r="M331" s="86">
        <v>79</v>
      </c>
      <c r="N331" s="85"/>
      <c r="O331" s="85"/>
      <c r="P331" s="85"/>
      <c r="Q331" s="85"/>
      <c r="R331" s="85"/>
      <c r="S331" s="85"/>
    </row>
    <row r="332" spans="1:19" ht="47.25">
      <c r="A332" s="83">
        <v>1486</v>
      </c>
      <c r="B332" s="141">
        <v>45797</v>
      </c>
      <c r="C332" s="18" t="s">
        <v>5</v>
      </c>
      <c r="D332" s="21" t="s">
        <v>170</v>
      </c>
      <c r="E332" s="21" t="s">
        <v>1714</v>
      </c>
      <c r="F332" s="20" t="s">
        <v>16</v>
      </c>
      <c r="G332" s="18" t="str">
        <f>C332</f>
        <v>ECE</v>
      </c>
      <c r="H332" s="86">
        <v>3000</v>
      </c>
      <c r="I332" s="149">
        <v>45849</v>
      </c>
      <c r="J332" s="87"/>
      <c r="K332" s="57"/>
      <c r="L332" s="86" t="s">
        <v>1706</v>
      </c>
      <c r="M332" s="86">
        <v>79</v>
      </c>
      <c r="N332" s="85"/>
      <c r="O332" s="85"/>
      <c r="P332" s="85"/>
      <c r="Q332" s="85"/>
      <c r="R332" s="85"/>
      <c r="S332" s="85"/>
    </row>
    <row r="333" spans="1:19" ht="15.75">
      <c r="A333" s="83">
        <v>1487</v>
      </c>
      <c r="B333" s="141">
        <v>45833</v>
      </c>
      <c r="C333" s="18" t="s">
        <v>5</v>
      </c>
      <c r="D333" s="21" t="s">
        <v>170</v>
      </c>
      <c r="E333" s="21" t="s">
        <v>393</v>
      </c>
      <c r="F333" s="20" t="s">
        <v>193</v>
      </c>
      <c r="G333" s="18" t="str">
        <f>C333</f>
        <v>ECE</v>
      </c>
      <c r="H333" s="86">
        <v>2000</v>
      </c>
      <c r="I333" s="149">
        <v>45849</v>
      </c>
      <c r="J333" s="87"/>
      <c r="K333" s="57"/>
      <c r="L333" s="86" t="s">
        <v>1587</v>
      </c>
      <c r="M333" s="86">
        <v>79</v>
      </c>
      <c r="N333" s="85"/>
      <c r="O333" s="85"/>
      <c r="P333" s="85"/>
      <c r="Q333" s="85"/>
      <c r="R333" s="85"/>
      <c r="S333" s="85"/>
    </row>
    <row r="334" spans="1:19" ht="31.5">
      <c r="A334" s="83">
        <v>1488</v>
      </c>
      <c r="B334" s="141">
        <v>45838</v>
      </c>
      <c r="C334" s="18" t="s">
        <v>5</v>
      </c>
      <c r="D334" s="21" t="s">
        <v>826</v>
      </c>
      <c r="E334" s="21" t="s">
        <v>1713</v>
      </c>
      <c r="F334" s="20" t="s">
        <v>16</v>
      </c>
      <c r="G334" s="18" t="str">
        <f>C334</f>
        <v>ECE</v>
      </c>
      <c r="H334" s="86">
        <v>1800</v>
      </c>
      <c r="I334" s="149">
        <v>45849</v>
      </c>
      <c r="J334" s="87"/>
      <c r="K334" s="57"/>
      <c r="L334" s="86" t="s">
        <v>1711</v>
      </c>
      <c r="M334" s="86">
        <v>79</v>
      </c>
      <c r="N334" s="85"/>
      <c r="O334" s="85"/>
      <c r="P334" s="85"/>
      <c r="Q334" s="85"/>
      <c r="R334" s="85"/>
      <c r="S334" s="85"/>
    </row>
    <row r="335" spans="1:19" ht="31.5">
      <c r="A335" s="83">
        <v>1489</v>
      </c>
      <c r="B335" s="141">
        <v>45838</v>
      </c>
      <c r="C335" s="18" t="s">
        <v>5</v>
      </c>
      <c r="D335" s="21" t="s">
        <v>826</v>
      </c>
      <c r="E335" s="21" t="s">
        <v>1712</v>
      </c>
      <c r="F335" s="20" t="s">
        <v>16</v>
      </c>
      <c r="G335" s="18" t="str">
        <f>C335</f>
        <v>ECE</v>
      </c>
      <c r="H335" s="86">
        <v>3000</v>
      </c>
      <c r="I335" s="149">
        <v>45849</v>
      </c>
      <c r="J335" s="87"/>
      <c r="K335" s="57"/>
      <c r="L335" s="86" t="s">
        <v>1711</v>
      </c>
      <c r="M335" s="86">
        <v>79</v>
      </c>
      <c r="N335" s="85"/>
      <c r="O335" s="85"/>
      <c r="P335" s="85"/>
      <c r="Q335" s="85"/>
      <c r="R335" s="85"/>
      <c r="S335" s="85"/>
    </row>
    <row r="336" spans="1:19" ht="15.75">
      <c r="A336" s="83">
        <v>1490</v>
      </c>
      <c r="B336" s="141">
        <v>45841</v>
      </c>
      <c r="C336" s="18" t="s">
        <v>5</v>
      </c>
      <c r="D336" s="21" t="s">
        <v>21</v>
      </c>
      <c r="E336" s="21" t="s">
        <v>1710</v>
      </c>
      <c r="F336" s="20" t="s">
        <v>16</v>
      </c>
      <c r="G336" s="18" t="str">
        <f>C336</f>
        <v>ECE</v>
      </c>
      <c r="H336" s="86">
        <v>3000</v>
      </c>
      <c r="I336" s="149">
        <v>45849</v>
      </c>
      <c r="J336" s="87"/>
      <c r="K336" s="57"/>
      <c r="L336" s="95">
        <v>45843</v>
      </c>
      <c r="M336" s="86">
        <v>79</v>
      </c>
      <c r="N336" s="85"/>
      <c r="O336" s="85"/>
      <c r="P336" s="85"/>
      <c r="Q336" s="85"/>
      <c r="R336" s="85"/>
      <c r="S336" s="85"/>
    </row>
    <row r="337" spans="1:19" ht="15.75">
      <c r="A337" s="83">
        <v>1491</v>
      </c>
      <c r="B337" s="141">
        <v>45841</v>
      </c>
      <c r="C337" s="18" t="s">
        <v>5</v>
      </c>
      <c r="D337" s="21" t="s">
        <v>21</v>
      </c>
      <c r="E337" s="21" t="s">
        <v>1709</v>
      </c>
      <c r="F337" s="20" t="s">
        <v>16</v>
      </c>
      <c r="G337" s="18" t="str">
        <f>C337</f>
        <v>ECE</v>
      </c>
      <c r="H337" s="86">
        <v>3000</v>
      </c>
      <c r="I337" s="149">
        <v>45849</v>
      </c>
      <c r="J337" s="87"/>
      <c r="K337" s="57"/>
      <c r="L337" s="95">
        <v>45843</v>
      </c>
      <c r="M337" s="86">
        <v>79</v>
      </c>
      <c r="N337" s="85"/>
      <c r="O337" s="85"/>
      <c r="P337" s="85"/>
      <c r="Q337" s="85"/>
      <c r="R337" s="85"/>
      <c r="S337" s="85"/>
    </row>
    <row r="338" spans="1:19" ht="31.5">
      <c r="A338" s="83">
        <v>1492</v>
      </c>
      <c r="B338" s="141">
        <v>45841</v>
      </c>
      <c r="C338" s="18" t="s">
        <v>5</v>
      </c>
      <c r="D338" s="21" t="s">
        <v>21</v>
      </c>
      <c r="E338" s="21" t="s">
        <v>1708</v>
      </c>
      <c r="F338" s="20" t="s">
        <v>16</v>
      </c>
      <c r="G338" s="18" t="str">
        <f>C338</f>
        <v>ECE</v>
      </c>
      <c r="H338" s="86">
        <v>1800</v>
      </c>
      <c r="I338" s="149">
        <v>45849</v>
      </c>
      <c r="J338" s="87"/>
      <c r="K338" s="57"/>
      <c r="L338" s="95">
        <v>45843</v>
      </c>
      <c r="M338" s="86">
        <v>79</v>
      </c>
      <c r="N338" s="85"/>
      <c r="O338" s="85"/>
      <c r="P338" s="85"/>
      <c r="Q338" s="85"/>
      <c r="R338" s="85"/>
      <c r="S338" s="85"/>
    </row>
    <row r="339" spans="1:19" ht="15.75">
      <c r="A339" s="83">
        <v>1493</v>
      </c>
      <c r="B339" s="141">
        <v>45841</v>
      </c>
      <c r="C339" s="18" t="s">
        <v>5</v>
      </c>
      <c r="D339" s="21" t="s">
        <v>21</v>
      </c>
      <c r="E339" s="21" t="s">
        <v>1455</v>
      </c>
      <c r="F339" s="20" t="s">
        <v>193</v>
      </c>
      <c r="G339" s="18" t="str">
        <f>C339</f>
        <v>ECE</v>
      </c>
      <c r="H339" s="86">
        <v>4000</v>
      </c>
      <c r="I339" s="149">
        <v>45849</v>
      </c>
      <c r="J339" s="87"/>
      <c r="K339" s="57"/>
      <c r="L339" s="95">
        <v>45723</v>
      </c>
      <c r="M339" s="86">
        <v>79</v>
      </c>
      <c r="N339" s="85"/>
      <c r="O339" s="85"/>
      <c r="P339" s="85"/>
      <c r="Q339" s="85"/>
      <c r="R339" s="85"/>
      <c r="S339" s="85"/>
    </row>
    <row r="340" spans="1:19" ht="15.75">
      <c r="A340" s="83">
        <v>1494</v>
      </c>
      <c r="B340" s="141">
        <v>45841</v>
      </c>
      <c r="C340" s="18" t="s">
        <v>5</v>
      </c>
      <c r="D340" s="21" t="s">
        <v>269</v>
      </c>
      <c r="E340" s="21" t="s">
        <v>393</v>
      </c>
      <c r="F340" s="20" t="s">
        <v>193</v>
      </c>
      <c r="G340" s="18" t="str">
        <f>C340</f>
        <v>ECE</v>
      </c>
      <c r="H340" s="86">
        <v>2000</v>
      </c>
      <c r="I340" s="149">
        <v>45849</v>
      </c>
      <c r="J340" s="87"/>
      <c r="K340" s="57"/>
      <c r="L340" s="95">
        <v>45723</v>
      </c>
      <c r="M340" s="86">
        <v>79</v>
      </c>
      <c r="N340" s="85"/>
      <c r="O340" s="85"/>
      <c r="P340" s="85"/>
      <c r="Q340" s="85"/>
      <c r="R340" s="85"/>
      <c r="S340" s="85"/>
    </row>
    <row r="341" spans="1:19" ht="31.5">
      <c r="A341" s="83">
        <v>1495</v>
      </c>
      <c r="B341" s="141">
        <v>45825</v>
      </c>
      <c r="C341" s="18" t="s">
        <v>5</v>
      </c>
      <c r="D341" s="21" t="s">
        <v>175</v>
      </c>
      <c r="E341" s="21" t="s">
        <v>1707</v>
      </c>
      <c r="F341" s="20" t="s">
        <v>23</v>
      </c>
      <c r="G341" s="18" t="str">
        <f>C341</f>
        <v>ECE</v>
      </c>
      <c r="H341" s="86">
        <v>10000</v>
      </c>
      <c r="I341" s="149">
        <v>45849</v>
      </c>
      <c r="J341" s="87"/>
      <c r="K341" s="57"/>
      <c r="L341" s="86" t="s">
        <v>1706</v>
      </c>
      <c r="M341" s="86">
        <v>79</v>
      </c>
      <c r="N341" s="85"/>
      <c r="O341" s="85"/>
      <c r="P341" s="85"/>
      <c r="Q341" s="85"/>
      <c r="R341" s="85"/>
      <c r="S341" s="85"/>
    </row>
    <row r="342" spans="1:19" ht="15.75">
      <c r="A342" s="83">
        <v>1496</v>
      </c>
      <c r="B342" s="141">
        <v>45825</v>
      </c>
      <c r="C342" s="18" t="s">
        <v>5</v>
      </c>
      <c r="D342" s="21" t="s">
        <v>175</v>
      </c>
      <c r="E342" s="21" t="s">
        <v>1705</v>
      </c>
      <c r="F342" s="20" t="s">
        <v>16</v>
      </c>
      <c r="G342" s="18" t="str">
        <f>C342</f>
        <v>ECE</v>
      </c>
      <c r="H342" s="86">
        <v>3000</v>
      </c>
      <c r="I342" s="149">
        <v>45849</v>
      </c>
      <c r="J342" s="87"/>
      <c r="K342" s="57"/>
      <c r="L342" s="95">
        <v>45996</v>
      </c>
      <c r="M342" s="86">
        <v>79</v>
      </c>
      <c r="N342" s="85"/>
      <c r="O342" s="85"/>
      <c r="P342" s="85"/>
      <c r="Q342" s="85"/>
      <c r="R342" s="85"/>
      <c r="S342" s="85"/>
    </row>
    <row r="343" spans="1:19" ht="15.75">
      <c r="A343" s="83">
        <v>1497</v>
      </c>
      <c r="B343" s="141">
        <v>45825</v>
      </c>
      <c r="C343" s="18" t="s">
        <v>5</v>
      </c>
      <c r="D343" s="21" t="s">
        <v>175</v>
      </c>
      <c r="E343" s="21" t="s">
        <v>1451</v>
      </c>
      <c r="F343" s="20" t="s">
        <v>193</v>
      </c>
      <c r="G343" s="18" t="str">
        <f>C343</f>
        <v>ECE</v>
      </c>
      <c r="H343" s="86">
        <v>6000</v>
      </c>
      <c r="I343" s="149">
        <v>45849</v>
      </c>
      <c r="J343" s="87"/>
      <c r="K343" s="57"/>
      <c r="L343" s="86" t="s">
        <v>1704</v>
      </c>
      <c r="M343" s="86">
        <v>79</v>
      </c>
      <c r="N343" s="85"/>
      <c r="O343" s="85"/>
      <c r="P343" s="85"/>
      <c r="Q343" s="85"/>
      <c r="R343" s="85"/>
      <c r="S343" s="85"/>
    </row>
    <row r="344" spans="1:19" ht="31.5">
      <c r="A344" s="83">
        <v>1498</v>
      </c>
      <c r="B344" s="141">
        <v>45827</v>
      </c>
      <c r="C344" s="18" t="s">
        <v>3</v>
      </c>
      <c r="D344" s="21" t="s">
        <v>809</v>
      </c>
      <c r="E344" s="21" t="s">
        <v>1703</v>
      </c>
      <c r="F344" s="20" t="s">
        <v>16</v>
      </c>
      <c r="G344" s="18" t="str">
        <f>C344</f>
        <v>IT</v>
      </c>
      <c r="H344" s="86">
        <v>1800</v>
      </c>
      <c r="I344" s="149">
        <v>45849</v>
      </c>
      <c r="J344" s="87"/>
      <c r="K344" s="57"/>
      <c r="L344" s="95">
        <v>45661</v>
      </c>
      <c r="M344" s="86">
        <v>79</v>
      </c>
      <c r="N344" s="85"/>
      <c r="O344" s="85"/>
      <c r="P344" s="85"/>
      <c r="Q344" s="85"/>
      <c r="R344" s="85"/>
      <c r="S344" s="85"/>
    </row>
    <row r="345" spans="1:19" ht="31.5">
      <c r="A345" s="83">
        <v>1499</v>
      </c>
      <c r="B345" s="141">
        <v>45827</v>
      </c>
      <c r="C345" s="18" t="s">
        <v>3</v>
      </c>
      <c r="D345" s="21" t="s">
        <v>809</v>
      </c>
      <c r="E345" s="21" t="s">
        <v>1702</v>
      </c>
      <c r="F345" s="20" t="s">
        <v>16</v>
      </c>
      <c r="G345" s="18" t="str">
        <f>C345</f>
        <v>IT</v>
      </c>
      <c r="H345" s="86">
        <v>3000</v>
      </c>
      <c r="I345" s="149">
        <v>45849</v>
      </c>
      <c r="J345" s="87"/>
      <c r="K345" s="57"/>
      <c r="L345" s="86" t="s">
        <v>1692</v>
      </c>
      <c r="M345" s="86">
        <v>79</v>
      </c>
      <c r="N345" s="85"/>
      <c r="O345" s="85"/>
      <c r="P345" s="85"/>
      <c r="Q345" s="85"/>
      <c r="R345" s="85"/>
      <c r="S345" s="85"/>
    </row>
    <row r="346" spans="1:19" ht="47.25">
      <c r="A346" s="83">
        <v>1500</v>
      </c>
      <c r="B346" s="141">
        <v>45841</v>
      </c>
      <c r="C346" s="18" t="s">
        <v>2</v>
      </c>
      <c r="D346" s="21" t="s">
        <v>74</v>
      </c>
      <c r="E346" s="21" t="s">
        <v>1701</v>
      </c>
      <c r="F346" s="20" t="s">
        <v>23</v>
      </c>
      <c r="G346" s="18" t="str">
        <f>C346</f>
        <v>Mech</v>
      </c>
      <c r="H346" s="86">
        <v>6000</v>
      </c>
      <c r="I346" s="149">
        <v>45849</v>
      </c>
      <c r="J346" s="87"/>
      <c r="K346" s="57"/>
      <c r="L346" s="86" t="s">
        <v>1700</v>
      </c>
      <c r="M346" s="86">
        <v>79</v>
      </c>
      <c r="N346" s="85"/>
      <c r="O346" s="85"/>
      <c r="P346" s="85"/>
      <c r="Q346" s="85"/>
      <c r="R346" s="85"/>
      <c r="S346" s="85"/>
    </row>
    <row r="347" spans="1:19" ht="31.5">
      <c r="A347" s="83">
        <v>1501</v>
      </c>
      <c r="B347" s="141">
        <v>45841</v>
      </c>
      <c r="C347" s="18" t="s">
        <v>2</v>
      </c>
      <c r="D347" s="21" t="s">
        <v>74</v>
      </c>
      <c r="E347" s="21" t="s">
        <v>1699</v>
      </c>
      <c r="F347" s="20" t="s">
        <v>23</v>
      </c>
      <c r="G347" s="18" t="str">
        <f>C347</f>
        <v>Mech</v>
      </c>
      <c r="H347" s="86">
        <v>6000</v>
      </c>
      <c r="I347" s="149">
        <v>45849</v>
      </c>
      <c r="J347" s="87"/>
      <c r="K347" s="57"/>
      <c r="L347" s="86" t="s">
        <v>1698</v>
      </c>
      <c r="M347" s="86">
        <v>79</v>
      </c>
      <c r="N347" s="85"/>
      <c r="O347" s="85"/>
      <c r="P347" s="85"/>
      <c r="Q347" s="85"/>
      <c r="R347" s="85"/>
      <c r="S347" s="85"/>
    </row>
    <row r="348" spans="1:19" ht="15.75">
      <c r="A348" s="83">
        <v>1502</v>
      </c>
      <c r="B348" s="141">
        <v>45841</v>
      </c>
      <c r="C348" s="18" t="s">
        <v>2</v>
      </c>
      <c r="D348" s="21" t="s">
        <v>74</v>
      </c>
      <c r="E348" s="21" t="s">
        <v>1427</v>
      </c>
      <c r="F348" s="20" t="s">
        <v>193</v>
      </c>
      <c r="G348" s="18" t="str">
        <f>C348</f>
        <v>Mech</v>
      </c>
      <c r="H348" s="86">
        <v>10000</v>
      </c>
      <c r="I348" s="149">
        <v>45849</v>
      </c>
      <c r="J348" s="87"/>
      <c r="K348" s="57"/>
      <c r="L348" s="95">
        <v>45723</v>
      </c>
      <c r="M348" s="86">
        <v>79</v>
      </c>
      <c r="N348" s="85"/>
      <c r="O348" s="85"/>
      <c r="P348" s="85"/>
      <c r="Q348" s="85"/>
      <c r="R348" s="85"/>
      <c r="S348" s="85"/>
    </row>
    <row r="349" spans="1:19" ht="31.5">
      <c r="A349" s="83">
        <v>1503</v>
      </c>
      <c r="B349" s="141">
        <v>45842</v>
      </c>
      <c r="C349" s="18" t="s">
        <v>0</v>
      </c>
      <c r="D349" s="21" t="s">
        <v>260</v>
      </c>
      <c r="E349" s="21" t="s">
        <v>1697</v>
      </c>
      <c r="F349" s="20" t="s">
        <v>23</v>
      </c>
      <c r="G349" s="18" t="str">
        <f>C349</f>
        <v>Maths</v>
      </c>
      <c r="H349" s="86">
        <v>10000</v>
      </c>
      <c r="I349" s="149">
        <v>45849</v>
      </c>
      <c r="J349" s="87"/>
      <c r="K349" s="57"/>
      <c r="L349" s="95">
        <v>45695</v>
      </c>
      <c r="M349" s="86">
        <v>79</v>
      </c>
      <c r="N349" s="85"/>
      <c r="O349" s="85"/>
      <c r="P349" s="85"/>
      <c r="Q349" s="85"/>
      <c r="R349" s="85"/>
      <c r="S349" s="85"/>
    </row>
    <row r="350" spans="1:19" ht="15.75">
      <c r="A350" s="46"/>
      <c r="B350" s="141"/>
      <c r="C350" s="46"/>
      <c r="D350" s="46"/>
      <c r="E350" s="46" t="s">
        <v>11</v>
      </c>
      <c r="F350" s="42"/>
      <c r="G350" s="90"/>
      <c r="H350" s="89">
        <f>SUM(H324:H349)</f>
        <v>109700</v>
      </c>
      <c r="I350" s="42" t="s">
        <v>718</v>
      </c>
      <c r="J350" s="42"/>
      <c r="K350" s="45">
        <f>H350</f>
        <v>109700</v>
      </c>
      <c r="L350" s="42"/>
      <c r="M350" s="46">
        <v>79</v>
      </c>
      <c r="N350" s="88"/>
      <c r="O350" s="88"/>
      <c r="P350" s="88"/>
      <c r="Q350" s="88"/>
      <c r="R350" s="88"/>
      <c r="S350" s="88"/>
    </row>
    <row r="351" spans="1:19" ht="31.5">
      <c r="A351" s="83">
        <v>1504</v>
      </c>
      <c r="B351" s="141">
        <v>45846</v>
      </c>
      <c r="C351" s="18" t="s">
        <v>8</v>
      </c>
      <c r="D351" s="21" t="s">
        <v>34</v>
      </c>
      <c r="E351" s="21" t="s">
        <v>1696</v>
      </c>
      <c r="F351" s="20" t="s">
        <v>16</v>
      </c>
      <c r="G351" s="18" t="str">
        <f>C351</f>
        <v>CCE</v>
      </c>
      <c r="H351" s="86">
        <v>1800</v>
      </c>
      <c r="I351" s="149">
        <v>45855</v>
      </c>
      <c r="J351" s="87"/>
      <c r="K351" s="57"/>
      <c r="L351" s="95">
        <v>45694</v>
      </c>
      <c r="M351" s="86">
        <v>80</v>
      </c>
      <c r="N351" s="85"/>
      <c r="O351" s="85"/>
      <c r="P351" s="85"/>
      <c r="Q351" s="85"/>
      <c r="R351" s="85"/>
      <c r="S351" s="85"/>
    </row>
    <row r="352" spans="1:19" ht="31.5">
      <c r="A352" s="83">
        <v>1505</v>
      </c>
      <c r="B352" s="141">
        <v>45840</v>
      </c>
      <c r="C352" s="18" t="s">
        <v>8</v>
      </c>
      <c r="D352" s="21" t="s">
        <v>440</v>
      </c>
      <c r="E352" s="21" t="s">
        <v>1695</v>
      </c>
      <c r="F352" s="20" t="s">
        <v>16</v>
      </c>
      <c r="G352" s="18" t="str">
        <f>C352</f>
        <v>CCE</v>
      </c>
      <c r="H352" s="86">
        <v>3000</v>
      </c>
      <c r="I352" s="149">
        <v>45855</v>
      </c>
      <c r="J352" s="87"/>
      <c r="K352" s="57"/>
      <c r="L352" s="95">
        <v>45965</v>
      </c>
      <c r="M352" s="86">
        <v>80</v>
      </c>
      <c r="N352" s="85"/>
      <c r="O352" s="85"/>
      <c r="P352" s="85"/>
      <c r="Q352" s="85"/>
      <c r="R352" s="85"/>
      <c r="S352" s="85"/>
    </row>
    <row r="353" spans="1:19" ht="31.5">
      <c r="A353" s="83">
        <v>1506</v>
      </c>
      <c r="B353" s="141">
        <v>45840</v>
      </c>
      <c r="C353" s="18" t="s">
        <v>8</v>
      </c>
      <c r="D353" s="21" t="s">
        <v>440</v>
      </c>
      <c r="E353" s="21" t="s">
        <v>1694</v>
      </c>
      <c r="F353" s="20" t="s">
        <v>16</v>
      </c>
      <c r="G353" s="18" t="str">
        <f>C353</f>
        <v>CCE</v>
      </c>
      <c r="H353" s="86">
        <v>3000</v>
      </c>
      <c r="I353" s="149">
        <v>45855</v>
      </c>
      <c r="J353" s="87"/>
      <c r="K353" s="57"/>
      <c r="L353" s="95">
        <v>45994</v>
      </c>
      <c r="M353" s="86">
        <v>80</v>
      </c>
      <c r="N353" s="85"/>
      <c r="O353" s="85"/>
      <c r="P353" s="85"/>
      <c r="Q353" s="85"/>
      <c r="R353" s="85"/>
      <c r="S353" s="85"/>
    </row>
    <row r="354" spans="1:19" ht="15.75">
      <c r="A354" s="83">
        <v>1507</v>
      </c>
      <c r="B354" s="141">
        <v>45847</v>
      </c>
      <c r="C354" s="18" t="s">
        <v>6</v>
      </c>
      <c r="D354" s="21" t="s">
        <v>369</v>
      </c>
      <c r="E354" s="21" t="s">
        <v>393</v>
      </c>
      <c r="F354" s="20" t="s">
        <v>193</v>
      </c>
      <c r="G354" s="18" t="str">
        <f>C354</f>
        <v>CSE</v>
      </c>
      <c r="H354" s="86">
        <v>2000</v>
      </c>
      <c r="I354" s="149">
        <v>45855</v>
      </c>
      <c r="J354" s="87"/>
      <c r="K354" s="57"/>
      <c r="L354" s="95">
        <v>45845</v>
      </c>
      <c r="M354" s="86">
        <v>80</v>
      </c>
      <c r="N354" s="85"/>
      <c r="O354" s="85"/>
      <c r="P354" s="85"/>
      <c r="Q354" s="85"/>
      <c r="R354" s="85"/>
      <c r="S354" s="85"/>
    </row>
    <row r="355" spans="1:19" ht="47.25">
      <c r="A355" s="83">
        <v>1508</v>
      </c>
      <c r="B355" s="141">
        <v>45833</v>
      </c>
      <c r="C355" s="18" t="s">
        <v>3</v>
      </c>
      <c r="D355" s="21" t="s">
        <v>673</v>
      </c>
      <c r="E355" s="21" t="s">
        <v>1693</v>
      </c>
      <c r="F355" s="20" t="s">
        <v>16</v>
      </c>
      <c r="G355" s="18" t="str">
        <f>C355</f>
        <v>IT</v>
      </c>
      <c r="H355" s="86">
        <v>1800</v>
      </c>
      <c r="I355" s="149">
        <v>45855</v>
      </c>
      <c r="J355" s="87"/>
      <c r="K355" s="57"/>
      <c r="L355" s="86" t="s">
        <v>1692</v>
      </c>
      <c r="M355" s="86">
        <v>80</v>
      </c>
      <c r="N355" s="85"/>
      <c r="O355" s="85"/>
      <c r="P355" s="85"/>
      <c r="Q355" s="85"/>
      <c r="R355" s="85"/>
      <c r="S355" s="85"/>
    </row>
    <row r="356" spans="1:19" ht="63">
      <c r="A356" s="83">
        <v>1509</v>
      </c>
      <c r="B356" s="141">
        <v>45845</v>
      </c>
      <c r="C356" s="18" t="s">
        <v>2</v>
      </c>
      <c r="D356" s="21" t="s">
        <v>243</v>
      </c>
      <c r="E356" s="21" t="s">
        <v>1691</v>
      </c>
      <c r="F356" s="20" t="s">
        <v>23</v>
      </c>
      <c r="G356" s="18" t="str">
        <f>C356</f>
        <v>Mech</v>
      </c>
      <c r="H356" s="86">
        <v>6000</v>
      </c>
      <c r="I356" s="149">
        <v>45855</v>
      </c>
      <c r="J356" s="87"/>
      <c r="K356" s="57"/>
      <c r="L356" s="95">
        <v>45661</v>
      </c>
      <c r="M356" s="86">
        <v>80</v>
      </c>
      <c r="N356" s="85"/>
      <c r="O356" s="85"/>
      <c r="P356" s="85"/>
      <c r="Q356" s="85"/>
      <c r="R356" s="85"/>
      <c r="S356" s="85"/>
    </row>
    <row r="357" spans="1:19" ht="31.5">
      <c r="A357" s="83">
        <v>1510</v>
      </c>
      <c r="B357" s="141">
        <v>45846</v>
      </c>
      <c r="C357" s="18" t="s">
        <v>0</v>
      </c>
      <c r="D357" s="21" t="s">
        <v>789</v>
      </c>
      <c r="E357" s="21" t="s">
        <v>1690</v>
      </c>
      <c r="F357" s="20" t="s">
        <v>23</v>
      </c>
      <c r="G357" s="18" t="str">
        <f>C357</f>
        <v>Maths</v>
      </c>
      <c r="H357" s="86">
        <v>6000</v>
      </c>
      <c r="I357" s="149">
        <v>45855</v>
      </c>
      <c r="J357" s="87"/>
      <c r="K357" s="57"/>
      <c r="L357" s="95">
        <v>45809</v>
      </c>
      <c r="M357" s="86">
        <v>80</v>
      </c>
      <c r="N357" s="85"/>
      <c r="O357" s="85"/>
      <c r="P357" s="85"/>
      <c r="Q357" s="85"/>
      <c r="R357" s="85"/>
      <c r="S357" s="85"/>
    </row>
    <row r="358" spans="1:19" ht="47.25">
      <c r="A358" s="83">
        <v>1511</v>
      </c>
      <c r="B358" s="141">
        <v>45846</v>
      </c>
      <c r="C358" s="18" t="s">
        <v>2</v>
      </c>
      <c r="D358" s="21" t="s">
        <v>1685</v>
      </c>
      <c r="E358" s="21" t="s">
        <v>1689</v>
      </c>
      <c r="F358" s="20" t="s">
        <v>1688</v>
      </c>
      <c r="G358" s="18" t="str">
        <f>C358</f>
        <v>Mech</v>
      </c>
      <c r="H358" s="86">
        <v>10000</v>
      </c>
      <c r="I358" s="149">
        <v>45855</v>
      </c>
      <c r="J358" s="87"/>
      <c r="K358" s="57"/>
      <c r="L358" s="95">
        <v>45663</v>
      </c>
      <c r="M358" s="86">
        <v>80</v>
      </c>
      <c r="N358" s="85"/>
      <c r="O358" s="85"/>
      <c r="P358" s="85"/>
      <c r="Q358" s="85"/>
      <c r="R358" s="85"/>
      <c r="S358" s="85"/>
    </row>
    <row r="359" spans="1:19" ht="31.5">
      <c r="A359" s="83">
        <v>1512</v>
      </c>
      <c r="B359" s="141">
        <v>45846</v>
      </c>
      <c r="C359" s="18" t="s">
        <v>2</v>
      </c>
      <c r="D359" s="21" t="s">
        <v>1685</v>
      </c>
      <c r="E359" s="21" t="s">
        <v>1687</v>
      </c>
      <c r="F359" s="20" t="s">
        <v>324</v>
      </c>
      <c r="G359" s="18" t="str">
        <f>C359</f>
        <v>Mech</v>
      </c>
      <c r="H359" s="86">
        <v>5000</v>
      </c>
      <c r="I359" s="149">
        <v>45855</v>
      </c>
      <c r="J359" s="87"/>
      <c r="K359" s="57"/>
      <c r="L359" s="95">
        <v>45661</v>
      </c>
      <c r="M359" s="86">
        <v>80</v>
      </c>
      <c r="N359" s="85"/>
      <c r="O359" s="85"/>
      <c r="P359" s="85"/>
      <c r="Q359" s="85"/>
      <c r="R359" s="85"/>
      <c r="S359" s="85"/>
    </row>
    <row r="360" spans="1:19" ht="47.25">
      <c r="A360" s="83">
        <v>1513</v>
      </c>
      <c r="B360" s="141">
        <v>45846</v>
      </c>
      <c r="C360" s="18" t="s">
        <v>2</v>
      </c>
      <c r="D360" s="21" t="s">
        <v>1685</v>
      </c>
      <c r="E360" s="21" t="s">
        <v>1686</v>
      </c>
      <c r="F360" s="20" t="s">
        <v>16</v>
      </c>
      <c r="G360" s="18" t="str">
        <f>C360</f>
        <v>Mech</v>
      </c>
      <c r="H360" s="86">
        <v>1800</v>
      </c>
      <c r="I360" s="149">
        <v>45855</v>
      </c>
      <c r="J360" s="87"/>
      <c r="K360" s="57"/>
      <c r="L360" s="95">
        <v>45301</v>
      </c>
      <c r="M360" s="86">
        <v>80</v>
      </c>
      <c r="N360" s="85"/>
      <c r="O360" s="85"/>
      <c r="P360" s="85"/>
      <c r="Q360" s="85"/>
      <c r="R360" s="85"/>
      <c r="S360" s="85"/>
    </row>
    <row r="361" spans="1:19" ht="47.25">
      <c r="A361" s="83">
        <v>1514</v>
      </c>
      <c r="B361" s="141">
        <v>45846</v>
      </c>
      <c r="C361" s="18" t="s">
        <v>2</v>
      </c>
      <c r="D361" s="21" t="s">
        <v>1685</v>
      </c>
      <c r="E361" s="21" t="s">
        <v>1684</v>
      </c>
      <c r="F361" s="20" t="s">
        <v>16</v>
      </c>
      <c r="G361" s="18" t="str">
        <f>C361</f>
        <v>Mech</v>
      </c>
      <c r="H361" s="86">
        <v>1800</v>
      </c>
      <c r="I361" s="149">
        <v>45855</v>
      </c>
      <c r="J361" s="87"/>
      <c r="K361" s="57"/>
      <c r="L361" s="95">
        <v>45301</v>
      </c>
      <c r="M361" s="86">
        <v>80</v>
      </c>
      <c r="N361" s="85"/>
      <c r="O361" s="85"/>
      <c r="P361" s="85"/>
      <c r="Q361" s="85"/>
      <c r="R361" s="85"/>
      <c r="S361" s="85"/>
    </row>
    <row r="362" spans="1:19" ht="31.5">
      <c r="A362" s="83">
        <v>1515</v>
      </c>
      <c r="B362" s="141">
        <v>45842</v>
      </c>
      <c r="C362" s="18" t="s">
        <v>5</v>
      </c>
      <c r="D362" s="21" t="s">
        <v>1538</v>
      </c>
      <c r="E362" s="21" t="s">
        <v>1683</v>
      </c>
      <c r="F362" s="20" t="s">
        <v>187</v>
      </c>
      <c r="G362" s="18" t="str">
        <f>C362</f>
        <v>ECE</v>
      </c>
      <c r="H362" s="86">
        <v>1800</v>
      </c>
      <c r="I362" s="149">
        <v>45855</v>
      </c>
      <c r="J362" s="87"/>
      <c r="K362" s="57"/>
      <c r="L362" s="86" t="s">
        <v>1682</v>
      </c>
      <c r="M362" s="86">
        <v>80</v>
      </c>
      <c r="N362" s="85"/>
      <c r="O362" s="85"/>
      <c r="P362" s="85"/>
      <c r="Q362" s="85"/>
      <c r="R362" s="85"/>
      <c r="S362" s="85"/>
    </row>
    <row r="363" spans="1:19" ht="31.5">
      <c r="A363" s="83">
        <v>1516</v>
      </c>
      <c r="B363" s="141">
        <v>45842</v>
      </c>
      <c r="C363" s="18" t="s">
        <v>5</v>
      </c>
      <c r="D363" s="21" t="s">
        <v>1538</v>
      </c>
      <c r="E363" s="21" t="s">
        <v>1681</v>
      </c>
      <c r="F363" s="20" t="s">
        <v>16</v>
      </c>
      <c r="G363" s="18" t="str">
        <f>C363</f>
        <v>ECE</v>
      </c>
      <c r="H363" s="86">
        <v>1800</v>
      </c>
      <c r="I363" s="149">
        <v>45855</v>
      </c>
      <c r="J363" s="87"/>
      <c r="K363" s="57"/>
      <c r="L363" s="86" t="s">
        <v>1680</v>
      </c>
      <c r="M363" s="86">
        <v>80</v>
      </c>
      <c r="N363" s="85"/>
      <c r="O363" s="85"/>
      <c r="P363" s="85"/>
      <c r="Q363" s="85"/>
      <c r="R363" s="85"/>
      <c r="S363" s="85"/>
    </row>
    <row r="364" spans="1:19" ht="15.75">
      <c r="A364" s="46"/>
      <c r="B364" s="141"/>
      <c r="C364" s="46"/>
      <c r="D364" s="46"/>
      <c r="E364" s="46" t="s">
        <v>11</v>
      </c>
      <c r="F364" s="42"/>
      <c r="G364" s="90"/>
      <c r="H364" s="89">
        <f>SUM(H351:H363)</f>
        <v>45800</v>
      </c>
      <c r="I364" s="42" t="s">
        <v>718</v>
      </c>
      <c r="J364" s="42"/>
      <c r="K364" s="45">
        <f>H364</f>
        <v>45800</v>
      </c>
      <c r="L364" s="42"/>
      <c r="M364" s="46">
        <v>80</v>
      </c>
      <c r="N364" s="88"/>
      <c r="O364" s="88"/>
      <c r="P364" s="88"/>
      <c r="Q364" s="88"/>
      <c r="R364" s="88"/>
      <c r="S364" s="88"/>
    </row>
    <row r="365" spans="1:19" ht="31.5">
      <c r="A365" s="83">
        <v>1517</v>
      </c>
      <c r="B365" s="141">
        <v>45860</v>
      </c>
      <c r="C365" s="18" t="s">
        <v>5</v>
      </c>
      <c r="D365" s="21" t="s">
        <v>173</v>
      </c>
      <c r="E365" s="21" t="s">
        <v>1679</v>
      </c>
      <c r="F365" s="20" t="s">
        <v>23</v>
      </c>
      <c r="G365" s="18" t="str">
        <f>C365</f>
        <v>ECE</v>
      </c>
      <c r="H365" s="86">
        <v>6000</v>
      </c>
      <c r="I365" s="140">
        <v>45875</v>
      </c>
      <c r="J365" s="87"/>
      <c r="K365" s="57"/>
      <c r="L365" s="95">
        <v>45842</v>
      </c>
      <c r="M365" s="86">
        <v>81</v>
      </c>
      <c r="N365" s="85"/>
      <c r="O365" s="85"/>
      <c r="P365" s="85"/>
      <c r="Q365" s="85"/>
      <c r="R365" s="85"/>
      <c r="S365" s="85"/>
    </row>
    <row r="366" spans="1:19" ht="47.25">
      <c r="A366" s="83">
        <v>1518</v>
      </c>
      <c r="B366" s="141">
        <v>45860</v>
      </c>
      <c r="C366" s="18" t="s">
        <v>5</v>
      </c>
      <c r="D366" s="21" t="s">
        <v>173</v>
      </c>
      <c r="E366" s="21" t="s">
        <v>1678</v>
      </c>
      <c r="F366" s="20" t="s">
        <v>23</v>
      </c>
      <c r="G366" s="18" t="str">
        <f>C366</f>
        <v>ECE</v>
      </c>
      <c r="H366" s="86">
        <v>10000</v>
      </c>
      <c r="I366" s="140">
        <v>45875</v>
      </c>
      <c r="J366" s="87"/>
      <c r="K366" s="57"/>
      <c r="L366" s="86" t="s">
        <v>1677</v>
      </c>
      <c r="M366" s="86">
        <v>81</v>
      </c>
      <c r="N366" s="85"/>
      <c r="O366" s="85"/>
      <c r="P366" s="85"/>
      <c r="Q366" s="85"/>
      <c r="R366" s="85"/>
      <c r="S366" s="85"/>
    </row>
    <row r="367" spans="1:19" ht="31.5">
      <c r="A367" s="83">
        <v>1519</v>
      </c>
      <c r="B367" s="141">
        <v>45860</v>
      </c>
      <c r="C367" s="18" t="s">
        <v>5</v>
      </c>
      <c r="D367" s="21" t="s">
        <v>173</v>
      </c>
      <c r="E367" s="21" t="s">
        <v>1676</v>
      </c>
      <c r="F367" s="20" t="s">
        <v>23</v>
      </c>
      <c r="G367" s="18" t="str">
        <f>C367</f>
        <v>ECE</v>
      </c>
      <c r="H367" s="86">
        <v>6000</v>
      </c>
      <c r="I367" s="140">
        <v>45875</v>
      </c>
      <c r="J367" s="87"/>
      <c r="K367" s="57"/>
      <c r="L367" s="95">
        <v>45997</v>
      </c>
      <c r="M367" s="86">
        <v>81</v>
      </c>
      <c r="N367" s="85"/>
      <c r="O367" s="85"/>
      <c r="P367" s="85"/>
      <c r="Q367" s="85"/>
      <c r="R367" s="85"/>
      <c r="S367" s="85"/>
    </row>
    <row r="368" spans="1:19" ht="31.5">
      <c r="A368" s="83">
        <v>1520</v>
      </c>
      <c r="B368" s="141">
        <v>45860</v>
      </c>
      <c r="C368" s="18" t="s">
        <v>5</v>
      </c>
      <c r="D368" s="21" t="s">
        <v>173</v>
      </c>
      <c r="E368" s="21" t="s">
        <v>1675</v>
      </c>
      <c r="F368" s="20" t="s">
        <v>23</v>
      </c>
      <c r="G368" s="18" t="str">
        <f>C368</f>
        <v>ECE</v>
      </c>
      <c r="H368" s="86">
        <v>10000</v>
      </c>
      <c r="I368" s="140">
        <v>45875</v>
      </c>
      <c r="J368" s="87"/>
      <c r="K368" s="57"/>
      <c r="L368" s="86" t="s">
        <v>1587</v>
      </c>
      <c r="M368" s="86">
        <v>81</v>
      </c>
      <c r="N368" s="85"/>
      <c r="O368" s="85"/>
      <c r="P368" s="85"/>
      <c r="Q368" s="85"/>
      <c r="R368" s="85"/>
      <c r="S368" s="85"/>
    </row>
    <row r="369" spans="1:19" ht="31.5">
      <c r="A369" s="83">
        <v>1521</v>
      </c>
      <c r="B369" s="141">
        <v>45860</v>
      </c>
      <c r="C369" s="18" t="s">
        <v>5</v>
      </c>
      <c r="D369" s="21" t="s">
        <v>173</v>
      </c>
      <c r="E369" s="21" t="s">
        <v>1674</v>
      </c>
      <c r="F369" s="20" t="s">
        <v>16</v>
      </c>
      <c r="G369" s="18" t="str">
        <f>C369</f>
        <v>ECE</v>
      </c>
      <c r="H369" s="86">
        <v>1800</v>
      </c>
      <c r="I369" s="140">
        <v>45875</v>
      </c>
      <c r="J369" s="87"/>
      <c r="K369" s="57"/>
      <c r="L369" s="95">
        <v>45695</v>
      </c>
      <c r="M369" s="86">
        <v>81</v>
      </c>
      <c r="N369" s="85"/>
      <c r="O369" s="85"/>
      <c r="P369" s="85"/>
      <c r="Q369" s="85"/>
      <c r="R369" s="85"/>
      <c r="S369" s="85"/>
    </row>
    <row r="370" spans="1:19" ht="31.5">
      <c r="A370" s="83">
        <v>1522</v>
      </c>
      <c r="B370" s="141">
        <v>45860</v>
      </c>
      <c r="C370" s="18" t="s">
        <v>5</v>
      </c>
      <c r="D370" s="21" t="s">
        <v>173</v>
      </c>
      <c r="E370" s="21" t="s">
        <v>1673</v>
      </c>
      <c r="F370" s="20" t="s">
        <v>16</v>
      </c>
      <c r="G370" s="18" t="str">
        <f>C370</f>
        <v>ECE</v>
      </c>
      <c r="H370" s="86">
        <v>1800</v>
      </c>
      <c r="I370" s="140">
        <v>45875</v>
      </c>
      <c r="J370" s="87"/>
      <c r="K370" s="57"/>
      <c r="L370" s="86" t="s">
        <v>1672</v>
      </c>
      <c r="M370" s="86">
        <v>81</v>
      </c>
      <c r="N370" s="85"/>
      <c r="O370" s="85"/>
      <c r="P370" s="85"/>
      <c r="Q370" s="85"/>
      <c r="R370" s="85"/>
      <c r="S370" s="85"/>
    </row>
    <row r="371" spans="1:19" ht="15.75">
      <c r="A371" s="83">
        <v>1523</v>
      </c>
      <c r="B371" s="141">
        <v>45860</v>
      </c>
      <c r="C371" s="18" t="s">
        <v>5</v>
      </c>
      <c r="D371" s="21" t="s">
        <v>173</v>
      </c>
      <c r="E371" s="21" t="s">
        <v>1671</v>
      </c>
      <c r="F371" s="20" t="s">
        <v>16</v>
      </c>
      <c r="G371" s="18" t="str">
        <f>C371</f>
        <v>ECE</v>
      </c>
      <c r="H371" s="86">
        <v>3000</v>
      </c>
      <c r="I371" s="140">
        <v>45875</v>
      </c>
      <c r="J371" s="87"/>
      <c r="K371" s="57"/>
      <c r="L371" s="95">
        <v>45996</v>
      </c>
      <c r="M371" s="86">
        <v>81</v>
      </c>
      <c r="N371" s="85"/>
      <c r="O371" s="85"/>
      <c r="P371" s="85"/>
      <c r="Q371" s="85"/>
      <c r="R371" s="85"/>
      <c r="S371" s="85"/>
    </row>
    <row r="372" spans="1:19" ht="31.5">
      <c r="A372" s="83">
        <v>1524</v>
      </c>
      <c r="B372" s="141">
        <v>45860</v>
      </c>
      <c r="C372" s="18" t="s">
        <v>5</v>
      </c>
      <c r="D372" s="21" t="s">
        <v>173</v>
      </c>
      <c r="E372" s="21" t="s">
        <v>1670</v>
      </c>
      <c r="F372" s="20" t="s">
        <v>16</v>
      </c>
      <c r="G372" s="18" t="str">
        <f>C372</f>
        <v>ECE</v>
      </c>
      <c r="H372" s="86">
        <v>1800</v>
      </c>
      <c r="I372" s="140">
        <v>45875</v>
      </c>
      <c r="J372" s="87"/>
      <c r="K372" s="57"/>
      <c r="L372" s="86" t="s">
        <v>1669</v>
      </c>
      <c r="M372" s="86">
        <v>81</v>
      </c>
      <c r="N372" s="85"/>
      <c r="O372" s="85"/>
      <c r="P372" s="85"/>
      <c r="Q372" s="85"/>
      <c r="R372" s="85"/>
      <c r="S372" s="85"/>
    </row>
    <row r="373" spans="1:19" ht="47.25">
      <c r="A373" s="83">
        <v>1525</v>
      </c>
      <c r="B373" s="141">
        <v>45861</v>
      </c>
      <c r="C373" s="18" t="s">
        <v>5</v>
      </c>
      <c r="D373" s="21" t="s">
        <v>294</v>
      </c>
      <c r="E373" s="21" t="s">
        <v>1668</v>
      </c>
      <c r="F373" s="20" t="s">
        <v>16</v>
      </c>
      <c r="G373" s="18" t="str">
        <f>C373</f>
        <v>ECE</v>
      </c>
      <c r="H373" s="86">
        <v>900</v>
      </c>
      <c r="I373" s="140">
        <v>45875</v>
      </c>
      <c r="J373" s="87"/>
      <c r="K373" s="57"/>
      <c r="L373" s="86" t="s">
        <v>1667</v>
      </c>
      <c r="M373" s="86">
        <v>81</v>
      </c>
      <c r="N373" s="85"/>
      <c r="O373" s="85"/>
      <c r="P373" s="85"/>
      <c r="Q373" s="85"/>
      <c r="R373" s="85"/>
      <c r="S373" s="85"/>
    </row>
    <row r="374" spans="1:19" ht="31.5">
      <c r="A374" s="83">
        <v>1526</v>
      </c>
      <c r="B374" s="141">
        <v>45856</v>
      </c>
      <c r="C374" s="18" t="s">
        <v>36</v>
      </c>
      <c r="D374" s="21" t="s">
        <v>1666</v>
      </c>
      <c r="E374" s="21" t="s">
        <v>1665</v>
      </c>
      <c r="F374" s="20" t="s">
        <v>16</v>
      </c>
      <c r="G374" s="18" t="str">
        <f>C374</f>
        <v>AIDS</v>
      </c>
      <c r="H374" s="86">
        <v>1800</v>
      </c>
      <c r="I374" s="140">
        <v>45875</v>
      </c>
      <c r="J374" s="87"/>
      <c r="K374" s="57"/>
      <c r="L374" s="86" t="s">
        <v>724</v>
      </c>
      <c r="M374" s="86">
        <v>81</v>
      </c>
      <c r="N374" s="85"/>
      <c r="O374" s="85"/>
      <c r="P374" s="85"/>
      <c r="Q374" s="85"/>
      <c r="R374" s="85"/>
      <c r="S374" s="85"/>
    </row>
    <row r="375" spans="1:19" ht="47.25">
      <c r="A375" s="83">
        <v>1527</v>
      </c>
      <c r="B375" s="141">
        <v>45859</v>
      </c>
      <c r="C375" s="18" t="s">
        <v>5</v>
      </c>
      <c r="D375" s="21" t="s">
        <v>267</v>
      </c>
      <c r="E375" s="21" t="s">
        <v>1664</v>
      </c>
      <c r="F375" s="20" t="s">
        <v>187</v>
      </c>
      <c r="G375" s="18" t="str">
        <f>C375</f>
        <v>ECE</v>
      </c>
      <c r="H375" s="86">
        <v>1800</v>
      </c>
      <c r="I375" s="140">
        <v>45875</v>
      </c>
      <c r="J375" s="87"/>
      <c r="K375" s="57"/>
      <c r="L375" s="86" t="s">
        <v>1662</v>
      </c>
      <c r="M375" s="86">
        <v>81</v>
      </c>
      <c r="N375" s="85"/>
      <c r="O375" s="85"/>
      <c r="P375" s="85"/>
      <c r="Q375" s="85"/>
      <c r="R375" s="85"/>
      <c r="S375" s="85"/>
    </row>
    <row r="376" spans="1:19" ht="31.5">
      <c r="A376" s="83">
        <v>1528</v>
      </c>
      <c r="B376" s="141">
        <v>45859</v>
      </c>
      <c r="C376" s="18" t="s">
        <v>5</v>
      </c>
      <c r="D376" s="21" t="s">
        <v>267</v>
      </c>
      <c r="E376" s="21" t="s">
        <v>1663</v>
      </c>
      <c r="F376" s="20" t="s">
        <v>187</v>
      </c>
      <c r="G376" s="18" t="str">
        <f>C376</f>
        <v>ECE</v>
      </c>
      <c r="H376" s="86">
        <v>1800</v>
      </c>
      <c r="I376" s="140">
        <v>45875</v>
      </c>
      <c r="J376" s="87"/>
      <c r="K376" s="57"/>
      <c r="L376" s="86" t="s">
        <v>1662</v>
      </c>
      <c r="M376" s="86">
        <v>81</v>
      </c>
      <c r="N376" s="85"/>
      <c r="O376" s="85"/>
      <c r="P376" s="85"/>
      <c r="Q376" s="85"/>
      <c r="R376" s="85"/>
      <c r="S376" s="85"/>
    </row>
    <row r="377" spans="1:19" ht="31.5">
      <c r="A377" s="83">
        <v>1529</v>
      </c>
      <c r="B377" s="141">
        <v>45859</v>
      </c>
      <c r="C377" s="18" t="s">
        <v>5</v>
      </c>
      <c r="D377" s="21" t="s">
        <v>267</v>
      </c>
      <c r="E377" s="21" t="s">
        <v>1661</v>
      </c>
      <c r="F377" s="20" t="s">
        <v>187</v>
      </c>
      <c r="G377" s="18" t="str">
        <f>C377</f>
        <v>ECE</v>
      </c>
      <c r="H377" s="86">
        <v>1800</v>
      </c>
      <c r="I377" s="140">
        <v>45875</v>
      </c>
      <c r="J377" s="87"/>
      <c r="K377" s="57"/>
      <c r="L377" s="95">
        <v>45906</v>
      </c>
      <c r="M377" s="86">
        <v>81</v>
      </c>
      <c r="N377" s="85"/>
      <c r="O377" s="85"/>
      <c r="P377" s="85"/>
      <c r="Q377" s="85"/>
      <c r="R377" s="85"/>
      <c r="S377" s="85"/>
    </row>
    <row r="378" spans="1:19" ht="31.5">
      <c r="A378" s="83">
        <v>1530</v>
      </c>
      <c r="B378" s="141">
        <v>45859</v>
      </c>
      <c r="C378" s="18" t="s">
        <v>5</v>
      </c>
      <c r="D378" s="21" t="s">
        <v>267</v>
      </c>
      <c r="E378" s="21" t="s">
        <v>1660</v>
      </c>
      <c r="F378" s="20" t="s">
        <v>187</v>
      </c>
      <c r="G378" s="18" t="str">
        <f>C378</f>
        <v>ECE</v>
      </c>
      <c r="H378" s="86">
        <v>1800</v>
      </c>
      <c r="I378" s="140">
        <v>45875</v>
      </c>
      <c r="J378" s="87"/>
      <c r="K378" s="57"/>
      <c r="L378" s="95">
        <v>45720</v>
      </c>
      <c r="M378" s="86">
        <v>81</v>
      </c>
      <c r="N378" s="85"/>
      <c r="O378" s="85"/>
      <c r="P378" s="85"/>
      <c r="Q378" s="85"/>
      <c r="R378" s="85"/>
      <c r="S378" s="85"/>
    </row>
    <row r="379" spans="1:19" ht="31.5">
      <c r="A379" s="83">
        <v>1531</v>
      </c>
      <c r="B379" s="141">
        <v>45856</v>
      </c>
      <c r="C379" s="18" t="s">
        <v>2</v>
      </c>
      <c r="D379" s="21" t="s">
        <v>99</v>
      </c>
      <c r="E379" s="21" t="s">
        <v>1659</v>
      </c>
      <c r="F379" s="20" t="s">
        <v>23</v>
      </c>
      <c r="G379" s="18" t="str">
        <f>C379</f>
        <v>Mech</v>
      </c>
      <c r="H379" s="86">
        <v>3000</v>
      </c>
      <c r="I379" s="140">
        <v>45875</v>
      </c>
      <c r="J379" s="87"/>
      <c r="K379" s="57"/>
      <c r="L379" s="86" t="s">
        <v>1658</v>
      </c>
      <c r="M379" s="86">
        <v>81</v>
      </c>
      <c r="N379" s="85"/>
      <c r="O379" s="85"/>
      <c r="P379" s="85"/>
      <c r="Q379" s="85"/>
      <c r="R379" s="85"/>
      <c r="S379" s="85"/>
    </row>
    <row r="380" spans="1:19" ht="15.75">
      <c r="A380" s="83">
        <v>1532</v>
      </c>
      <c r="B380" s="141">
        <v>45856</v>
      </c>
      <c r="C380" s="18" t="s">
        <v>2</v>
      </c>
      <c r="D380" s="21" t="s">
        <v>99</v>
      </c>
      <c r="E380" s="21" t="s">
        <v>1427</v>
      </c>
      <c r="F380" s="20" t="s">
        <v>193</v>
      </c>
      <c r="G380" s="18" t="str">
        <f>C380</f>
        <v>Mech</v>
      </c>
      <c r="H380" s="86">
        <v>10000</v>
      </c>
      <c r="I380" s="140">
        <v>45875</v>
      </c>
      <c r="J380" s="87"/>
      <c r="K380" s="57"/>
      <c r="L380" s="86" t="s">
        <v>1650</v>
      </c>
      <c r="M380" s="86">
        <v>81</v>
      </c>
      <c r="N380" s="85"/>
      <c r="O380" s="85"/>
      <c r="P380" s="85"/>
      <c r="Q380" s="85"/>
      <c r="R380" s="85"/>
      <c r="S380" s="85"/>
    </row>
    <row r="381" spans="1:19" ht="31.5">
      <c r="A381" s="83">
        <v>1533</v>
      </c>
      <c r="B381" s="141">
        <v>45853</v>
      </c>
      <c r="C381" s="18" t="s">
        <v>5</v>
      </c>
      <c r="D381" s="21" t="s">
        <v>781</v>
      </c>
      <c r="E381" s="21" t="s">
        <v>1657</v>
      </c>
      <c r="F381" s="20" t="s">
        <v>324</v>
      </c>
      <c r="G381" s="18" t="str">
        <f>C381</f>
        <v>ECE</v>
      </c>
      <c r="H381" s="86">
        <v>3000</v>
      </c>
      <c r="I381" s="140">
        <v>45875</v>
      </c>
      <c r="J381" s="87"/>
      <c r="K381" s="57"/>
      <c r="L381" s="95"/>
      <c r="M381" s="86">
        <v>81</v>
      </c>
      <c r="N381" s="85"/>
      <c r="O381" s="85"/>
      <c r="P381" s="85"/>
      <c r="Q381" s="85"/>
      <c r="R381" s="85"/>
      <c r="S381" s="85"/>
    </row>
    <row r="382" spans="1:19" ht="15.75">
      <c r="A382" s="83">
        <v>1534</v>
      </c>
      <c r="B382" s="141">
        <v>45853</v>
      </c>
      <c r="C382" s="18" t="s">
        <v>5</v>
      </c>
      <c r="D382" s="21" t="s">
        <v>781</v>
      </c>
      <c r="E382" s="21" t="s">
        <v>1656</v>
      </c>
      <c r="F382" s="20" t="s">
        <v>324</v>
      </c>
      <c r="G382" s="18" t="str">
        <f>C382</f>
        <v>ECE</v>
      </c>
      <c r="H382" s="86">
        <v>1800</v>
      </c>
      <c r="I382" s="140">
        <v>45875</v>
      </c>
      <c r="J382" s="87"/>
      <c r="K382" s="57"/>
      <c r="L382" s="95"/>
      <c r="M382" s="86">
        <v>81</v>
      </c>
      <c r="N382" s="85"/>
      <c r="O382" s="85"/>
      <c r="P382" s="85"/>
      <c r="Q382" s="85"/>
      <c r="R382" s="85"/>
      <c r="S382" s="85"/>
    </row>
    <row r="383" spans="1:19" ht="31.5">
      <c r="A383" s="83">
        <v>1535</v>
      </c>
      <c r="B383" s="141">
        <v>45853</v>
      </c>
      <c r="C383" s="18" t="s">
        <v>5</v>
      </c>
      <c r="D383" s="21" t="s">
        <v>781</v>
      </c>
      <c r="E383" s="21" t="s">
        <v>1655</v>
      </c>
      <c r="F383" s="20" t="s">
        <v>324</v>
      </c>
      <c r="G383" s="18" t="str">
        <f>C383</f>
        <v>ECE</v>
      </c>
      <c r="H383" s="86">
        <v>1800</v>
      </c>
      <c r="I383" s="140">
        <v>45875</v>
      </c>
      <c r="J383" s="87"/>
      <c r="K383" s="57"/>
      <c r="L383" s="95"/>
      <c r="M383" s="86">
        <v>81</v>
      </c>
      <c r="N383" s="85"/>
      <c r="O383" s="85"/>
      <c r="P383" s="85"/>
      <c r="Q383" s="85"/>
      <c r="R383" s="85"/>
      <c r="S383" s="85"/>
    </row>
    <row r="384" spans="1:19" ht="15.75">
      <c r="A384" s="83">
        <v>1536</v>
      </c>
      <c r="B384" s="141">
        <v>45854</v>
      </c>
      <c r="C384" s="18" t="s">
        <v>1</v>
      </c>
      <c r="D384" s="21" t="s">
        <v>797</v>
      </c>
      <c r="E384" s="21" t="s">
        <v>1654</v>
      </c>
      <c r="F384" s="20" t="s">
        <v>16</v>
      </c>
      <c r="G384" s="18" t="str">
        <f>C384</f>
        <v>S&amp;H</v>
      </c>
      <c r="H384" s="86">
        <v>3000</v>
      </c>
      <c r="I384" s="140">
        <v>45875</v>
      </c>
      <c r="J384" s="87"/>
      <c r="K384" s="57"/>
      <c r="L384" s="95">
        <v>45658</v>
      </c>
      <c r="M384" s="86">
        <v>81</v>
      </c>
      <c r="N384" s="85"/>
      <c r="O384" s="85"/>
      <c r="P384" s="85"/>
      <c r="Q384" s="85"/>
      <c r="R384" s="85"/>
      <c r="S384" s="85"/>
    </row>
    <row r="385" spans="1:19" ht="47.25">
      <c r="A385" s="83">
        <v>1537</v>
      </c>
      <c r="B385" s="141">
        <v>45854</v>
      </c>
      <c r="C385" s="18" t="s">
        <v>1</v>
      </c>
      <c r="D385" s="21" t="s">
        <v>797</v>
      </c>
      <c r="E385" s="21" t="s">
        <v>1653</v>
      </c>
      <c r="F385" s="20" t="s">
        <v>16</v>
      </c>
      <c r="G385" s="18" t="str">
        <f>C385</f>
        <v>S&amp;H</v>
      </c>
      <c r="H385" s="86">
        <v>1800</v>
      </c>
      <c r="I385" s="140">
        <v>45875</v>
      </c>
      <c r="J385" s="87"/>
      <c r="K385" s="57"/>
      <c r="L385" s="95">
        <v>45690</v>
      </c>
      <c r="M385" s="86">
        <v>81</v>
      </c>
      <c r="N385" s="85"/>
      <c r="O385" s="85"/>
      <c r="P385" s="85"/>
      <c r="Q385" s="85"/>
      <c r="R385" s="85"/>
      <c r="S385" s="85"/>
    </row>
    <row r="386" spans="1:19" ht="31.5">
      <c r="A386" s="83">
        <v>1538</v>
      </c>
      <c r="B386" s="141">
        <v>45835</v>
      </c>
      <c r="C386" s="18" t="s">
        <v>2</v>
      </c>
      <c r="D386" s="21" t="s">
        <v>93</v>
      </c>
      <c r="E386" s="21" t="s">
        <v>1652</v>
      </c>
      <c r="F386" s="20" t="s">
        <v>23</v>
      </c>
      <c r="G386" s="18" t="str">
        <f>C386</f>
        <v>Mech</v>
      </c>
      <c r="H386" s="86">
        <v>10000</v>
      </c>
      <c r="I386" s="140">
        <v>45875</v>
      </c>
      <c r="J386" s="87"/>
      <c r="K386" s="57"/>
      <c r="L386" s="86" t="s">
        <v>1651</v>
      </c>
      <c r="M386" s="86">
        <v>81</v>
      </c>
      <c r="N386" s="85"/>
      <c r="O386" s="85"/>
      <c r="P386" s="85"/>
      <c r="Q386" s="85"/>
      <c r="R386" s="85"/>
      <c r="S386" s="85"/>
    </row>
    <row r="387" spans="1:19" ht="15.75">
      <c r="A387" s="83">
        <v>1539</v>
      </c>
      <c r="B387" s="141">
        <v>45835</v>
      </c>
      <c r="C387" s="18" t="s">
        <v>2</v>
      </c>
      <c r="D387" s="21" t="s">
        <v>93</v>
      </c>
      <c r="E387" s="21" t="s">
        <v>1443</v>
      </c>
      <c r="F387" s="20" t="s">
        <v>193</v>
      </c>
      <c r="G387" s="18" t="str">
        <f>C387</f>
        <v>Mech</v>
      </c>
      <c r="H387" s="86">
        <v>8000</v>
      </c>
      <c r="I387" s="140">
        <v>45875</v>
      </c>
      <c r="J387" s="87"/>
      <c r="K387" s="57"/>
      <c r="L387" s="86" t="s">
        <v>1650</v>
      </c>
      <c r="M387" s="86">
        <v>81</v>
      </c>
      <c r="N387" s="85"/>
      <c r="O387" s="85"/>
      <c r="P387" s="85"/>
      <c r="Q387" s="85"/>
      <c r="R387" s="85"/>
      <c r="S387" s="85"/>
    </row>
    <row r="388" spans="1:19" ht="15.75">
      <c r="A388" s="83">
        <v>1540</v>
      </c>
      <c r="B388" s="141">
        <v>45852</v>
      </c>
      <c r="C388" s="18" t="s">
        <v>5</v>
      </c>
      <c r="D388" s="21" t="s">
        <v>831</v>
      </c>
      <c r="E388" s="21" t="s">
        <v>393</v>
      </c>
      <c r="F388" s="20" t="s">
        <v>193</v>
      </c>
      <c r="G388" s="18" t="str">
        <f>C388</f>
        <v>ECE</v>
      </c>
      <c r="H388" s="86">
        <v>2000</v>
      </c>
      <c r="I388" s="140">
        <v>45875</v>
      </c>
      <c r="J388" s="87"/>
      <c r="K388" s="57"/>
      <c r="L388" s="86" t="s">
        <v>1539</v>
      </c>
      <c r="M388" s="86">
        <v>81</v>
      </c>
      <c r="N388" s="85"/>
      <c r="O388" s="85"/>
      <c r="P388" s="85"/>
      <c r="Q388" s="85"/>
      <c r="R388" s="85"/>
      <c r="S388" s="85"/>
    </row>
    <row r="389" spans="1:19" ht="31.5">
      <c r="A389" s="83">
        <v>1541</v>
      </c>
      <c r="B389" s="141">
        <v>45854</v>
      </c>
      <c r="C389" s="18" t="s">
        <v>6</v>
      </c>
      <c r="D389" s="21" t="s">
        <v>181</v>
      </c>
      <c r="E389" s="21" t="s">
        <v>1649</v>
      </c>
      <c r="F389" s="20" t="s">
        <v>187</v>
      </c>
      <c r="G389" s="18" t="str">
        <f>C389</f>
        <v>CSE</v>
      </c>
      <c r="H389" s="86">
        <v>3000</v>
      </c>
      <c r="I389" s="140">
        <v>45875</v>
      </c>
      <c r="J389" s="87"/>
      <c r="K389" s="57"/>
      <c r="L389" s="95">
        <v>45627</v>
      </c>
      <c r="M389" s="86">
        <v>81</v>
      </c>
      <c r="N389" s="85"/>
      <c r="O389" s="85"/>
      <c r="P389" s="85"/>
      <c r="Q389" s="85"/>
      <c r="R389" s="85"/>
      <c r="S389" s="85"/>
    </row>
    <row r="390" spans="1:19" ht="31.5">
      <c r="A390" s="83">
        <v>1542</v>
      </c>
      <c r="B390" s="141">
        <v>45854</v>
      </c>
      <c r="C390" s="18" t="s">
        <v>6</v>
      </c>
      <c r="D390" s="21" t="s">
        <v>181</v>
      </c>
      <c r="E390" s="21" t="s">
        <v>1648</v>
      </c>
      <c r="F390" s="20" t="s">
        <v>187</v>
      </c>
      <c r="G390" s="18" t="str">
        <f>C390</f>
        <v>CSE</v>
      </c>
      <c r="H390" s="86">
        <v>3000</v>
      </c>
      <c r="I390" s="140">
        <v>45875</v>
      </c>
      <c r="J390" s="87"/>
      <c r="K390" s="57"/>
      <c r="L390" s="95">
        <v>45627</v>
      </c>
      <c r="M390" s="86">
        <v>81</v>
      </c>
      <c r="N390" s="85"/>
      <c r="O390" s="85"/>
      <c r="P390" s="85"/>
      <c r="Q390" s="85"/>
      <c r="R390" s="85"/>
      <c r="S390" s="85"/>
    </row>
    <row r="391" spans="1:19" ht="15.75">
      <c r="A391" s="83">
        <v>1543</v>
      </c>
      <c r="B391" s="141">
        <v>45854</v>
      </c>
      <c r="C391" s="18" t="s">
        <v>6</v>
      </c>
      <c r="D391" s="21" t="s">
        <v>181</v>
      </c>
      <c r="E391" s="21" t="s">
        <v>1647</v>
      </c>
      <c r="F391" s="20" t="s">
        <v>187</v>
      </c>
      <c r="G391" s="18" t="str">
        <f>C391</f>
        <v>CSE</v>
      </c>
      <c r="H391" s="86">
        <v>3000</v>
      </c>
      <c r="I391" s="140">
        <v>45875</v>
      </c>
      <c r="J391" s="87"/>
      <c r="K391" s="57"/>
      <c r="L391" s="95">
        <v>45627</v>
      </c>
      <c r="M391" s="86">
        <v>81</v>
      </c>
      <c r="N391" s="85"/>
      <c r="O391" s="85"/>
      <c r="P391" s="85"/>
      <c r="Q391" s="85"/>
      <c r="R391" s="85"/>
      <c r="S391" s="85"/>
    </row>
    <row r="392" spans="1:19" ht="15.75">
      <c r="A392" s="83">
        <v>1544</v>
      </c>
      <c r="B392" s="141">
        <v>45854</v>
      </c>
      <c r="C392" s="18" t="s">
        <v>6</v>
      </c>
      <c r="D392" s="21" t="s">
        <v>181</v>
      </c>
      <c r="E392" s="21" t="s">
        <v>1646</v>
      </c>
      <c r="F392" s="20" t="s">
        <v>187</v>
      </c>
      <c r="G392" s="18" t="str">
        <f>C392</f>
        <v>CSE</v>
      </c>
      <c r="H392" s="86">
        <v>3000</v>
      </c>
      <c r="I392" s="140">
        <v>45875</v>
      </c>
      <c r="J392" s="87"/>
      <c r="K392" s="57"/>
      <c r="L392" s="95">
        <v>45627</v>
      </c>
      <c r="M392" s="86">
        <v>81</v>
      </c>
      <c r="N392" s="85"/>
      <c r="O392" s="85"/>
      <c r="P392" s="85"/>
      <c r="Q392" s="85"/>
      <c r="R392" s="85"/>
      <c r="S392" s="85"/>
    </row>
    <row r="393" spans="1:19" ht="31.5">
      <c r="A393" s="83">
        <v>1545</v>
      </c>
      <c r="B393" s="141">
        <v>45854</v>
      </c>
      <c r="C393" s="18" t="s">
        <v>6</v>
      </c>
      <c r="D393" s="21" t="s">
        <v>181</v>
      </c>
      <c r="E393" s="21" t="s">
        <v>1645</v>
      </c>
      <c r="F393" s="20" t="s">
        <v>187</v>
      </c>
      <c r="G393" s="18" t="str">
        <f>C393</f>
        <v>CSE</v>
      </c>
      <c r="H393" s="86">
        <v>3000</v>
      </c>
      <c r="I393" s="140">
        <v>45875</v>
      </c>
      <c r="J393" s="87"/>
      <c r="K393" s="57"/>
      <c r="L393" s="95">
        <v>45627</v>
      </c>
      <c r="M393" s="86">
        <v>81</v>
      </c>
      <c r="N393" s="85"/>
      <c r="O393" s="85"/>
      <c r="P393" s="85"/>
      <c r="Q393" s="85"/>
      <c r="R393" s="85"/>
      <c r="S393" s="85"/>
    </row>
    <row r="394" spans="1:19" ht="31.5">
      <c r="A394" s="83">
        <v>1546</v>
      </c>
      <c r="B394" s="141">
        <v>45854</v>
      </c>
      <c r="C394" s="18" t="s">
        <v>6</v>
      </c>
      <c r="D394" s="21" t="s">
        <v>181</v>
      </c>
      <c r="E394" s="21" t="s">
        <v>1644</v>
      </c>
      <c r="F394" s="20" t="s">
        <v>187</v>
      </c>
      <c r="G394" s="18" t="str">
        <f>C394</f>
        <v>CSE</v>
      </c>
      <c r="H394" s="86">
        <v>1500</v>
      </c>
      <c r="I394" s="140">
        <v>45875</v>
      </c>
      <c r="J394" s="87"/>
      <c r="K394" s="57"/>
      <c r="L394" s="95">
        <v>45627</v>
      </c>
      <c r="M394" s="86">
        <v>81</v>
      </c>
      <c r="N394" s="85"/>
      <c r="O394" s="85"/>
      <c r="P394" s="85"/>
      <c r="Q394" s="85"/>
      <c r="R394" s="85"/>
      <c r="S394" s="85"/>
    </row>
    <row r="395" spans="1:19" ht="31.5">
      <c r="A395" s="83">
        <v>1547</v>
      </c>
      <c r="B395" s="141">
        <v>45854</v>
      </c>
      <c r="C395" s="18" t="s">
        <v>6</v>
      </c>
      <c r="D395" s="21" t="s">
        <v>181</v>
      </c>
      <c r="E395" s="21" t="s">
        <v>1643</v>
      </c>
      <c r="F395" s="20" t="s">
        <v>187</v>
      </c>
      <c r="G395" s="18" t="str">
        <f>C395</f>
        <v>CSE</v>
      </c>
      <c r="H395" s="86">
        <v>3000</v>
      </c>
      <c r="I395" s="140">
        <v>45875</v>
      </c>
      <c r="J395" s="87"/>
      <c r="K395" s="57"/>
      <c r="L395" s="95">
        <v>45627</v>
      </c>
      <c r="M395" s="86">
        <v>81</v>
      </c>
      <c r="N395" s="85"/>
      <c r="O395" s="85"/>
      <c r="P395" s="85"/>
      <c r="Q395" s="85"/>
      <c r="R395" s="85"/>
      <c r="S395" s="85"/>
    </row>
    <row r="396" spans="1:19" ht="15.75">
      <c r="A396" s="83">
        <v>1548</v>
      </c>
      <c r="B396" s="141">
        <v>45854</v>
      </c>
      <c r="C396" s="18" t="s">
        <v>6</v>
      </c>
      <c r="D396" s="21" t="s">
        <v>181</v>
      </c>
      <c r="E396" s="21" t="s">
        <v>1642</v>
      </c>
      <c r="F396" s="20" t="s">
        <v>187</v>
      </c>
      <c r="G396" s="18" t="str">
        <f>C396</f>
        <v>CSE</v>
      </c>
      <c r="H396" s="86">
        <v>1800</v>
      </c>
      <c r="I396" s="140">
        <v>45875</v>
      </c>
      <c r="J396" s="87"/>
      <c r="K396" s="57"/>
      <c r="L396" s="95">
        <v>45627</v>
      </c>
      <c r="M396" s="86">
        <v>81</v>
      </c>
      <c r="N396" s="85"/>
      <c r="O396" s="85"/>
      <c r="P396" s="85"/>
      <c r="Q396" s="85"/>
      <c r="R396" s="85"/>
      <c r="S396" s="85"/>
    </row>
    <row r="397" spans="1:19" ht="15.75">
      <c r="A397" s="83">
        <v>1549</v>
      </c>
      <c r="B397" s="141">
        <v>45854</v>
      </c>
      <c r="C397" s="18" t="s">
        <v>6</v>
      </c>
      <c r="D397" s="21" t="s">
        <v>181</v>
      </c>
      <c r="E397" s="21" t="s">
        <v>1641</v>
      </c>
      <c r="F397" s="20" t="s">
        <v>187</v>
      </c>
      <c r="G397" s="18" t="str">
        <f>C397</f>
        <v>CSE</v>
      </c>
      <c r="H397" s="86">
        <v>3000</v>
      </c>
      <c r="I397" s="140">
        <v>45875</v>
      </c>
      <c r="J397" s="87"/>
      <c r="K397" s="57"/>
      <c r="L397" s="95">
        <v>45627</v>
      </c>
      <c r="M397" s="86">
        <v>81</v>
      </c>
      <c r="N397" s="85"/>
      <c r="O397" s="85"/>
      <c r="P397" s="85"/>
      <c r="Q397" s="85"/>
      <c r="R397" s="85"/>
      <c r="S397" s="85"/>
    </row>
    <row r="398" spans="1:19" ht="31.5">
      <c r="A398" s="83">
        <v>1550</v>
      </c>
      <c r="B398" s="141">
        <v>45854</v>
      </c>
      <c r="C398" s="18" t="s">
        <v>6</v>
      </c>
      <c r="D398" s="21" t="s">
        <v>181</v>
      </c>
      <c r="E398" s="21" t="s">
        <v>1640</v>
      </c>
      <c r="F398" s="20" t="s">
        <v>187</v>
      </c>
      <c r="G398" s="18" t="str">
        <f>C398</f>
        <v>CSE</v>
      </c>
      <c r="H398" s="86">
        <v>3000</v>
      </c>
      <c r="I398" s="140">
        <v>45875</v>
      </c>
      <c r="J398" s="87"/>
      <c r="K398" s="57"/>
      <c r="L398" s="95">
        <v>45627</v>
      </c>
      <c r="M398" s="86">
        <v>81</v>
      </c>
      <c r="N398" s="85"/>
      <c r="O398" s="85"/>
      <c r="P398" s="85"/>
      <c r="Q398" s="85"/>
      <c r="R398" s="85"/>
      <c r="S398" s="85"/>
    </row>
    <row r="399" spans="1:19" ht="15.75">
      <c r="A399" s="83">
        <v>1551</v>
      </c>
      <c r="B399" s="141">
        <v>45854</v>
      </c>
      <c r="C399" s="18" t="s">
        <v>6</v>
      </c>
      <c r="D399" s="21" t="s">
        <v>181</v>
      </c>
      <c r="E399" s="21" t="s">
        <v>1485</v>
      </c>
      <c r="F399" s="20" t="s">
        <v>193</v>
      </c>
      <c r="G399" s="18" t="str">
        <f>C399</f>
        <v>CSE</v>
      </c>
      <c r="H399" s="86">
        <v>12000</v>
      </c>
      <c r="I399" s="140">
        <v>45875</v>
      </c>
      <c r="J399" s="87"/>
      <c r="K399" s="57"/>
      <c r="L399" s="86" t="s">
        <v>1639</v>
      </c>
      <c r="M399" s="86">
        <v>81</v>
      </c>
      <c r="N399" s="85"/>
      <c r="O399" s="85"/>
      <c r="P399" s="85"/>
      <c r="Q399" s="85"/>
      <c r="R399" s="85"/>
      <c r="S399" s="85"/>
    </row>
    <row r="400" spans="1:19" ht="15.75">
      <c r="A400" s="83">
        <v>1552</v>
      </c>
      <c r="B400" s="141">
        <v>45854</v>
      </c>
      <c r="C400" s="18" t="s">
        <v>6</v>
      </c>
      <c r="D400" s="21" t="s">
        <v>181</v>
      </c>
      <c r="E400" s="21" t="s">
        <v>1451</v>
      </c>
      <c r="F400" s="20" t="s">
        <v>193</v>
      </c>
      <c r="G400" s="18" t="str">
        <f>C400</f>
        <v>CSE</v>
      </c>
      <c r="H400" s="86">
        <v>6000</v>
      </c>
      <c r="I400" s="140">
        <v>45875</v>
      </c>
      <c r="J400" s="87"/>
      <c r="K400" s="57"/>
      <c r="L400" s="86"/>
      <c r="M400" s="86">
        <v>81</v>
      </c>
      <c r="N400" s="85"/>
      <c r="O400" s="85"/>
      <c r="P400" s="85"/>
      <c r="Q400" s="85"/>
      <c r="R400" s="85"/>
      <c r="S400" s="85"/>
    </row>
    <row r="401" spans="1:19" ht="15.75">
      <c r="A401" s="46"/>
      <c r="B401" s="139"/>
      <c r="C401" s="46"/>
      <c r="D401" s="46"/>
      <c r="E401" s="46" t="s">
        <v>11</v>
      </c>
      <c r="F401" s="42"/>
      <c r="G401" s="90"/>
      <c r="H401" s="89">
        <f>SUM(H365:H400)</f>
        <v>140000</v>
      </c>
      <c r="I401" s="42" t="s">
        <v>718</v>
      </c>
      <c r="J401" s="42"/>
      <c r="K401" s="45">
        <f>H401</f>
        <v>140000</v>
      </c>
      <c r="L401" s="42"/>
      <c r="M401" s="46">
        <v>81</v>
      </c>
      <c r="N401" s="88"/>
      <c r="O401" s="88"/>
      <c r="P401" s="88"/>
      <c r="Q401" s="88"/>
      <c r="R401" s="88"/>
      <c r="S401" s="88"/>
    </row>
    <row r="402" spans="1:19" ht="47.25">
      <c r="A402" s="83">
        <v>1552</v>
      </c>
      <c r="B402" s="141">
        <v>45863</v>
      </c>
      <c r="C402" s="18" t="s">
        <v>5</v>
      </c>
      <c r="D402" s="21" t="s">
        <v>831</v>
      </c>
      <c r="E402" s="21" t="s">
        <v>1638</v>
      </c>
      <c r="F402" s="20" t="s">
        <v>23</v>
      </c>
      <c r="G402" s="18" t="str">
        <f>C402</f>
        <v>ECE</v>
      </c>
      <c r="H402" s="86">
        <v>6000</v>
      </c>
      <c r="I402" s="140">
        <v>45876</v>
      </c>
      <c r="J402" s="87"/>
      <c r="K402" s="57"/>
      <c r="L402" s="86" t="s">
        <v>1637</v>
      </c>
      <c r="M402" s="86">
        <v>82</v>
      </c>
      <c r="N402" s="85"/>
      <c r="O402" s="85"/>
      <c r="P402" s="85"/>
      <c r="Q402" s="85"/>
      <c r="R402" s="85"/>
      <c r="S402" s="85"/>
    </row>
    <row r="403" spans="1:19" ht="15.75">
      <c r="A403" s="83">
        <v>1553</v>
      </c>
      <c r="B403" s="141">
        <v>45867</v>
      </c>
      <c r="C403" s="18" t="s">
        <v>1</v>
      </c>
      <c r="D403" s="21" t="s">
        <v>167</v>
      </c>
      <c r="E403" s="21" t="s">
        <v>393</v>
      </c>
      <c r="F403" s="20" t="s">
        <v>193</v>
      </c>
      <c r="G403" s="18" t="str">
        <f>C403</f>
        <v>S&amp;H</v>
      </c>
      <c r="H403" s="86">
        <v>2000</v>
      </c>
      <c r="I403" s="140">
        <v>45876</v>
      </c>
      <c r="J403" s="87"/>
      <c r="K403" s="57"/>
      <c r="L403" s="133" t="s">
        <v>1624</v>
      </c>
      <c r="M403" s="86">
        <v>82</v>
      </c>
      <c r="N403" s="85"/>
      <c r="O403" s="85"/>
      <c r="P403" s="85"/>
      <c r="Q403" s="85"/>
      <c r="R403" s="85"/>
      <c r="S403" s="85"/>
    </row>
    <row r="404" spans="1:19" ht="31.5">
      <c r="A404" s="83">
        <v>1554</v>
      </c>
      <c r="B404" s="141">
        <v>45867</v>
      </c>
      <c r="C404" s="18" t="s">
        <v>5</v>
      </c>
      <c r="D404" s="21" t="s">
        <v>170</v>
      </c>
      <c r="E404" s="21" t="s">
        <v>1636</v>
      </c>
      <c r="F404" s="20" t="s">
        <v>324</v>
      </c>
      <c r="G404" s="18" t="str">
        <f>C404</f>
        <v>ECE</v>
      </c>
      <c r="H404" s="86">
        <v>5000</v>
      </c>
      <c r="I404" s="140">
        <v>45876</v>
      </c>
      <c r="J404" s="87"/>
      <c r="K404" s="57"/>
      <c r="L404" s="95">
        <v>45784</v>
      </c>
      <c r="M404" s="86">
        <v>82</v>
      </c>
      <c r="N404" s="85"/>
      <c r="O404" s="85"/>
      <c r="P404" s="85"/>
      <c r="Q404" s="85"/>
      <c r="R404" s="85"/>
      <c r="S404" s="85"/>
    </row>
    <row r="405" spans="1:19" ht="47.25">
      <c r="A405" s="83">
        <v>1555</v>
      </c>
      <c r="B405" s="141">
        <v>45772</v>
      </c>
      <c r="C405" s="18" t="s">
        <v>8</v>
      </c>
      <c r="D405" s="21" t="s">
        <v>1635</v>
      </c>
      <c r="E405" s="21" t="s">
        <v>1634</v>
      </c>
      <c r="F405" s="20" t="s">
        <v>16</v>
      </c>
      <c r="G405" s="18" t="str">
        <f>C405</f>
        <v>CCE</v>
      </c>
      <c r="H405" s="86">
        <v>1800</v>
      </c>
      <c r="I405" s="140">
        <v>45876</v>
      </c>
      <c r="J405" s="87"/>
      <c r="K405" s="57"/>
      <c r="L405" s="95"/>
      <c r="M405" s="86">
        <v>82</v>
      </c>
      <c r="N405" s="85"/>
      <c r="O405" s="85"/>
      <c r="P405" s="85"/>
      <c r="Q405" s="85"/>
      <c r="R405" s="85"/>
      <c r="S405" s="85"/>
    </row>
    <row r="406" spans="1:19" ht="47.25">
      <c r="A406" s="83">
        <v>1556</v>
      </c>
      <c r="B406" s="141">
        <v>45849</v>
      </c>
      <c r="C406" s="18" t="s">
        <v>5</v>
      </c>
      <c r="D406" s="21" t="s">
        <v>1450</v>
      </c>
      <c r="E406" s="21" t="s">
        <v>1633</v>
      </c>
      <c r="F406" s="20" t="s">
        <v>23</v>
      </c>
      <c r="G406" s="18" t="str">
        <f>C406</f>
        <v>ECE</v>
      </c>
      <c r="H406" s="86">
        <v>7000</v>
      </c>
      <c r="I406" s="140">
        <v>45876</v>
      </c>
      <c r="J406" s="87" t="s">
        <v>1632</v>
      </c>
      <c r="K406" s="57"/>
      <c r="L406" s="95">
        <v>45717</v>
      </c>
      <c r="M406" s="86">
        <v>82</v>
      </c>
      <c r="N406" s="85"/>
      <c r="O406" s="85"/>
      <c r="P406" s="85"/>
      <c r="Q406" s="85"/>
      <c r="R406" s="85"/>
      <c r="S406" s="85"/>
    </row>
    <row r="407" spans="1:19" ht="31.5">
      <c r="A407" s="83">
        <v>1557</v>
      </c>
      <c r="B407" s="141">
        <v>45849</v>
      </c>
      <c r="C407" s="18" t="s">
        <v>5</v>
      </c>
      <c r="D407" s="21" t="s">
        <v>1450</v>
      </c>
      <c r="E407" s="21" t="s">
        <v>1631</v>
      </c>
      <c r="F407" s="20" t="s">
        <v>16</v>
      </c>
      <c r="G407" s="18" t="str">
        <f>C407</f>
        <v>ECE</v>
      </c>
      <c r="H407" s="86">
        <v>1500</v>
      </c>
      <c r="I407" s="140">
        <v>45876</v>
      </c>
      <c r="J407" s="87"/>
      <c r="K407" s="57"/>
      <c r="L407" s="95">
        <v>45717</v>
      </c>
      <c r="M407" s="86">
        <v>82</v>
      </c>
      <c r="N407" s="85"/>
      <c r="O407" s="85"/>
      <c r="P407" s="85"/>
      <c r="Q407" s="85"/>
      <c r="R407" s="85"/>
      <c r="S407" s="85"/>
    </row>
    <row r="408" spans="1:19" ht="31.5">
      <c r="A408" s="83">
        <v>1558</v>
      </c>
      <c r="B408" s="141">
        <v>45849</v>
      </c>
      <c r="C408" s="18" t="s">
        <v>5</v>
      </c>
      <c r="D408" s="21" t="s">
        <v>1450</v>
      </c>
      <c r="E408" s="21" t="s">
        <v>1630</v>
      </c>
      <c r="F408" s="20" t="s">
        <v>16</v>
      </c>
      <c r="G408" s="18" t="str">
        <f>C408</f>
        <v>ECE</v>
      </c>
      <c r="H408" s="86">
        <v>3000</v>
      </c>
      <c r="I408" s="140">
        <v>45876</v>
      </c>
      <c r="J408" s="87"/>
      <c r="K408" s="57"/>
      <c r="L408" s="95">
        <v>45717</v>
      </c>
      <c r="M408" s="86">
        <v>82</v>
      </c>
      <c r="N408" s="85"/>
      <c r="O408" s="85"/>
      <c r="P408" s="85"/>
      <c r="Q408" s="85"/>
      <c r="R408" s="85"/>
      <c r="S408" s="85"/>
    </row>
    <row r="409" spans="1:19" ht="31.5">
      <c r="A409" s="83">
        <v>1559</v>
      </c>
      <c r="B409" s="141">
        <v>45849</v>
      </c>
      <c r="C409" s="18" t="s">
        <v>5</v>
      </c>
      <c r="D409" s="21" t="s">
        <v>1450</v>
      </c>
      <c r="E409" s="21" t="s">
        <v>1629</v>
      </c>
      <c r="F409" s="20" t="s">
        <v>16</v>
      </c>
      <c r="G409" s="18" t="str">
        <f>C409</f>
        <v>ECE</v>
      </c>
      <c r="H409" s="86">
        <v>1500</v>
      </c>
      <c r="I409" s="140">
        <v>45876</v>
      </c>
      <c r="J409" s="87"/>
      <c r="K409" s="57"/>
      <c r="L409" s="95">
        <v>45717</v>
      </c>
      <c r="M409" s="86">
        <v>82</v>
      </c>
      <c r="N409" s="85"/>
      <c r="O409" s="85"/>
      <c r="P409" s="85"/>
      <c r="Q409" s="85"/>
      <c r="R409" s="85"/>
      <c r="S409" s="85"/>
    </row>
    <row r="410" spans="1:19" ht="31.5">
      <c r="A410" s="83">
        <v>1560</v>
      </c>
      <c r="B410" s="141">
        <v>45868</v>
      </c>
      <c r="C410" s="18" t="s">
        <v>2</v>
      </c>
      <c r="D410" s="21" t="s">
        <v>48</v>
      </c>
      <c r="E410" s="21" t="s">
        <v>1628</v>
      </c>
      <c r="F410" s="20" t="s">
        <v>23</v>
      </c>
      <c r="G410" s="18" t="str">
        <f>C410</f>
        <v>Mech</v>
      </c>
      <c r="H410" s="86">
        <v>10000</v>
      </c>
      <c r="I410" s="140">
        <v>45876</v>
      </c>
      <c r="J410" s="87"/>
      <c r="K410" s="57"/>
      <c r="L410" s="95">
        <v>45658</v>
      </c>
      <c r="M410" s="86">
        <v>82</v>
      </c>
      <c r="N410" s="85"/>
      <c r="O410" s="85"/>
      <c r="P410" s="85"/>
      <c r="Q410" s="85"/>
      <c r="R410" s="85"/>
      <c r="S410" s="85"/>
    </row>
    <row r="411" spans="1:19" ht="31.5">
      <c r="A411" s="83">
        <v>1561</v>
      </c>
      <c r="B411" s="141">
        <v>45868</v>
      </c>
      <c r="C411" s="18" t="s">
        <v>2</v>
      </c>
      <c r="D411" s="21" t="s">
        <v>48</v>
      </c>
      <c r="E411" s="21" t="s">
        <v>1627</v>
      </c>
      <c r="F411" s="20" t="s">
        <v>320</v>
      </c>
      <c r="G411" s="18" t="str">
        <f>C411</f>
        <v>Mech</v>
      </c>
      <c r="H411" s="86">
        <v>5000</v>
      </c>
      <c r="I411" s="140">
        <v>45876</v>
      </c>
      <c r="J411" s="87"/>
      <c r="K411" s="57"/>
      <c r="L411" s="86" t="s">
        <v>1626</v>
      </c>
      <c r="M411" s="86">
        <v>82</v>
      </c>
      <c r="N411" s="85"/>
      <c r="O411" s="85"/>
      <c r="P411" s="85"/>
      <c r="Q411" s="85"/>
      <c r="R411" s="85"/>
      <c r="S411" s="85"/>
    </row>
    <row r="412" spans="1:19" ht="15.75">
      <c r="A412" s="83">
        <v>1562</v>
      </c>
      <c r="B412" s="141">
        <v>45868</v>
      </c>
      <c r="C412" s="18" t="s">
        <v>2</v>
      </c>
      <c r="D412" s="21" t="s">
        <v>48</v>
      </c>
      <c r="E412" s="21" t="s">
        <v>1625</v>
      </c>
      <c r="F412" s="20" t="s">
        <v>193</v>
      </c>
      <c r="G412" s="18" t="str">
        <f>C412</f>
        <v>Mech</v>
      </c>
      <c r="H412" s="86">
        <v>18000</v>
      </c>
      <c r="I412" s="140">
        <v>45876</v>
      </c>
      <c r="J412" s="87"/>
      <c r="K412" s="57"/>
      <c r="L412" s="86" t="s">
        <v>1624</v>
      </c>
      <c r="M412" s="86">
        <v>82</v>
      </c>
      <c r="N412" s="85"/>
      <c r="O412" s="85"/>
      <c r="P412" s="85"/>
      <c r="Q412" s="85"/>
      <c r="R412" s="85"/>
      <c r="S412" s="85"/>
    </row>
    <row r="413" spans="1:19" ht="47.25">
      <c r="A413" s="83">
        <v>1563</v>
      </c>
      <c r="B413" s="141">
        <v>45868</v>
      </c>
      <c r="C413" s="18" t="s">
        <v>5</v>
      </c>
      <c r="D413" s="21" t="s">
        <v>831</v>
      </c>
      <c r="E413" s="21" t="s">
        <v>1623</v>
      </c>
      <c r="F413" s="20" t="s">
        <v>23</v>
      </c>
      <c r="G413" s="18" t="str">
        <f>C413</f>
        <v>ECE</v>
      </c>
      <c r="H413" s="86">
        <v>6000</v>
      </c>
      <c r="I413" s="140">
        <v>45876</v>
      </c>
      <c r="J413" s="87"/>
      <c r="K413" s="57"/>
      <c r="L413" s="86" t="s">
        <v>1548</v>
      </c>
      <c r="M413" s="86">
        <v>82</v>
      </c>
      <c r="N413" s="85"/>
      <c r="O413" s="85"/>
      <c r="P413" s="85"/>
      <c r="Q413" s="85"/>
      <c r="R413" s="85"/>
      <c r="S413" s="85"/>
    </row>
    <row r="414" spans="1:19" ht="31.5">
      <c r="A414" s="83">
        <v>1564</v>
      </c>
      <c r="B414" s="141">
        <v>45867</v>
      </c>
      <c r="C414" s="18" t="s">
        <v>2</v>
      </c>
      <c r="D414" s="21" t="s">
        <v>209</v>
      </c>
      <c r="E414" s="21" t="s">
        <v>1622</v>
      </c>
      <c r="F414" s="20" t="s">
        <v>324</v>
      </c>
      <c r="G414" s="18" t="str">
        <f>C414</f>
        <v>Mech</v>
      </c>
      <c r="H414" s="86">
        <v>5000</v>
      </c>
      <c r="I414" s="140">
        <v>45876</v>
      </c>
      <c r="J414" s="87"/>
      <c r="K414" s="57"/>
      <c r="L414" s="86" t="s">
        <v>1585</v>
      </c>
      <c r="M414" s="86">
        <v>82</v>
      </c>
      <c r="N414" s="85"/>
      <c r="O414" s="85"/>
      <c r="P414" s="85"/>
      <c r="Q414" s="85"/>
      <c r="R414" s="85"/>
      <c r="S414" s="85"/>
    </row>
    <row r="415" spans="1:19" ht="31.5">
      <c r="A415" s="83">
        <v>1565</v>
      </c>
      <c r="B415" s="141">
        <v>45867</v>
      </c>
      <c r="C415" s="18" t="s">
        <v>2</v>
      </c>
      <c r="D415" s="21" t="s">
        <v>209</v>
      </c>
      <c r="E415" s="21" t="s">
        <v>1621</v>
      </c>
      <c r="F415" s="20" t="s">
        <v>16</v>
      </c>
      <c r="G415" s="18" t="str">
        <f>C415</f>
        <v>Mech</v>
      </c>
      <c r="H415" s="86">
        <v>3000</v>
      </c>
      <c r="I415" s="140">
        <v>45876</v>
      </c>
      <c r="J415" s="87"/>
      <c r="K415" s="57"/>
      <c r="L415" s="95">
        <v>45937</v>
      </c>
      <c r="M415" s="86">
        <v>82</v>
      </c>
      <c r="N415" s="85"/>
      <c r="O415" s="85"/>
      <c r="P415" s="85"/>
      <c r="Q415" s="85"/>
      <c r="R415" s="85"/>
      <c r="S415" s="85"/>
    </row>
    <row r="416" spans="1:19" ht="47.25">
      <c r="A416" s="83">
        <v>1566</v>
      </c>
      <c r="B416" s="141">
        <v>45862</v>
      </c>
      <c r="C416" s="18" t="s">
        <v>5</v>
      </c>
      <c r="D416" s="21" t="s">
        <v>899</v>
      </c>
      <c r="E416" s="21" t="s">
        <v>1620</v>
      </c>
      <c r="F416" s="20" t="s">
        <v>324</v>
      </c>
      <c r="G416" s="18" t="str">
        <f>C416</f>
        <v>ECE</v>
      </c>
      <c r="H416" s="86">
        <v>3000</v>
      </c>
      <c r="I416" s="140">
        <v>45876</v>
      </c>
      <c r="J416" s="87"/>
      <c r="K416" s="57"/>
      <c r="L416" s="86">
        <v>2025</v>
      </c>
      <c r="M416" s="86">
        <v>82</v>
      </c>
      <c r="N416" s="85"/>
      <c r="O416" s="85"/>
      <c r="P416" s="85"/>
      <c r="Q416" s="85"/>
      <c r="R416" s="85"/>
      <c r="S416" s="85"/>
    </row>
    <row r="417" spans="1:19" ht="47.25">
      <c r="A417" s="83">
        <v>1567</v>
      </c>
      <c r="B417" s="141">
        <v>45862</v>
      </c>
      <c r="C417" s="18" t="s">
        <v>5</v>
      </c>
      <c r="D417" s="21" t="s">
        <v>899</v>
      </c>
      <c r="E417" s="21" t="s">
        <v>1619</v>
      </c>
      <c r="F417" s="20" t="s">
        <v>16</v>
      </c>
      <c r="G417" s="18" t="str">
        <f>C417</f>
        <v>ECE</v>
      </c>
      <c r="H417" s="86">
        <v>1800</v>
      </c>
      <c r="I417" s="140">
        <v>45876</v>
      </c>
      <c r="J417" s="87"/>
      <c r="K417" s="57"/>
      <c r="L417" s="86">
        <v>2025</v>
      </c>
      <c r="M417" s="86">
        <v>82</v>
      </c>
      <c r="N417" s="85"/>
      <c r="O417" s="85"/>
      <c r="P417" s="85"/>
      <c r="Q417" s="85"/>
      <c r="R417" s="85"/>
      <c r="S417" s="85"/>
    </row>
    <row r="418" spans="1:19" ht="15.75">
      <c r="A418" s="46"/>
      <c r="B418" s="139"/>
      <c r="C418" s="46"/>
      <c r="D418" s="46"/>
      <c r="E418" s="46" t="s">
        <v>11</v>
      </c>
      <c r="F418" s="42"/>
      <c r="G418" s="90"/>
      <c r="H418" s="89">
        <f>SUM(H402:H417)</f>
        <v>79600</v>
      </c>
      <c r="I418" s="42"/>
      <c r="J418" s="42"/>
      <c r="K418" s="45">
        <f>H418</f>
        <v>79600</v>
      </c>
      <c r="L418" s="42"/>
      <c r="M418" s="46">
        <v>82</v>
      </c>
      <c r="N418" s="88"/>
      <c r="O418" s="88"/>
      <c r="P418" s="88"/>
      <c r="Q418" s="88"/>
      <c r="R418" s="88"/>
      <c r="S418" s="88"/>
    </row>
    <row r="419" spans="1:19" ht="31.5">
      <c r="A419" s="83">
        <v>1568</v>
      </c>
      <c r="B419" s="141">
        <v>45848</v>
      </c>
      <c r="C419" s="18" t="s">
        <v>8</v>
      </c>
      <c r="D419" s="21" t="s">
        <v>1204</v>
      </c>
      <c r="E419" s="21" t="s">
        <v>1618</v>
      </c>
      <c r="F419" s="20" t="s">
        <v>16</v>
      </c>
      <c r="G419" s="18" t="str">
        <f>C419</f>
        <v>CCE</v>
      </c>
      <c r="H419" s="86">
        <v>3000</v>
      </c>
      <c r="I419" s="140">
        <v>45904</v>
      </c>
      <c r="J419" s="87"/>
      <c r="K419" s="57"/>
      <c r="L419" s="86" t="s">
        <v>1617</v>
      </c>
      <c r="M419" s="86">
        <v>83</v>
      </c>
      <c r="N419" s="85"/>
      <c r="O419" s="85"/>
      <c r="P419" s="85"/>
      <c r="Q419" s="85"/>
      <c r="R419" s="85"/>
      <c r="S419" s="85"/>
    </row>
    <row r="420" spans="1:19" ht="47.25">
      <c r="A420" s="83">
        <v>1569</v>
      </c>
      <c r="B420" s="141">
        <v>45890</v>
      </c>
      <c r="C420" s="18" t="s">
        <v>8</v>
      </c>
      <c r="D420" s="21" t="s">
        <v>278</v>
      </c>
      <c r="E420" s="21" t="s">
        <v>1616</v>
      </c>
      <c r="F420" s="20" t="s">
        <v>23</v>
      </c>
      <c r="G420" s="18" t="str">
        <f>C420</f>
        <v>CCE</v>
      </c>
      <c r="H420" s="86">
        <v>6000</v>
      </c>
      <c r="I420" s="140">
        <v>45904</v>
      </c>
      <c r="J420" s="87"/>
      <c r="K420" s="57"/>
      <c r="L420" s="86" t="s">
        <v>1615</v>
      </c>
      <c r="M420" s="86">
        <v>83</v>
      </c>
      <c r="N420" s="85"/>
      <c r="O420" s="85"/>
      <c r="P420" s="85"/>
      <c r="Q420" s="85"/>
      <c r="R420" s="85"/>
      <c r="S420" s="85"/>
    </row>
    <row r="421" spans="1:19" ht="31.5">
      <c r="A421" s="83">
        <v>1570</v>
      </c>
      <c r="B421" s="141">
        <v>45880</v>
      </c>
      <c r="C421" s="18" t="s">
        <v>7</v>
      </c>
      <c r="D421" s="21" t="s">
        <v>1613</v>
      </c>
      <c r="E421" s="21" t="s">
        <v>1614</v>
      </c>
      <c r="F421" s="20" t="s">
        <v>16</v>
      </c>
      <c r="G421" s="18" t="str">
        <f>C421</f>
        <v>CSBS</v>
      </c>
      <c r="H421" s="86">
        <v>1800</v>
      </c>
      <c r="I421" s="140">
        <v>45904</v>
      </c>
      <c r="J421" s="87"/>
      <c r="K421" s="57"/>
      <c r="L421" s="86" t="s">
        <v>1112</v>
      </c>
      <c r="M421" s="86">
        <v>83</v>
      </c>
      <c r="N421" s="85"/>
      <c r="O421" s="85"/>
      <c r="P421" s="85"/>
      <c r="Q421" s="85"/>
      <c r="R421" s="85"/>
      <c r="S421" s="85"/>
    </row>
    <row r="422" spans="1:19" ht="31.5">
      <c r="A422" s="83">
        <v>1571</v>
      </c>
      <c r="B422" s="141">
        <v>45880</v>
      </c>
      <c r="C422" s="18" t="s">
        <v>7</v>
      </c>
      <c r="D422" s="21" t="s">
        <v>1613</v>
      </c>
      <c r="E422" s="21" t="s">
        <v>1612</v>
      </c>
      <c r="F422" s="20" t="s">
        <v>16</v>
      </c>
      <c r="G422" s="18" t="str">
        <f>C422</f>
        <v>CSBS</v>
      </c>
      <c r="H422" s="86">
        <v>1800</v>
      </c>
      <c r="I422" s="140">
        <v>45904</v>
      </c>
      <c r="J422" s="87"/>
      <c r="K422" s="57"/>
      <c r="L422" s="86" t="s">
        <v>1611</v>
      </c>
      <c r="M422" s="86">
        <v>83</v>
      </c>
      <c r="N422" s="85"/>
      <c r="O422" s="85"/>
      <c r="P422" s="85"/>
      <c r="Q422" s="85"/>
      <c r="R422" s="85"/>
      <c r="S422" s="85"/>
    </row>
    <row r="423" spans="1:19" ht="15.75">
      <c r="A423" s="83">
        <v>1572</v>
      </c>
      <c r="B423" s="141">
        <v>45877</v>
      </c>
      <c r="C423" s="18" t="s">
        <v>6</v>
      </c>
      <c r="D423" s="21" t="s">
        <v>675</v>
      </c>
      <c r="E423" s="21" t="s">
        <v>1443</v>
      </c>
      <c r="F423" s="20" t="s">
        <v>193</v>
      </c>
      <c r="G423" s="18" t="str">
        <f>C423</f>
        <v>CSE</v>
      </c>
      <c r="H423" s="86">
        <v>8000</v>
      </c>
      <c r="I423" s="140">
        <v>45904</v>
      </c>
      <c r="J423" s="87"/>
      <c r="K423" s="57"/>
      <c r="L423" s="86" t="s">
        <v>1610</v>
      </c>
      <c r="M423" s="86">
        <v>83</v>
      </c>
      <c r="N423" s="85"/>
      <c r="O423" s="85"/>
      <c r="P423" s="85"/>
      <c r="Q423" s="85"/>
      <c r="R423" s="85"/>
      <c r="S423" s="85"/>
    </row>
    <row r="424" spans="1:19" ht="15.75">
      <c r="A424" s="83">
        <v>1573</v>
      </c>
      <c r="B424" s="141">
        <v>45861</v>
      </c>
      <c r="C424" s="18" t="s">
        <v>5</v>
      </c>
      <c r="D424" s="21" t="s">
        <v>831</v>
      </c>
      <c r="E424" s="21" t="s">
        <v>393</v>
      </c>
      <c r="F424" s="20" t="s">
        <v>193</v>
      </c>
      <c r="G424" s="18" t="str">
        <f>C424</f>
        <v>ECE</v>
      </c>
      <c r="H424" s="86">
        <v>2000</v>
      </c>
      <c r="I424" s="140">
        <v>45904</v>
      </c>
      <c r="J424" s="87"/>
      <c r="K424" s="57"/>
      <c r="L424" s="86" t="s">
        <v>1574</v>
      </c>
      <c r="M424" s="86">
        <v>83</v>
      </c>
      <c r="N424" s="85"/>
      <c r="O424" s="85"/>
      <c r="P424" s="85"/>
      <c r="Q424" s="85"/>
      <c r="R424" s="85"/>
      <c r="S424" s="85"/>
    </row>
    <row r="425" spans="1:19" ht="15.75">
      <c r="A425" s="83">
        <v>1574</v>
      </c>
      <c r="B425" s="141">
        <v>45874</v>
      </c>
      <c r="C425" s="18" t="s">
        <v>5</v>
      </c>
      <c r="D425" s="21" t="s">
        <v>650</v>
      </c>
      <c r="E425" s="21" t="s">
        <v>393</v>
      </c>
      <c r="F425" s="20" t="s">
        <v>193</v>
      </c>
      <c r="G425" s="18" t="str">
        <f>C425</f>
        <v>ECE</v>
      </c>
      <c r="H425" s="86">
        <v>2000</v>
      </c>
      <c r="I425" s="140">
        <v>45904</v>
      </c>
      <c r="J425" s="87"/>
      <c r="K425" s="57"/>
      <c r="L425" s="86" t="s">
        <v>1609</v>
      </c>
      <c r="M425" s="86">
        <v>83</v>
      </c>
      <c r="N425" s="85"/>
      <c r="O425" s="85"/>
      <c r="P425" s="85"/>
      <c r="Q425" s="85"/>
      <c r="R425" s="85"/>
      <c r="S425" s="85"/>
    </row>
    <row r="426" spans="1:19" ht="31.5">
      <c r="A426" s="83">
        <v>1575</v>
      </c>
      <c r="B426" s="141">
        <v>45888</v>
      </c>
      <c r="C426" s="18" t="s">
        <v>5</v>
      </c>
      <c r="D426" s="21" t="s">
        <v>267</v>
      </c>
      <c r="E426" s="21" t="s">
        <v>1608</v>
      </c>
      <c r="F426" s="20" t="s">
        <v>16</v>
      </c>
      <c r="G426" s="18" t="str">
        <f>C426</f>
        <v>ECE</v>
      </c>
      <c r="H426" s="86">
        <v>1800</v>
      </c>
      <c r="I426" s="140">
        <v>45904</v>
      </c>
      <c r="J426" s="87"/>
      <c r="K426" s="57"/>
      <c r="L426" s="86" t="s">
        <v>1605</v>
      </c>
      <c r="M426" s="86">
        <v>83</v>
      </c>
      <c r="N426" s="85"/>
      <c r="O426" s="85"/>
      <c r="P426" s="85"/>
      <c r="Q426" s="85"/>
      <c r="R426" s="85"/>
      <c r="S426" s="85"/>
    </row>
    <row r="427" spans="1:19" ht="31.5">
      <c r="A427" s="83">
        <v>1576</v>
      </c>
      <c r="B427" s="141">
        <v>45888</v>
      </c>
      <c r="C427" s="18" t="s">
        <v>5</v>
      </c>
      <c r="D427" s="21" t="s">
        <v>267</v>
      </c>
      <c r="E427" s="21" t="s">
        <v>1607</v>
      </c>
      <c r="F427" s="20" t="s">
        <v>16</v>
      </c>
      <c r="G427" s="18" t="str">
        <f>C427</f>
        <v>ECE</v>
      </c>
      <c r="H427" s="86">
        <v>1800</v>
      </c>
      <c r="I427" s="140">
        <v>45904</v>
      </c>
      <c r="J427" s="87"/>
      <c r="K427" s="57"/>
      <c r="L427" s="86" t="s">
        <v>1605</v>
      </c>
      <c r="M427" s="86">
        <v>83</v>
      </c>
      <c r="N427" s="85"/>
      <c r="O427" s="85"/>
      <c r="P427" s="85"/>
      <c r="Q427" s="85"/>
      <c r="R427" s="85"/>
      <c r="S427" s="85"/>
    </row>
    <row r="428" spans="1:19" ht="31.5">
      <c r="A428" s="83">
        <v>1577</v>
      </c>
      <c r="B428" s="141">
        <v>45888</v>
      </c>
      <c r="C428" s="18" t="s">
        <v>5</v>
      </c>
      <c r="D428" s="21" t="s">
        <v>267</v>
      </c>
      <c r="E428" s="21" t="s">
        <v>1606</v>
      </c>
      <c r="F428" s="20" t="s">
        <v>16</v>
      </c>
      <c r="G428" s="18" t="str">
        <f>C428</f>
        <v>ECE</v>
      </c>
      <c r="H428" s="86">
        <v>1800</v>
      </c>
      <c r="I428" s="140">
        <v>45904</v>
      </c>
      <c r="J428" s="87"/>
      <c r="K428" s="57"/>
      <c r="L428" s="86" t="s">
        <v>1605</v>
      </c>
      <c r="M428" s="86">
        <v>83</v>
      </c>
      <c r="N428" s="85"/>
      <c r="O428" s="85"/>
      <c r="P428" s="85"/>
      <c r="Q428" s="85"/>
      <c r="R428" s="85"/>
      <c r="S428" s="85"/>
    </row>
    <row r="429" spans="1:19" ht="15.75">
      <c r="A429" s="83">
        <v>1578</v>
      </c>
      <c r="B429" s="141">
        <v>45887</v>
      </c>
      <c r="C429" s="18" t="s">
        <v>1</v>
      </c>
      <c r="D429" s="21" t="s">
        <v>886</v>
      </c>
      <c r="E429" s="21" t="s">
        <v>393</v>
      </c>
      <c r="F429" s="20" t="s">
        <v>193</v>
      </c>
      <c r="G429" s="18" t="str">
        <f>C429</f>
        <v>S&amp;H</v>
      </c>
      <c r="H429" s="86">
        <v>2000</v>
      </c>
      <c r="I429" s="140">
        <v>45904</v>
      </c>
      <c r="J429" s="87"/>
      <c r="K429" s="57"/>
      <c r="L429" s="148">
        <v>45887</v>
      </c>
      <c r="M429" s="86">
        <v>83</v>
      </c>
      <c r="N429" s="85"/>
      <c r="O429" s="85"/>
      <c r="P429" s="85"/>
      <c r="Q429" s="85"/>
      <c r="R429" s="85"/>
      <c r="S429" s="85"/>
    </row>
    <row r="430" spans="1:19" ht="15.75">
      <c r="A430" s="83">
        <v>1579</v>
      </c>
      <c r="B430" s="141">
        <v>45876</v>
      </c>
      <c r="C430" s="18" t="s">
        <v>2</v>
      </c>
      <c r="D430" s="21" t="s">
        <v>70</v>
      </c>
      <c r="E430" s="21" t="s">
        <v>1604</v>
      </c>
      <c r="F430" s="20" t="s">
        <v>1603</v>
      </c>
      <c r="G430" s="18" t="str">
        <f>C430</f>
        <v>Mech</v>
      </c>
      <c r="H430" s="86">
        <v>20000</v>
      </c>
      <c r="I430" s="140">
        <v>45904</v>
      </c>
      <c r="J430" s="87"/>
      <c r="K430" s="57"/>
      <c r="L430" s="95">
        <v>45846</v>
      </c>
      <c r="M430" s="86">
        <v>83</v>
      </c>
      <c r="N430" s="85"/>
      <c r="O430" s="85"/>
      <c r="P430" s="85"/>
      <c r="Q430" s="85"/>
      <c r="R430" s="85"/>
      <c r="S430" s="85"/>
    </row>
    <row r="431" spans="1:19" ht="15.75">
      <c r="A431" s="46"/>
      <c r="B431" s="139"/>
      <c r="C431" s="46"/>
      <c r="D431" s="46"/>
      <c r="E431" s="46" t="s">
        <v>11</v>
      </c>
      <c r="F431" s="42"/>
      <c r="G431" s="90"/>
      <c r="H431" s="89">
        <f>SUM(H419:H430)</f>
        <v>52000</v>
      </c>
      <c r="I431" s="42" t="s">
        <v>718</v>
      </c>
      <c r="J431" s="42"/>
      <c r="K431" s="45">
        <f>H431</f>
        <v>52000</v>
      </c>
      <c r="L431" s="42"/>
      <c r="M431" s="46">
        <v>83</v>
      </c>
      <c r="N431" s="88"/>
      <c r="O431" s="88"/>
      <c r="P431" s="88"/>
      <c r="Q431" s="88"/>
      <c r="R431" s="88"/>
      <c r="S431" s="88"/>
    </row>
    <row r="432" spans="1:19" ht="31.5">
      <c r="A432" s="83">
        <v>1580</v>
      </c>
      <c r="B432" s="141">
        <v>45901</v>
      </c>
      <c r="C432" s="18" t="s">
        <v>36</v>
      </c>
      <c r="D432" s="21" t="s">
        <v>26</v>
      </c>
      <c r="E432" s="21" t="s">
        <v>1602</v>
      </c>
      <c r="F432" s="20" t="s">
        <v>16</v>
      </c>
      <c r="G432" s="18" t="str">
        <f>C432</f>
        <v>AIDS</v>
      </c>
      <c r="H432" s="86">
        <v>900</v>
      </c>
      <c r="I432" s="146">
        <v>45916</v>
      </c>
      <c r="J432" s="87"/>
      <c r="K432" s="57"/>
      <c r="L432" s="141">
        <v>45839</v>
      </c>
      <c r="M432" s="86">
        <v>84</v>
      </c>
      <c r="N432" s="85"/>
      <c r="O432" s="85"/>
      <c r="P432" s="85"/>
      <c r="Q432" s="85"/>
      <c r="R432" s="85"/>
      <c r="S432" s="85"/>
    </row>
    <row r="433" spans="1:19" ht="15.75">
      <c r="A433" s="83">
        <v>1581</v>
      </c>
      <c r="B433" s="141">
        <v>45901</v>
      </c>
      <c r="C433" s="18" t="s">
        <v>36</v>
      </c>
      <c r="D433" s="21" t="s">
        <v>26</v>
      </c>
      <c r="E433" s="21" t="s">
        <v>1443</v>
      </c>
      <c r="F433" s="20" t="s">
        <v>193</v>
      </c>
      <c r="G433" s="18" t="str">
        <f>C433</f>
        <v>AIDS</v>
      </c>
      <c r="H433" s="86">
        <v>8000</v>
      </c>
      <c r="I433" s="146">
        <v>45916</v>
      </c>
      <c r="J433" s="87"/>
      <c r="K433" s="57"/>
      <c r="L433" s="141">
        <v>45901</v>
      </c>
      <c r="M433" s="86">
        <v>84</v>
      </c>
      <c r="N433" s="85"/>
      <c r="O433" s="85"/>
      <c r="P433" s="85"/>
      <c r="Q433" s="85"/>
      <c r="R433" s="85"/>
      <c r="S433" s="85"/>
    </row>
    <row r="434" spans="1:19" ht="31.5">
      <c r="A434" s="83">
        <v>1582</v>
      </c>
      <c r="B434" s="141">
        <v>45895</v>
      </c>
      <c r="C434" s="18" t="s">
        <v>36</v>
      </c>
      <c r="D434" s="21" t="s">
        <v>1376</v>
      </c>
      <c r="E434" s="21" t="s">
        <v>1601</v>
      </c>
      <c r="F434" s="20" t="s">
        <v>16</v>
      </c>
      <c r="G434" s="18" t="str">
        <f>C434</f>
        <v>AIDS</v>
      </c>
      <c r="H434" s="86">
        <v>900</v>
      </c>
      <c r="I434" s="146">
        <v>45916</v>
      </c>
      <c r="J434" s="87"/>
      <c r="K434" s="57"/>
      <c r="L434" s="141">
        <v>45895</v>
      </c>
      <c r="M434" s="86">
        <v>84</v>
      </c>
      <c r="N434" s="85"/>
      <c r="O434" s="85"/>
      <c r="P434" s="85"/>
      <c r="Q434" s="85"/>
      <c r="R434" s="85"/>
      <c r="S434" s="85"/>
    </row>
    <row r="435" spans="1:19" ht="31.5">
      <c r="A435" s="83">
        <v>1583</v>
      </c>
      <c r="B435" s="141">
        <v>45895</v>
      </c>
      <c r="C435" s="18" t="s">
        <v>6</v>
      </c>
      <c r="D435" s="21" t="s">
        <v>479</v>
      </c>
      <c r="E435" s="21" t="s">
        <v>1600</v>
      </c>
      <c r="F435" s="20" t="s">
        <v>187</v>
      </c>
      <c r="G435" s="18" t="str">
        <f>C435</f>
        <v>CSE</v>
      </c>
      <c r="H435" s="86">
        <v>1000</v>
      </c>
      <c r="I435" s="146">
        <v>45916</v>
      </c>
      <c r="J435" s="87"/>
      <c r="K435" s="57"/>
      <c r="L435" s="141">
        <v>45771</v>
      </c>
      <c r="M435" s="86">
        <v>84</v>
      </c>
      <c r="N435" s="85"/>
      <c r="O435" s="85"/>
      <c r="P435" s="85"/>
      <c r="Q435" s="85"/>
      <c r="R435" s="85"/>
      <c r="S435" s="85"/>
    </row>
    <row r="436" spans="1:19" ht="15.75">
      <c r="A436" s="83">
        <v>1584</v>
      </c>
      <c r="B436" s="141">
        <v>45895</v>
      </c>
      <c r="C436" s="18" t="s">
        <v>6</v>
      </c>
      <c r="D436" s="21" t="s">
        <v>479</v>
      </c>
      <c r="E436" s="21" t="s">
        <v>1451</v>
      </c>
      <c r="F436" s="20" t="s">
        <v>193</v>
      </c>
      <c r="G436" s="18" t="str">
        <f>C436</f>
        <v>CSE</v>
      </c>
      <c r="H436" s="86">
        <v>6000</v>
      </c>
      <c r="I436" s="146">
        <v>45916</v>
      </c>
      <c r="J436" s="87"/>
      <c r="K436" s="57"/>
      <c r="L436" s="141">
        <v>45895</v>
      </c>
      <c r="M436" s="86">
        <v>84</v>
      </c>
      <c r="N436" s="85"/>
      <c r="O436" s="85"/>
      <c r="P436" s="85"/>
      <c r="Q436" s="85"/>
      <c r="R436" s="85"/>
      <c r="S436" s="85"/>
    </row>
    <row r="437" spans="1:19" ht="47.25">
      <c r="A437" s="83">
        <v>1585</v>
      </c>
      <c r="B437" s="141">
        <v>45897</v>
      </c>
      <c r="C437" s="18" t="s">
        <v>6</v>
      </c>
      <c r="D437" s="21" t="s">
        <v>1599</v>
      </c>
      <c r="E437" s="21" t="s">
        <v>1598</v>
      </c>
      <c r="F437" s="20" t="s">
        <v>23</v>
      </c>
      <c r="G437" s="18" t="str">
        <f>C437</f>
        <v>CSE</v>
      </c>
      <c r="H437" s="86">
        <v>6000</v>
      </c>
      <c r="I437" s="146">
        <v>45916</v>
      </c>
      <c r="J437" s="87"/>
      <c r="K437" s="57"/>
      <c r="L437" s="141">
        <v>45534</v>
      </c>
      <c r="M437" s="86">
        <v>84</v>
      </c>
      <c r="N437" s="85"/>
      <c r="O437" s="85"/>
      <c r="P437" s="85"/>
      <c r="Q437" s="85"/>
      <c r="R437" s="85"/>
      <c r="S437" s="85"/>
    </row>
    <row r="438" spans="1:19" ht="31.5">
      <c r="A438" s="83">
        <v>1586</v>
      </c>
      <c r="B438" s="141">
        <v>45895</v>
      </c>
      <c r="C438" s="18" t="s">
        <v>5</v>
      </c>
      <c r="D438" s="21" t="s">
        <v>170</v>
      </c>
      <c r="E438" s="21" t="s">
        <v>1597</v>
      </c>
      <c r="F438" s="20" t="s">
        <v>16</v>
      </c>
      <c r="G438" s="18" t="str">
        <f>C438</f>
        <v>ECE</v>
      </c>
      <c r="H438" s="86">
        <v>3000</v>
      </c>
      <c r="I438" s="146">
        <v>45916</v>
      </c>
      <c r="J438" s="87"/>
      <c r="K438" s="57"/>
      <c r="L438" s="141">
        <v>45497</v>
      </c>
      <c r="M438" s="86">
        <v>84</v>
      </c>
      <c r="N438" s="85"/>
      <c r="O438" s="85"/>
      <c r="P438" s="85"/>
      <c r="Q438" s="85"/>
      <c r="R438" s="85"/>
      <c r="S438" s="85"/>
    </row>
    <row r="439" spans="1:19" ht="15.75">
      <c r="A439" s="83">
        <v>1587</v>
      </c>
      <c r="B439" s="141">
        <v>45895</v>
      </c>
      <c r="C439" s="18" t="s">
        <v>5</v>
      </c>
      <c r="D439" s="21" t="s">
        <v>170</v>
      </c>
      <c r="E439" s="21" t="s">
        <v>393</v>
      </c>
      <c r="F439" s="20" t="s">
        <v>193</v>
      </c>
      <c r="G439" s="18" t="str">
        <f>C439</f>
        <v>ECE</v>
      </c>
      <c r="H439" s="86">
        <v>2000</v>
      </c>
      <c r="I439" s="146">
        <v>45916</v>
      </c>
      <c r="J439" s="87"/>
      <c r="K439" s="57"/>
      <c r="L439" s="141">
        <v>45895</v>
      </c>
      <c r="M439" s="86">
        <v>84</v>
      </c>
      <c r="N439" s="85"/>
      <c r="O439" s="85"/>
      <c r="P439" s="85"/>
      <c r="Q439" s="85"/>
      <c r="R439" s="85"/>
      <c r="S439" s="85"/>
    </row>
    <row r="440" spans="1:19" ht="47.25">
      <c r="A440" s="83">
        <v>1588</v>
      </c>
      <c r="B440" s="141">
        <v>45901</v>
      </c>
      <c r="C440" s="18" t="s">
        <v>5</v>
      </c>
      <c r="D440" s="21" t="s">
        <v>175</v>
      </c>
      <c r="E440" s="21" t="s">
        <v>1596</v>
      </c>
      <c r="F440" s="20" t="s">
        <v>23</v>
      </c>
      <c r="G440" s="18" t="str">
        <f>C440</f>
        <v>ECE</v>
      </c>
      <c r="H440" s="86">
        <v>10000</v>
      </c>
      <c r="I440" s="146">
        <v>45916</v>
      </c>
      <c r="J440" s="87"/>
      <c r="K440" s="57"/>
      <c r="L440" s="133" t="s">
        <v>1595</v>
      </c>
      <c r="M440" s="86">
        <v>84</v>
      </c>
      <c r="N440" s="85"/>
      <c r="O440" s="85"/>
      <c r="P440" s="85"/>
      <c r="Q440" s="85"/>
      <c r="R440" s="85"/>
      <c r="S440" s="85"/>
    </row>
    <row r="441" spans="1:19" ht="31.5">
      <c r="A441" s="83">
        <v>1589</v>
      </c>
      <c r="B441" s="141">
        <v>45901</v>
      </c>
      <c r="C441" s="18" t="s">
        <v>5</v>
      </c>
      <c r="D441" s="21" t="s">
        <v>175</v>
      </c>
      <c r="E441" s="21" t="s">
        <v>1594</v>
      </c>
      <c r="F441" s="20" t="s">
        <v>16</v>
      </c>
      <c r="G441" s="18" t="str">
        <f>C441</f>
        <v>ECE</v>
      </c>
      <c r="H441" s="86">
        <v>1800</v>
      </c>
      <c r="I441" s="146">
        <v>45916</v>
      </c>
      <c r="J441" s="87"/>
      <c r="K441" s="57"/>
      <c r="L441" s="133" t="s">
        <v>1590</v>
      </c>
      <c r="M441" s="86">
        <v>84</v>
      </c>
      <c r="N441" s="85"/>
      <c r="O441" s="85"/>
      <c r="P441" s="85"/>
      <c r="Q441" s="85"/>
      <c r="R441" s="85"/>
      <c r="S441" s="85"/>
    </row>
    <row r="442" spans="1:19" ht="15.75">
      <c r="A442" s="83">
        <v>1590</v>
      </c>
      <c r="B442" s="141">
        <v>45901</v>
      </c>
      <c r="C442" s="18" t="s">
        <v>5</v>
      </c>
      <c r="D442" s="21" t="s">
        <v>175</v>
      </c>
      <c r="E442" s="21" t="s">
        <v>1593</v>
      </c>
      <c r="F442" s="20" t="s">
        <v>16</v>
      </c>
      <c r="G442" s="18" t="str">
        <f>C442</f>
        <v>ECE</v>
      </c>
      <c r="H442" s="86">
        <v>1800</v>
      </c>
      <c r="I442" s="146">
        <v>45916</v>
      </c>
      <c r="J442" s="87"/>
      <c r="K442" s="57"/>
      <c r="L442" s="133" t="s">
        <v>1590</v>
      </c>
      <c r="M442" s="86">
        <v>84</v>
      </c>
      <c r="N442" s="85"/>
      <c r="O442" s="85"/>
      <c r="P442" s="85"/>
      <c r="Q442" s="85"/>
      <c r="R442" s="85"/>
      <c r="S442" s="85"/>
    </row>
    <row r="443" spans="1:19" ht="31.5">
      <c r="A443" s="83">
        <v>1591</v>
      </c>
      <c r="B443" s="141">
        <v>45901</v>
      </c>
      <c r="C443" s="18" t="s">
        <v>5</v>
      </c>
      <c r="D443" s="21" t="s">
        <v>175</v>
      </c>
      <c r="E443" s="21" t="s">
        <v>1592</v>
      </c>
      <c r="F443" s="20" t="s">
        <v>16</v>
      </c>
      <c r="G443" s="18" t="str">
        <f>C443</f>
        <v>ECE</v>
      </c>
      <c r="H443" s="86">
        <v>3000</v>
      </c>
      <c r="I443" s="146">
        <v>45916</v>
      </c>
      <c r="J443" s="87"/>
      <c r="K443" s="57"/>
      <c r="L443" s="133" t="s">
        <v>1590</v>
      </c>
      <c r="M443" s="86">
        <v>84</v>
      </c>
      <c r="N443" s="85"/>
      <c r="O443" s="85"/>
      <c r="P443" s="85"/>
      <c r="Q443" s="85"/>
      <c r="R443" s="85"/>
      <c r="S443" s="85"/>
    </row>
    <row r="444" spans="1:19" ht="47.25">
      <c r="A444" s="83">
        <v>1592</v>
      </c>
      <c r="B444" s="141">
        <v>45901</v>
      </c>
      <c r="C444" s="18" t="s">
        <v>5</v>
      </c>
      <c r="D444" s="21" t="s">
        <v>175</v>
      </c>
      <c r="E444" s="21" t="s">
        <v>1591</v>
      </c>
      <c r="F444" s="20" t="s">
        <v>16</v>
      </c>
      <c r="G444" s="18" t="str">
        <f>C444</f>
        <v>ECE</v>
      </c>
      <c r="H444" s="86">
        <v>1800</v>
      </c>
      <c r="I444" s="146">
        <v>45916</v>
      </c>
      <c r="J444" s="87"/>
      <c r="K444" s="57"/>
      <c r="L444" s="133" t="s">
        <v>1590</v>
      </c>
      <c r="M444" s="86">
        <v>84</v>
      </c>
      <c r="N444" s="85"/>
      <c r="O444" s="85"/>
      <c r="P444" s="85"/>
      <c r="Q444" s="85"/>
      <c r="R444" s="85"/>
      <c r="S444" s="85"/>
    </row>
    <row r="445" spans="1:19" ht="15.75">
      <c r="A445" s="83">
        <v>1593</v>
      </c>
      <c r="B445" s="141">
        <v>45882</v>
      </c>
      <c r="C445" s="18" t="s">
        <v>4</v>
      </c>
      <c r="D445" s="21" t="s">
        <v>63</v>
      </c>
      <c r="E445" s="21" t="s">
        <v>1589</v>
      </c>
      <c r="F445" s="20" t="s">
        <v>16</v>
      </c>
      <c r="G445" s="18" t="str">
        <f>C445</f>
        <v>EEE</v>
      </c>
      <c r="H445" s="86">
        <v>1800</v>
      </c>
      <c r="I445" s="146">
        <v>45916</v>
      </c>
      <c r="J445" s="87"/>
      <c r="K445" s="57"/>
      <c r="L445" s="133" t="s">
        <v>1587</v>
      </c>
      <c r="M445" s="86">
        <v>84</v>
      </c>
      <c r="N445" s="85"/>
      <c r="O445" s="85"/>
      <c r="P445" s="85"/>
      <c r="Q445" s="85"/>
      <c r="R445" s="85"/>
      <c r="S445" s="85"/>
    </row>
    <row r="446" spans="1:19" ht="31.5">
      <c r="A446" s="83">
        <v>1594</v>
      </c>
      <c r="B446" s="141">
        <v>45882</v>
      </c>
      <c r="C446" s="18" t="s">
        <v>4</v>
      </c>
      <c r="D446" s="21" t="s">
        <v>63</v>
      </c>
      <c r="E446" s="21" t="s">
        <v>1588</v>
      </c>
      <c r="F446" s="20" t="s">
        <v>16</v>
      </c>
      <c r="G446" s="18" t="str">
        <f>C446</f>
        <v>EEE</v>
      </c>
      <c r="H446" s="86">
        <v>1800</v>
      </c>
      <c r="I446" s="146">
        <v>45916</v>
      </c>
      <c r="J446" s="87"/>
      <c r="K446" s="57"/>
      <c r="L446" s="133" t="s">
        <v>1587</v>
      </c>
      <c r="M446" s="86">
        <v>84</v>
      </c>
      <c r="N446" s="85"/>
      <c r="O446" s="85"/>
      <c r="P446" s="85"/>
      <c r="Q446" s="85"/>
      <c r="R446" s="85"/>
      <c r="S446" s="85"/>
    </row>
    <row r="447" spans="1:19" ht="31.5">
      <c r="A447" s="83">
        <v>1595</v>
      </c>
      <c r="B447" s="141">
        <v>45895</v>
      </c>
      <c r="C447" s="18" t="s">
        <v>2</v>
      </c>
      <c r="D447" s="21" t="s">
        <v>209</v>
      </c>
      <c r="E447" s="21" t="s">
        <v>1586</v>
      </c>
      <c r="F447" s="20" t="s">
        <v>324</v>
      </c>
      <c r="G447" s="18" t="str">
        <f>C447</f>
        <v>Mech</v>
      </c>
      <c r="H447" s="86">
        <v>5000</v>
      </c>
      <c r="I447" s="146">
        <v>45916</v>
      </c>
      <c r="J447" s="87"/>
      <c r="K447" s="57"/>
      <c r="L447" s="133" t="s">
        <v>1585</v>
      </c>
      <c r="M447" s="86">
        <v>84</v>
      </c>
      <c r="N447" s="85"/>
      <c r="O447" s="85"/>
      <c r="P447" s="85"/>
      <c r="Q447" s="85"/>
      <c r="R447" s="85"/>
      <c r="S447" s="85"/>
    </row>
    <row r="448" spans="1:19" ht="47.25">
      <c r="A448" s="83">
        <v>1596</v>
      </c>
      <c r="B448" s="141">
        <v>45895</v>
      </c>
      <c r="C448" s="18" t="s">
        <v>1</v>
      </c>
      <c r="D448" s="21" t="s">
        <v>722</v>
      </c>
      <c r="E448" s="21" t="s">
        <v>1584</v>
      </c>
      <c r="F448" s="20" t="s">
        <v>324</v>
      </c>
      <c r="G448" s="18" t="str">
        <f>C448</f>
        <v>S&amp;H</v>
      </c>
      <c r="H448" s="86">
        <v>5000</v>
      </c>
      <c r="I448" s="146">
        <v>45916</v>
      </c>
      <c r="J448" s="87"/>
      <c r="K448" s="57"/>
      <c r="L448" s="147">
        <v>45665</v>
      </c>
      <c r="M448" s="86">
        <v>84</v>
      </c>
      <c r="N448" s="85"/>
      <c r="O448" s="85"/>
      <c r="P448" s="85"/>
      <c r="Q448" s="85"/>
      <c r="R448" s="85"/>
      <c r="S448" s="85"/>
    </row>
    <row r="449" spans="1:19" ht="31.5">
      <c r="A449" s="83">
        <v>1597</v>
      </c>
      <c r="B449" s="141">
        <v>45895</v>
      </c>
      <c r="C449" s="18" t="s">
        <v>0</v>
      </c>
      <c r="D449" s="21" t="s">
        <v>886</v>
      </c>
      <c r="E449" s="21" t="s">
        <v>1583</v>
      </c>
      <c r="F449" s="20" t="s">
        <v>23</v>
      </c>
      <c r="G449" s="18" t="str">
        <f>C449</f>
        <v>Maths</v>
      </c>
      <c r="H449" s="86">
        <v>10000</v>
      </c>
      <c r="I449" s="146">
        <v>45916</v>
      </c>
      <c r="J449" s="87"/>
      <c r="K449" s="57"/>
      <c r="L449" s="133" t="s">
        <v>1582</v>
      </c>
      <c r="M449" s="86">
        <v>84</v>
      </c>
      <c r="N449" s="85"/>
      <c r="O449" s="85"/>
      <c r="P449" s="85"/>
      <c r="Q449" s="85"/>
      <c r="R449" s="85"/>
      <c r="S449" s="85"/>
    </row>
    <row r="450" spans="1:19" ht="31.5">
      <c r="A450" s="83">
        <v>1598</v>
      </c>
      <c r="B450" s="141">
        <v>45898</v>
      </c>
      <c r="C450" s="18" t="s">
        <v>0</v>
      </c>
      <c r="D450" s="21" t="s">
        <v>720</v>
      </c>
      <c r="E450" s="21" t="s">
        <v>1581</v>
      </c>
      <c r="F450" s="20" t="s">
        <v>16</v>
      </c>
      <c r="G450" s="18" t="str">
        <f>C450</f>
        <v>Maths</v>
      </c>
      <c r="H450" s="86">
        <v>1800</v>
      </c>
      <c r="I450" s="146">
        <v>45916</v>
      </c>
      <c r="J450" s="87"/>
      <c r="K450" s="57"/>
      <c r="L450" s="133" t="s">
        <v>1542</v>
      </c>
      <c r="M450" s="86">
        <v>84</v>
      </c>
      <c r="N450" s="85"/>
      <c r="O450" s="85"/>
      <c r="P450" s="85"/>
      <c r="Q450" s="85"/>
      <c r="R450" s="85"/>
      <c r="S450" s="85"/>
    </row>
    <row r="451" spans="1:19" ht="15.75">
      <c r="A451" s="83">
        <v>1599</v>
      </c>
      <c r="B451" s="141">
        <v>45895</v>
      </c>
      <c r="C451" s="18" t="s">
        <v>2</v>
      </c>
      <c r="D451" s="21" t="s">
        <v>209</v>
      </c>
      <c r="E451" s="21" t="s">
        <v>1443</v>
      </c>
      <c r="F451" s="20" t="s">
        <v>193</v>
      </c>
      <c r="G451" s="18" t="str">
        <f>C451</f>
        <v>Mech</v>
      </c>
      <c r="H451" s="86">
        <v>8000</v>
      </c>
      <c r="I451" s="146">
        <v>45916</v>
      </c>
      <c r="J451" s="87"/>
      <c r="K451" s="57"/>
      <c r="L451" s="141">
        <v>45895</v>
      </c>
      <c r="M451" s="86"/>
      <c r="N451" s="85"/>
      <c r="O451" s="85"/>
      <c r="P451" s="85"/>
      <c r="Q451" s="85"/>
      <c r="R451" s="85"/>
      <c r="S451" s="85"/>
    </row>
    <row r="452" spans="1:19" ht="15.75">
      <c r="A452" s="46"/>
      <c r="B452" s="139"/>
      <c r="C452" s="46"/>
      <c r="D452" s="46"/>
      <c r="E452" s="46" t="s">
        <v>11</v>
      </c>
      <c r="F452" s="42"/>
      <c r="G452" s="90"/>
      <c r="H452" s="89">
        <f>SUM(H432:H451)</f>
        <v>79600</v>
      </c>
      <c r="I452" s="42" t="s">
        <v>718</v>
      </c>
      <c r="J452" s="42"/>
      <c r="K452" s="45">
        <f>H452</f>
        <v>79600</v>
      </c>
      <c r="L452" s="42"/>
      <c r="M452" s="46">
        <v>84</v>
      </c>
      <c r="N452" s="88"/>
      <c r="O452" s="88"/>
      <c r="P452" s="88"/>
      <c r="Q452" s="88"/>
      <c r="R452" s="88"/>
      <c r="S452" s="88"/>
    </row>
    <row r="453" spans="1:19" ht="15.75">
      <c r="A453" s="83">
        <v>1600</v>
      </c>
      <c r="B453" s="141">
        <v>45911</v>
      </c>
      <c r="C453" s="18" t="s">
        <v>5</v>
      </c>
      <c r="D453" s="21" t="s">
        <v>290</v>
      </c>
      <c r="E453" s="21" t="s">
        <v>1580</v>
      </c>
      <c r="F453" s="20" t="s">
        <v>16</v>
      </c>
      <c r="G453" s="18" t="str">
        <f>C453</f>
        <v>ECE</v>
      </c>
      <c r="H453" s="86">
        <v>1800</v>
      </c>
      <c r="I453" s="146">
        <v>45925</v>
      </c>
      <c r="J453" s="87"/>
      <c r="K453" s="57"/>
      <c r="L453" s="141">
        <v>45752</v>
      </c>
      <c r="M453" s="86">
        <v>85</v>
      </c>
      <c r="N453" s="85"/>
      <c r="O453" s="85"/>
      <c r="P453" s="85"/>
      <c r="Q453" s="85"/>
      <c r="R453" s="85"/>
      <c r="S453" s="85"/>
    </row>
    <row r="454" spans="1:19" ht="47.25">
      <c r="A454" s="83">
        <v>1601</v>
      </c>
      <c r="B454" s="141">
        <v>45912</v>
      </c>
      <c r="C454" s="18" t="s">
        <v>36</v>
      </c>
      <c r="D454" s="21" t="s">
        <v>1571</v>
      </c>
      <c r="E454" s="21" t="s">
        <v>1579</v>
      </c>
      <c r="F454" s="20" t="s">
        <v>23</v>
      </c>
      <c r="G454" s="18" t="str">
        <f>C454</f>
        <v>AIDS</v>
      </c>
      <c r="H454" s="86">
        <v>10000</v>
      </c>
      <c r="I454" s="146">
        <v>45925</v>
      </c>
      <c r="J454" s="87"/>
      <c r="K454" s="57"/>
      <c r="L454" s="133" t="s">
        <v>1578</v>
      </c>
      <c r="M454" s="86">
        <v>85</v>
      </c>
      <c r="N454" s="85"/>
      <c r="O454" s="85"/>
      <c r="P454" s="85"/>
      <c r="Q454" s="85"/>
      <c r="R454" s="85"/>
      <c r="S454" s="85"/>
    </row>
    <row r="455" spans="1:19" ht="31.5">
      <c r="A455" s="83">
        <v>1602</v>
      </c>
      <c r="B455" s="141">
        <v>45912</v>
      </c>
      <c r="C455" s="18" t="s">
        <v>36</v>
      </c>
      <c r="D455" s="21" t="s">
        <v>1571</v>
      </c>
      <c r="E455" s="21" t="s">
        <v>1577</v>
      </c>
      <c r="F455" s="20" t="s">
        <v>23</v>
      </c>
      <c r="G455" s="18" t="str">
        <f>C455</f>
        <v>AIDS</v>
      </c>
      <c r="H455" s="86">
        <v>10000</v>
      </c>
      <c r="I455" s="146">
        <v>45925</v>
      </c>
      <c r="J455" s="87"/>
      <c r="K455" s="57"/>
      <c r="L455" s="133" t="s">
        <v>1576</v>
      </c>
      <c r="M455" s="86">
        <v>85</v>
      </c>
      <c r="N455" s="85"/>
      <c r="O455" s="85"/>
      <c r="P455" s="85"/>
      <c r="Q455" s="85"/>
      <c r="R455" s="85"/>
      <c r="S455" s="85"/>
    </row>
    <row r="456" spans="1:19" ht="31.5">
      <c r="A456" s="83">
        <v>1603</v>
      </c>
      <c r="B456" s="141">
        <v>45912</v>
      </c>
      <c r="C456" s="18" t="s">
        <v>36</v>
      </c>
      <c r="D456" s="21" t="s">
        <v>1571</v>
      </c>
      <c r="E456" s="21" t="s">
        <v>1575</v>
      </c>
      <c r="F456" s="20" t="s">
        <v>324</v>
      </c>
      <c r="G456" s="18" t="str">
        <f>C456</f>
        <v>AIDS</v>
      </c>
      <c r="H456" s="86">
        <v>5000</v>
      </c>
      <c r="I456" s="146">
        <v>45925</v>
      </c>
      <c r="J456" s="87"/>
      <c r="K456" s="57"/>
      <c r="L456" s="133" t="s">
        <v>1574</v>
      </c>
      <c r="M456" s="86">
        <v>85</v>
      </c>
      <c r="N456" s="85"/>
      <c r="O456" s="85"/>
      <c r="P456" s="85"/>
      <c r="Q456" s="85"/>
      <c r="R456" s="85"/>
      <c r="S456" s="85"/>
    </row>
    <row r="457" spans="1:19" ht="47.25">
      <c r="A457" s="83">
        <v>1604</v>
      </c>
      <c r="B457" s="141">
        <v>45912</v>
      </c>
      <c r="C457" s="18" t="s">
        <v>36</v>
      </c>
      <c r="D457" s="21" t="s">
        <v>1571</v>
      </c>
      <c r="E457" s="21" t="s">
        <v>1573</v>
      </c>
      <c r="F457" s="20" t="s">
        <v>16</v>
      </c>
      <c r="G457" s="18" t="str">
        <f>C457</f>
        <v>AIDS</v>
      </c>
      <c r="H457" s="86">
        <v>1500</v>
      </c>
      <c r="I457" s="146">
        <v>45925</v>
      </c>
      <c r="J457" s="87"/>
      <c r="K457" s="57"/>
      <c r="L457" s="133" t="s">
        <v>1572</v>
      </c>
      <c r="M457" s="86">
        <v>85</v>
      </c>
      <c r="N457" s="85"/>
      <c r="O457" s="85"/>
      <c r="P457" s="85"/>
      <c r="Q457" s="85"/>
      <c r="R457" s="85"/>
      <c r="S457" s="85"/>
    </row>
    <row r="458" spans="1:19" ht="15.75">
      <c r="A458" s="83">
        <v>1605</v>
      </c>
      <c r="B458" s="141">
        <v>45912</v>
      </c>
      <c r="C458" s="18" t="s">
        <v>36</v>
      </c>
      <c r="D458" s="21" t="s">
        <v>1571</v>
      </c>
      <c r="E458" s="21" t="s">
        <v>393</v>
      </c>
      <c r="F458" s="20" t="s">
        <v>193</v>
      </c>
      <c r="G458" s="18" t="str">
        <f>C458</f>
        <v>AIDS</v>
      </c>
      <c r="H458" s="86">
        <v>2000</v>
      </c>
      <c r="I458" s="146">
        <v>45925</v>
      </c>
      <c r="J458" s="87"/>
      <c r="K458" s="57"/>
      <c r="L458" s="86" t="s">
        <v>1570</v>
      </c>
      <c r="M458" s="86">
        <v>85</v>
      </c>
      <c r="N458" s="85"/>
      <c r="O458" s="85"/>
      <c r="P458" s="85"/>
      <c r="Q458" s="85"/>
      <c r="R458" s="85"/>
      <c r="S458" s="85"/>
    </row>
    <row r="459" spans="1:19" ht="31.5">
      <c r="A459" s="83">
        <v>1606</v>
      </c>
      <c r="B459" s="141">
        <v>45909</v>
      </c>
      <c r="C459" s="18" t="s">
        <v>6</v>
      </c>
      <c r="D459" s="21" t="s">
        <v>181</v>
      </c>
      <c r="E459" s="21" t="s">
        <v>1569</v>
      </c>
      <c r="F459" s="20" t="s">
        <v>187</v>
      </c>
      <c r="G459" s="18" t="str">
        <f>C459</f>
        <v>CSE</v>
      </c>
      <c r="H459" s="86">
        <v>1000</v>
      </c>
      <c r="I459" s="146">
        <v>45925</v>
      </c>
      <c r="J459" s="87"/>
      <c r="K459" s="57"/>
      <c r="L459" s="86">
        <v>6.2024999999999997</v>
      </c>
      <c r="M459" s="86">
        <v>85</v>
      </c>
      <c r="N459" s="85"/>
      <c r="O459" s="85"/>
      <c r="P459" s="85"/>
      <c r="Q459" s="85"/>
      <c r="R459" s="85"/>
      <c r="S459" s="85"/>
    </row>
    <row r="460" spans="1:19" ht="31.5">
      <c r="A460" s="83">
        <v>1607</v>
      </c>
      <c r="B460" s="141">
        <v>45909</v>
      </c>
      <c r="C460" s="18" t="s">
        <v>6</v>
      </c>
      <c r="D460" s="21" t="s">
        <v>181</v>
      </c>
      <c r="E460" s="21" t="s">
        <v>1568</v>
      </c>
      <c r="F460" s="20" t="s">
        <v>187</v>
      </c>
      <c r="G460" s="18" t="str">
        <f>C460</f>
        <v>CSE</v>
      </c>
      <c r="H460" s="86">
        <v>1000</v>
      </c>
      <c r="I460" s="146">
        <v>45925</v>
      </c>
      <c r="J460" s="87"/>
      <c r="K460" s="57"/>
      <c r="L460" s="86">
        <v>6.2024999999999997</v>
      </c>
      <c r="M460" s="86">
        <v>85</v>
      </c>
      <c r="N460" s="85"/>
      <c r="O460" s="85"/>
      <c r="P460" s="85"/>
      <c r="Q460" s="85"/>
      <c r="R460" s="85"/>
      <c r="S460" s="85"/>
    </row>
    <row r="461" spans="1:19" ht="15.75">
      <c r="A461" s="83">
        <v>1608</v>
      </c>
      <c r="B461" s="141">
        <v>45909</v>
      </c>
      <c r="C461" s="18" t="s">
        <v>6</v>
      </c>
      <c r="D461" s="21" t="s">
        <v>181</v>
      </c>
      <c r="E461" s="21" t="s">
        <v>1427</v>
      </c>
      <c r="F461" s="20" t="s">
        <v>193</v>
      </c>
      <c r="G461" s="18" t="str">
        <f>C461</f>
        <v>CSE</v>
      </c>
      <c r="H461" s="86">
        <v>10000</v>
      </c>
      <c r="I461" s="146">
        <v>45925</v>
      </c>
      <c r="J461" s="87"/>
      <c r="K461" s="57"/>
      <c r="L461" s="86" t="s">
        <v>1567</v>
      </c>
      <c r="M461" s="86">
        <v>85</v>
      </c>
      <c r="N461" s="85"/>
      <c r="O461" s="85"/>
      <c r="P461" s="85"/>
      <c r="Q461" s="85"/>
      <c r="R461" s="85"/>
      <c r="S461" s="85"/>
    </row>
    <row r="462" spans="1:19" ht="31.5">
      <c r="A462" s="83">
        <v>1609</v>
      </c>
      <c r="B462" s="141">
        <v>45913</v>
      </c>
      <c r="C462" s="18" t="s">
        <v>5</v>
      </c>
      <c r="D462" s="21" t="s">
        <v>1002</v>
      </c>
      <c r="E462" s="21" t="s">
        <v>1566</v>
      </c>
      <c r="F462" s="20" t="s">
        <v>23</v>
      </c>
      <c r="G462" s="18" t="str">
        <f>C462</f>
        <v>ECE</v>
      </c>
      <c r="H462" s="86">
        <v>10000</v>
      </c>
      <c r="I462" s="146">
        <v>45925</v>
      </c>
      <c r="J462" s="87"/>
      <c r="K462" s="57"/>
      <c r="L462" s="86" t="s">
        <v>1565</v>
      </c>
      <c r="M462" s="86">
        <v>85</v>
      </c>
      <c r="N462" s="85"/>
      <c r="O462" s="85"/>
      <c r="P462" s="85"/>
      <c r="Q462" s="85"/>
      <c r="R462" s="85"/>
      <c r="S462" s="85"/>
    </row>
    <row r="463" spans="1:19" ht="31.5">
      <c r="A463" s="83">
        <v>1610</v>
      </c>
      <c r="B463" s="141">
        <v>45913</v>
      </c>
      <c r="C463" s="18" t="s">
        <v>5</v>
      </c>
      <c r="D463" s="21" t="s">
        <v>1002</v>
      </c>
      <c r="E463" s="21" t="s">
        <v>1564</v>
      </c>
      <c r="F463" s="20" t="s">
        <v>16</v>
      </c>
      <c r="G463" s="18" t="str">
        <f>C463</f>
        <v>ECE</v>
      </c>
      <c r="H463" s="86">
        <v>1800</v>
      </c>
      <c r="I463" s="146">
        <v>45925</v>
      </c>
      <c r="J463" s="87"/>
      <c r="K463" s="57"/>
      <c r="L463" s="86" t="s">
        <v>1563</v>
      </c>
      <c r="M463" s="86">
        <v>85</v>
      </c>
      <c r="N463" s="85"/>
      <c r="O463" s="85"/>
      <c r="P463" s="85"/>
      <c r="Q463" s="85"/>
      <c r="R463" s="85"/>
      <c r="S463" s="85"/>
    </row>
    <row r="464" spans="1:19" ht="47.25">
      <c r="A464" s="83">
        <v>1611</v>
      </c>
      <c r="B464" s="141">
        <v>45904</v>
      </c>
      <c r="C464" s="18" t="s">
        <v>5</v>
      </c>
      <c r="D464" s="21" t="s">
        <v>294</v>
      </c>
      <c r="E464" s="21" t="s">
        <v>1562</v>
      </c>
      <c r="F464" s="20" t="s">
        <v>324</v>
      </c>
      <c r="G464" s="18" t="str">
        <f>C464</f>
        <v>ECE</v>
      </c>
      <c r="H464" s="86">
        <v>1800</v>
      </c>
      <c r="I464" s="146">
        <v>45925</v>
      </c>
      <c r="J464" s="87"/>
      <c r="K464" s="57"/>
      <c r="L464" s="86" t="s">
        <v>1561</v>
      </c>
      <c r="M464" s="86">
        <v>85</v>
      </c>
      <c r="N464" s="85"/>
      <c r="O464" s="85"/>
      <c r="P464" s="85"/>
      <c r="Q464" s="85"/>
      <c r="R464" s="85"/>
      <c r="S464" s="85"/>
    </row>
    <row r="465" spans="1:19" ht="31.5">
      <c r="A465" s="83">
        <v>1612</v>
      </c>
      <c r="B465" s="141">
        <v>45909</v>
      </c>
      <c r="C465" s="18" t="s">
        <v>1</v>
      </c>
      <c r="D465" s="21" t="s">
        <v>722</v>
      </c>
      <c r="E465" s="21" t="s">
        <v>1560</v>
      </c>
      <c r="F465" s="20" t="s">
        <v>23</v>
      </c>
      <c r="G465" s="18" t="str">
        <f>C465</f>
        <v>S&amp;H</v>
      </c>
      <c r="H465" s="86">
        <v>10000</v>
      </c>
      <c r="I465" s="146">
        <v>45925</v>
      </c>
      <c r="J465" s="87"/>
      <c r="K465" s="57"/>
      <c r="L465" s="86" t="s">
        <v>1489</v>
      </c>
      <c r="M465" s="86">
        <v>85</v>
      </c>
      <c r="N465" s="85"/>
      <c r="O465" s="85"/>
      <c r="P465" s="85"/>
      <c r="Q465" s="85"/>
      <c r="R465" s="85"/>
      <c r="S465" s="85"/>
    </row>
    <row r="466" spans="1:19" ht="15.75">
      <c r="A466" s="83">
        <v>1613</v>
      </c>
      <c r="B466" s="141">
        <v>45891</v>
      </c>
      <c r="C466" s="18" t="s">
        <v>6</v>
      </c>
      <c r="D466" s="21" t="s">
        <v>340</v>
      </c>
      <c r="E466" s="21" t="s">
        <v>1559</v>
      </c>
      <c r="F466" s="20" t="s">
        <v>16</v>
      </c>
      <c r="G466" s="18" t="str">
        <f>C466</f>
        <v>CSE</v>
      </c>
      <c r="H466" s="86">
        <v>1800</v>
      </c>
      <c r="I466" s="146">
        <v>45925</v>
      </c>
      <c r="J466" s="87"/>
      <c r="K466" s="57"/>
      <c r="L466" s="86" t="s">
        <v>1558</v>
      </c>
      <c r="M466" s="86">
        <v>85</v>
      </c>
      <c r="N466" s="85"/>
      <c r="O466" s="85"/>
      <c r="P466" s="85"/>
      <c r="Q466" s="85"/>
      <c r="R466" s="85"/>
      <c r="S466" s="85"/>
    </row>
    <row r="467" spans="1:19" ht="15.75">
      <c r="A467" s="83">
        <v>1614</v>
      </c>
      <c r="B467" s="141">
        <v>45919</v>
      </c>
      <c r="C467" s="18" t="s">
        <v>1</v>
      </c>
      <c r="D467" s="21" t="s">
        <v>167</v>
      </c>
      <c r="E467" s="21" t="s">
        <v>393</v>
      </c>
      <c r="F467" s="20" t="s">
        <v>193</v>
      </c>
      <c r="G467" s="18" t="str">
        <f>C467</f>
        <v>S&amp;H</v>
      </c>
      <c r="H467" s="86">
        <v>2000</v>
      </c>
      <c r="I467" s="146">
        <v>45925</v>
      </c>
      <c r="J467" s="87"/>
      <c r="K467" s="57"/>
      <c r="L467" s="141">
        <v>45919</v>
      </c>
      <c r="M467" s="86">
        <v>85</v>
      </c>
      <c r="N467" s="85"/>
      <c r="O467" s="85"/>
      <c r="P467" s="85"/>
      <c r="Q467" s="85"/>
      <c r="R467" s="85"/>
      <c r="S467" s="85"/>
    </row>
    <row r="468" spans="1:19" ht="15.75">
      <c r="A468" s="46"/>
      <c r="B468" s="139"/>
      <c r="C468" s="46"/>
      <c r="D468" s="46"/>
      <c r="E468" s="46" t="s">
        <v>11</v>
      </c>
      <c r="F468" s="42"/>
      <c r="G468" s="90"/>
      <c r="H468" s="89">
        <f>SUM(H453:H467)</f>
        <v>69700</v>
      </c>
      <c r="I468" s="42" t="s">
        <v>718</v>
      </c>
      <c r="J468" s="42"/>
      <c r="K468" s="45">
        <f>H468</f>
        <v>69700</v>
      </c>
      <c r="L468" s="42"/>
      <c r="M468" s="46">
        <v>85</v>
      </c>
      <c r="N468" s="88"/>
      <c r="O468" s="88"/>
      <c r="P468" s="88"/>
      <c r="Q468" s="88"/>
      <c r="R468" s="88"/>
      <c r="S468" s="88"/>
    </row>
    <row r="469" spans="1:19" ht="31.5">
      <c r="A469" s="83">
        <v>1615</v>
      </c>
      <c r="B469" s="141">
        <v>6620288</v>
      </c>
      <c r="C469" s="18" t="s">
        <v>6</v>
      </c>
      <c r="D469" s="21" t="s">
        <v>337</v>
      </c>
      <c r="E469" s="21" t="s">
        <v>1557</v>
      </c>
      <c r="F469" s="20" t="s">
        <v>23</v>
      </c>
      <c r="G469" s="18" t="str">
        <f>C469</f>
        <v>CSE</v>
      </c>
      <c r="H469" s="86">
        <v>6000</v>
      </c>
      <c r="I469" s="146">
        <v>45946</v>
      </c>
      <c r="J469" s="87"/>
      <c r="K469" s="57"/>
      <c r="L469" s="86" t="s">
        <v>1556</v>
      </c>
      <c r="M469" s="86">
        <v>86</v>
      </c>
      <c r="N469" s="85"/>
      <c r="O469" s="85"/>
      <c r="P469" s="85"/>
      <c r="Q469" s="85"/>
      <c r="R469" s="85"/>
      <c r="S469" s="85"/>
    </row>
    <row r="470" spans="1:19" ht="31.5">
      <c r="A470" s="83">
        <v>1616</v>
      </c>
      <c r="B470" s="141">
        <v>45936</v>
      </c>
      <c r="C470" s="18" t="s">
        <v>5</v>
      </c>
      <c r="D470" s="21" t="s">
        <v>269</v>
      </c>
      <c r="E470" s="21" t="s">
        <v>1555</v>
      </c>
      <c r="F470" s="20" t="s">
        <v>23</v>
      </c>
      <c r="G470" s="18" t="str">
        <f>C470</f>
        <v>ECE</v>
      </c>
      <c r="H470" s="86">
        <v>6000</v>
      </c>
      <c r="I470" s="146">
        <v>45946</v>
      </c>
      <c r="J470" s="87"/>
      <c r="K470" s="57"/>
      <c r="L470" s="86" t="s">
        <v>1551</v>
      </c>
      <c r="M470" s="86">
        <v>86</v>
      </c>
      <c r="N470" s="85"/>
      <c r="O470" s="85"/>
      <c r="P470" s="85"/>
      <c r="Q470" s="85"/>
      <c r="R470" s="85"/>
      <c r="S470" s="85"/>
    </row>
    <row r="471" spans="1:19" ht="15.75">
      <c r="A471" s="83">
        <v>1617</v>
      </c>
      <c r="B471" s="141">
        <v>45936</v>
      </c>
      <c r="C471" s="18" t="s">
        <v>5</v>
      </c>
      <c r="D471" s="21" t="s">
        <v>269</v>
      </c>
      <c r="E471" s="21" t="s">
        <v>393</v>
      </c>
      <c r="F471" s="20" t="s">
        <v>193</v>
      </c>
      <c r="G471" s="18" t="str">
        <f>C471</f>
        <v>ECE</v>
      </c>
      <c r="H471" s="86">
        <v>2000</v>
      </c>
      <c r="I471" s="146">
        <v>45946</v>
      </c>
      <c r="J471" s="87"/>
      <c r="K471" s="57"/>
      <c r="L471" s="95">
        <v>45879</v>
      </c>
      <c r="M471" s="86">
        <v>86</v>
      </c>
      <c r="N471" s="85"/>
      <c r="O471" s="85"/>
      <c r="P471" s="85"/>
      <c r="Q471" s="85"/>
      <c r="R471" s="85"/>
      <c r="S471" s="85"/>
    </row>
    <row r="472" spans="1:19" ht="31.5">
      <c r="A472" s="83">
        <v>1618</v>
      </c>
      <c r="B472" s="141">
        <v>45936</v>
      </c>
      <c r="C472" s="18" t="s">
        <v>5</v>
      </c>
      <c r="D472" s="21" t="s">
        <v>831</v>
      </c>
      <c r="E472" s="21" t="s">
        <v>1554</v>
      </c>
      <c r="F472" s="20" t="s">
        <v>23</v>
      </c>
      <c r="G472" s="18" t="str">
        <f>C472</f>
        <v>ECE</v>
      </c>
      <c r="H472" s="86">
        <v>3000</v>
      </c>
      <c r="I472" s="146">
        <v>45946</v>
      </c>
      <c r="J472" s="87"/>
      <c r="K472" s="57"/>
      <c r="L472" s="86" t="s">
        <v>1553</v>
      </c>
      <c r="M472" s="86">
        <v>86</v>
      </c>
      <c r="N472" s="85"/>
      <c r="O472" s="85"/>
      <c r="P472" s="85"/>
      <c r="Q472" s="85"/>
      <c r="R472" s="85"/>
      <c r="S472" s="85"/>
    </row>
    <row r="473" spans="1:19" ht="31.5">
      <c r="A473" s="83">
        <v>1619</v>
      </c>
      <c r="B473" s="141">
        <v>45930</v>
      </c>
      <c r="C473" s="18" t="s">
        <v>5</v>
      </c>
      <c r="D473" s="21" t="s">
        <v>831</v>
      </c>
      <c r="E473" s="21" t="s">
        <v>1552</v>
      </c>
      <c r="F473" s="20" t="s">
        <v>324</v>
      </c>
      <c r="G473" s="18" t="str">
        <f>C473</f>
        <v>ECE</v>
      </c>
      <c r="H473" s="86">
        <v>2500</v>
      </c>
      <c r="I473" s="146">
        <v>45946</v>
      </c>
      <c r="J473" s="87"/>
      <c r="K473" s="57"/>
      <c r="L473" s="86" t="s">
        <v>1551</v>
      </c>
      <c r="M473" s="86">
        <v>86</v>
      </c>
      <c r="N473" s="85"/>
      <c r="O473" s="85"/>
      <c r="P473" s="85"/>
      <c r="Q473" s="85"/>
      <c r="R473" s="85"/>
      <c r="S473" s="85"/>
    </row>
    <row r="474" spans="1:19" ht="15.75">
      <c r="A474" s="83">
        <v>1620</v>
      </c>
      <c r="B474" s="141">
        <v>45926</v>
      </c>
      <c r="C474" s="18" t="s">
        <v>5</v>
      </c>
      <c r="D474" s="21" t="s">
        <v>831</v>
      </c>
      <c r="E474" s="21" t="s">
        <v>393</v>
      </c>
      <c r="F474" s="20" t="s">
        <v>193</v>
      </c>
      <c r="G474" s="18" t="str">
        <f>C474</f>
        <v>ECE</v>
      </c>
      <c r="H474" s="86">
        <v>2000</v>
      </c>
      <c r="I474" s="146">
        <v>45946</v>
      </c>
      <c r="J474" s="87"/>
      <c r="K474" s="57"/>
      <c r="L474" s="86" t="s">
        <v>1550</v>
      </c>
      <c r="M474" s="86">
        <v>86</v>
      </c>
      <c r="N474" s="85"/>
      <c r="O474" s="85"/>
      <c r="P474" s="85"/>
      <c r="Q474" s="85"/>
      <c r="R474" s="85"/>
      <c r="S474" s="85"/>
    </row>
    <row r="475" spans="1:19" ht="31.5">
      <c r="A475" s="83">
        <v>1621</v>
      </c>
      <c r="B475" s="141">
        <v>45937</v>
      </c>
      <c r="C475" s="18" t="s">
        <v>36</v>
      </c>
      <c r="D475" s="21" t="s">
        <v>1208</v>
      </c>
      <c r="E475" s="21" t="s">
        <v>1549</v>
      </c>
      <c r="F475" s="20" t="s">
        <v>324</v>
      </c>
      <c r="G475" s="18" t="str">
        <f>C475</f>
        <v>AIDS</v>
      </c>
      <c r="H475" s="86">
        <v>3000</v>
      </c>
      <c r="I475" s="146">
        <v>45946</v>
      </c>
      <c r="J475" s="87"/>
      <c r="K475" s="57"/>
      <c r="L475" s="86" t="s">
        <v>1548</v>
      </c>
      <c r="M475" s="86">
        <v>86</v>
      </c>
      <c r="N475" s="85"/>
      <c r="O475" s="85"/>
      <c r="P475" s="85"/>
      <c r="Q475" s="85"/>
      <c r="R475" s="85"/>
      <c r="S475" s="85"/>
    </row>
    <row r="476" spans="1:19" ht="47.25">
      <c r="A476" s="83">
        <v>1622</v>
      </c>
      <c r="B476" s="141">
        <v>45937</v>
      </c>
      <c r="C476" s="18" t="s">
        <v>5</v>
      </c>
      <c r="D476" s="21" t="s">
        <v>115</v>
      </c>
      <c r="E476" s="21" t="s">
        <v>1547</v>
      </c>
      <c r="F476" s="20" t="s">
        <v>23</v>
      </c>
      <c r="G476" s="18" t="str">
        <f>C476</f>
        <v>ECE</v>
      </c>
      <c r="H476" s="86">
        <v>10000</v>
      </c>
      <c r="I476" s="146">
        <v>45946</v>
      </c>
      <c r="J476" s="87"/>
      <c r="K476" s="57"/>
      <c r="L476" s="86" t="s">
        <v>1546</v>
      </c>
      <c r="M476" s="86">
        <v>86</v>
      </c>
      <c r="N476" s="85"/>
      <c r="O476" s="85"/>
      <c r="P476" s="85"/>
      <c r="Q476" s="85"/>
      <c r="R476" s="85"/>
      <c r="S476" s="85"/>
    </row>
    <row r="477" spans="1:19" ht="15.75">
      <c r="A477" s="83">
        <v>1623</v>
      </c>
      <c r="B477" s="141">
        <v>45937</v>
      </c>
      <c r="C477" s="18" t="s">
        <v>5</v>
      </c>
      <c r="D477" s="21" t="s">
        <v>115</v>
      </c>
      <c r="E477" s="21" t="s">
        <v>1427</v>
      </c>
      <c r="F477" s="20" t="s">
        <v>193</v>
      </c>
      <c r="G477" s="18" t="str">
        <f>C477</f>
        <v>ECE</v>
      </c>
      <c r="H477" s="86">
        <v>10000</v>
      </c>
      <c r="I477" s="146">
        <v>45946</v>
      </c>
      <c r="J477" s="87"/>
      <c r="K477" s="57"/>
      <c r="L477" s="95">
        <v>45848</v>
      </c>
      <c r="M477" s="86">
        <v>86</v>
      </c>
      <c r="N477" s="85"/>
      <c r="O477" s="85"/>
      <c r="P477" s="85"/>
      <c r="Q477" s="85"/>
      <c r="R477" s="85"/>
      <c r="S477" s="85"/>
    </row>
    <row r="478" spans="1:19" ht="15.75">
      <c r="A478" s="83">
        <v>1624</v>
      </c>
      <c r="B478" s="141">
        <v>45937</v>
      </c>
      <c r="C478" s="18" t="s">
        <v>5</v>
      </c>
      <c r="D478" s="21" t="s">
        <v>72</v>
      </c>
      <c r="E478" s="21" t="s">
        <v>1545</v>
      </c>
      <c r="F478" s="20" t="s">
        <v>193</v>
      </c>
      <c r="G478" s="18" t="str">
        <f>C478</f>
        <v>ECE</v>
      </c>
      <c r="H478" s="86">
        <v>22000</v>
      </c>
      <c r="I478" s="146">
        <v>45946</v>
      </c>
      <c r="J478" s="87"/>
      <c r="K478" s="57"/>
      <c r="L478" s="95">
        <v>45848</v>
      </c>
      <c r="M478" s="86">
        <v>86</v>
      </c>
      <c r="N478" s="85"/>
      <c r="O478" s="85"/>
      <c r="P478" s="85"/>
      <c r="Q478" s="85"/>
      <c r="R478" s="85"/>
      <c r="S478" s="85"/>
    </row>
    <row r="479" spans="1:19" ht="15.75">
      <c r="A479" s="83">
        <v>1625</v>
      </c>
      <c r="B479" s="141">
        <v>45924</v>
      </c>
      <c r="C479" s="18" t="s">
        <v>1</v>
      </c>
      <c r="D479" s="21" t="s">
        <v>722</v>
      </c>
      <c r="E479" s="21" t="s">
        <v>1455</v>
      </c>
      <c r="F479" s="20" t="s">
        <v>193</v>
      </c>
      <c r="G479" s="18" t="str">
        <f>C479</f>
        <v>S&amp;H</v>
      </c>
      <c r="H479" s="86">
        <v>4000</v>
      </c>
      <c r="I479" s="146">
        <v>45946</v>
      </c>
      <c r="J479" s="87"/>
      <c r="K479" s="57"/>
      <c r="L479" s="86" t="s">
        <v>1544</v>
      </c>
      <c r="M479" s="86">
        <v>86</v>
      </c>
      <c r="N479" s="85"/>
      <c r="O479" s="85"/>
      <c r="P479" s="85"/>
      <c r="Q479" s="85"/>
      <c r="R479" s="85"/>
      <c r="S479" s="85"/>
    </row>
    <row r="480" spans="1:19" ht="47.25">
      <c r="A480" s="83">
        <v>1626</v>
      </c>
      <c r="B480" s="141">
        <v>45923</v>
      </c>
      <c r="C480" s="18" t="s">
        <v>2</v>
      </c>
      <c r="D480" s="21" t="s">
        <v>472</v>
      </c>
      <c r="E480" s="21" t="s">
        <v>1543</v>
      </c>
      <c r="F480" s="20" t="s">
        <v>23</v>
      </c>
      <c r="G480" s="18" t="str">
        <f>C480</f>
        <v>Mech</v>
      </c>
      <c r="H480" s="86">
        <v>10000</v>
      </c>
      <c r="I480" s="146">
        <v>45946</v>
      </c>
      <c r="J480" s="87"/>
      <c r="K480" s="57"/>
      <c r="L480" s="86" t="s">
        <v>1542</v>
      </c>
      <c r="M480" s="86">
        <v>86</v>
      </c>
      <c r="N480" s="85"/>
      <c r="O480" s="85"/>
      <c r="P480" s="85"/>
      <c r="Q480" s="85"/>
      <c r="R480" s="85"/>
      <c r="S480" s="85"/>
    </row>
    <row r="481" spans="1:19" ht="47.25">
      <c r="A481" s="83">
        <v>1627</v>
      </c>
      <c r="B481" s="141">
        <v>45923</v>
      </c>
      <c r="C481" s="18" t="s">
        <v>2</v>
      </c>
      <c r="D481" s="21" t="s">
        <v>472</v>
      </c>
      <c r="E481" s="21" t="s">
        <v>1541</v>
      </c>
      <c r="F481" s="20" t="s">
        <v>324</v>
      </c>
      <c r="G481" s="18" t="str">
        <f>C481</f>
        <v>Mech</v>
      </c>
      <c r="H481" s="86">
        <v>3000</v>
      </c>
      <c r="I481" s="146">
        <v>45946</v>
      </c>
      <c r="J481" s="87"/>
      <c r="K481" s="57"/>
      <c r="L481" s="96">
        <v>45636</v>
      </c>
      <c r="M481" s="86">
        <v>86</v>
      </c>
      <c r="N481" s="85"/>
      <c r="O481" s="85"/>
      <c r="P481" s="85"/>
      <c r="Q481" s="85"/>
      <c r="R481" s="85"/>
      <c r="S481" s="85"/>
    </row>
    <row r="482" spans="1:19" ht="15.75">
      <c r="A482" s="83">
        <v>1628</v>
      </c>
      <c r="B482" s="141">
        <v>45923</v>
      </c>
      <c r="C482" s="18" t="s">
        <v>2</v>
      </c>
      <c r="D482" s="21" t="s">
        <v>472</v>
      </c>
      <c r="E482" s="21" t="s">
        <v>1455</v>
      </c>
      <c r="F482" s="20" t="s">
        <v>193</v>
      </c>
      <c r="G482" s="18" t="str">
        <f>C482</f>
        <v>Mech</v>
      </c>
      <c r="H482" s="86">
        <v>4000</v>
      </c>
      <c r="I482" s="146">
        <v>45946</v>
      </c>
      <c r="J482" s="87"/>
      <c r="K482" s="57"/>
      <c r="L482" s="95">
        <v>45939</v>
      </c>
      <c r="M482" s="86">
        <v>86</v>
      </c>
      <c r="N482" s="85"/>
      <c r="O482" s="85"/>
      <c r="P482" s="85"/>
      <c r="Q482" s="85"/>
      <c r="R482" s="85"/>
      <c r="S482" s="85"/>
    </row>
    <row r="483" spans="1:19" ht="31.5">
      <c r="A483" s="83">
        <v>1629</v>
      </c>
      <c r="B483" s="141">
        <v>45929</v>
      </c>
      <c r="C483" s="18" t="s">
        <v>1</v>
      </c>
      <c r="D483" s="21" t="s">
        <v>334</v>
      </c>
      <c r="E483" s="21" t="s">
        <v>1540</v>
      </c>
      <c r="F483" s="20" t="s">
        <v>324</v>
      </c>
      <c r="G483" s="18" t="str">
        <f>C483</f>
        <v>S&amp;H</v>
      </c>
      <c r="H483" s="86">
        <v>5000</v>
      </c>
      <c r="I483" s="146">
        <v>45946</v>
      </c>
      <c r="J483" s="87"/>
      <c r="K483" s="57"/>
      <c r="L483" s="86" t="s">
        <v>1539</v>
      </c>
      <c r="M483" s="86">
        <v>86</v>
      </c>
      <c r="N483" s="85"/>
      <c r="O483" s="85"/>
      <c r="P483" s="85"/>
      <c r="Q483" s="85"/>
      <c r="R483" s="85"/>
      <c r="S483" s="85"/>
    </row>
    <row r="484" spans="1:19" ht="15.75">
      <c r="A484" s="46"/>
      <c r="B484" s="139"/>
      <c r="C484" s="46"/>
      <c r="D484" s="46"/>
      <c r="E484" s="46" t="s">
        <v>11</v>
      </c>
      <c r="F484" s="42"/>
      <c r="G484" s="90"/>
      <c r="H484" s="89">
        <f>SUM(H469:H483)</f>
        <v>92500</v>
      </c>
      <c r="I484" s="42" t="s">
        <v>718</v>
      </c>
      <c r="J484" s="42"/>
      <c r="K484" s="45">
        <f>H484</f>
        <v>92500</v>
      </c>
      <c r="L484" s="42"/>
      <c r="M484" s="46">
        <v>86</v>
      </c>
      <c r="N484" s="88"/>
      <c r="O484" s="88"/>
      <c r="P484" s="88"/>
      <c r="Q484" s="88"/>
      <c r="R484" s="88"/>
      <c r="S484" s="88"/>
    </row>
    <row r="485" spans="1:19" ht="47.25">
      <c r="A485" s="83">
        <v>1630</v>
      </c>
      <c r="B485" s="141">
        <v>45955</v>
      </c>
      <c r="C485" s="18" t="s">
        <v>5</v>
      </c>
      <c r="D485" s="21" t="s">
        <v>1538</v>
      </c>
      <c r="E485" s="21" t="s">
        <v>1537</v>
      </c>
      <c r="F485" s="20" t="s">
        <v>16</v>
      </c>
      <c r="G485" s="18" t="str">
        <f>C485</f>
        <v>ECE</v>
      </c>
      <c r="H485" s="18">
        <v>900</v>
      </c>
      <c r="I485" s="140">
        <v>45967</v>
      </c>
      <c r="J485" s="87"/>
      <c r="K485" s="57"/>
      <c r="L485" s="86" t="s">
        <v>1536</v>
      </c>
      <c r="M485" s="86">
        <v>87</v>
      </c>
      <c r="N485" s="85"/>
      <c r="O485" s="85"/>
      <c r="P485" s="85"/>
      <c r="Q485" s="85"/>
      <c r="R485" s="85"/>
      <c r="S485" s="85"/>
    </row>
    <row r="486" spans="1:19" ht="78.75">
      <c r="A486" s="83">
        <f>1+A485</f>
        <v>1631</v>
      </c>
      <c r="B486" s="141">
        <v>45955</v>
      </c>
      <c r="C486" s="18" t="s">
        <v>5</v>
      </c>
      <c r="D486" s="21" t="s">
        <v>290</v>
      </c>
      <c r="E486" s="21" t="s">
        <v>1535</v>
      </c>
      <c r="F486" s="20" t="s">
        <v>23</v>
      </c>
      <c r="G486" s="18" t="str">
        <f>C486</f>
        <v>ECE</v>
      </c>
      <c r="H486" s="18">
        <v>10000</v>
      </c>
      <c r="I486" s="140">
        <v>45967</v>
      </c>
      <c r="J486" s="87"/>
      <c r="K486" s="57"/>
      <c r="L486" s="86" t="s">
        <v>1534</v>
      </c>
      <c r="M486" s="86">
        <v>87</v>
      </c>
      <c r="N486" s="85"/>
      <c r="O486" s="85"/>
      <c r="P486" s="85"/>
      <c r="Q486" s="85"/>
      <c r="R486" s="85"/>
      <c r="S486" s="85"/>
    </row>
    <row r="487" spans="1:19" ht="47.25">
      <c r="A487" s="83">
        <f>1+A486</f>
        <v>1632</v>
      </c>
      <c r="B487" s="141">
        <v>45939</v>
      </c>
      <c r="C487" s="18" t="s">
        <v>5</v>
      </c>
      <c r="D487" s="21" t="s">
        <v>21</v>
      </c>
      <c r="E487" s="21" t="s">
        <v>1533</v>
      </c>
      <c r="F487" s="20" t="s">
        <v>16</v>
      </c>
      <c r="G487" s="18" t="str">
        <f>C487</f>
        <v>ECE</v>
      </c>
      <c r="H487" s="18">
        <v>1800</v>
      </c>
      <c r="I487" s="140">
        <v>45967</v>
      </c>
      <c r="J487" s="87"/>
      <c r="K487" s="57"/>
      <c r="L487" s="86" t="s">
        <v>1531</v>
      </c>
      <c r="M487" s="86">
        <v>87</v>
      </c>
      <c r="N487" s="85"/>
      <c r="O487" s="85"/>
      <c r="P487" s="85"/>
      <c r="Q487" s="85"/>
      <c r="R487" s="85"/>
      <c r="S487" s="85"/>
    </row>
    <row r="488" spans="1:19" ht="47.25">
      <c r="A488" s="83">
        <f>1+A487</f>
        <v>1633</v>
      </c>
      <c r="B488" s="141">
        <v>45939</v>
      </c>
      <c r="C488" s="18" t="s">
        <v>5</v>
      </c>
      <c r="D488" s="21" t="s">
        <v>21</v>
      </c>
      <c r="E488" s="21" t="s">
        <v>1532</v>
      </c>
      <c r="F488" s="20" t="s">
        <v>16</v>
      </c>
      <c r="G488" s="18" t="str">
        <f>C488</f>
        <v>ECE</v>
      </c>
      <c r="H488" s="18">
        <v>900</v>
      </c>
      <c r="I488" s="140">
        <v>45967</v>
      </c>
      <c r="J488" s="87"/>
      <c r="K488" s="57"/>
      <c r="L488" s="86" t="s">
        <v>1531</v>
      </c>
      <c r="M488" s="86">
        <v>87</v>
      </c>
      <c r="N488" s="85"/>
      <c r="O488" s="85"/>
      <c r="P488" s="85"/>
      <c r="Q488" s="85"/>
      <c r="R488" s="85"/>
      <c r="S488" s="85"/>
    </row>
    <row r="489" spans="1:19" ht="15.75">
      <c r="A489" s="83">
        <f>1+A488</f>
        <v>1634</v>
      </c>
      <c r="B489" s="141">
        <v>45939</v>
      </c>
      <c r="C489" s="18" t="s">
        <v>5</v>
      </c>
      <c r="D489" s="21" t="s">
        <v>21</v>
      </c>
      <c r="E489" s="21" t="s">
        <v>393</v>
      </c>
      <c r="F489" s="20" t="s">
        <v>193</v>
      </c>
      <c r="G489" s="18" t="str">
        <f>C489</f>
        <v>ECE</v>
      </c>
      <c r="H489" s="18">
        <v>2000</v>
      </c>
      <c r="I489" s="140">
        <v>45967</v>
      </c>
      <c r="J489" s="87"/>
      <c r="K489" s="57"/>
      <c r="L489" s="86" t="s">
        <v>1531</v>
      </c>
      <c r="M489" s="86">
        <v>87</v>
      </c>
      <c r="N489" s="85"/>
      <c r="O489" s="85"/>
      <c r="P489" s="85"/>
      <c r="Q489" s="85"/>
      <c r="R489" s="85"/>
      <c r="S489" s="85"/>
    </row>
    <row r="490" spans="1:19" ht="31.5">
      <c r="A490" s="83">
        <f>1+A489</f>
        <v>1635</v>
      </c>
      <c r="B490" s="141">
        <v>45953</v>
      </c>
      <c r="C490" s="18" t="s">
        <v>5</v>
      </c>
      <c r="D490" s="21" t="s">
        <v>831</v>
      </c>
      <c r="E490" s="21" t="s">
        <v>1530</v>
      </c>
      <c r="F490" s="20" t="s">
        <v>16</v>
      </c>
      <c r="G490" s="18" t="str">
        <f>C490</f>
        <v>ECE</v>
      </c>
      <c r="H490" s="18">
        <v>3000</v>
      </c>
      <c r="I490" s="140">
        <v>45967</v>
      </c>
      <c r="J490" s="87"/>
      <c r="K490" s="57"/>
      <c r="L490" s="86" t="s">
        <v>1529</v>
      </c>
      <c r="M490" s="86">
        <v>87</v>
      </c>
      <c r="N490" s="85"/>
      <c r="O490" s="85"/>
      <c r="P490" s="85"/>
      <c r="Q490" s="85"/>
      <c r="R490" s="85"/>
      <c r="S490" s="85"/>
    </row>
    <row r="491" spans="1:19" ht="15.75">
      <c r="A491" s="83">
        <f>1+A490</f>
        <v>1636</v>
      </c>
      <c r="B491" s="141">
        <v>45957</v>
      </c>
      <c r="C491" s="18" t="s">
        <v>5</v>
      </c>
      <c r="D491" s="21" t="s">
        <v>831</v>
      </c>
      <c r="E491" s="21" t="s">
        <v>393</v>
      </c>
      <c r="F491" s="20" t="s">
        <v>193</v>
      </c>
      <c r="G491" s="18" t="str">
        <f>C491</f>
        <v>ECE</v>
      </c>
      <c r="H491" s="18">
        <v>2000</v>
      </c>
      <c r="I491" s="140">
        <v>45967</v>
      </c>
      <c r="J491" s="87"/>
      <c r="K491" s="57"/>
      <c r="L491" s="145">
        <v>45957</v>
      </c>
      <c r="M491" s="86">
        <v>87</v>
      </c>
      <c r="N491" s="85"/>
      <c r="O491" s="85"/>
      <c r="P491" s="85"/>
      <c r="Q491" s="85"/>
      <c r="R491" s="85"/>
      <c r="S491" s="85"/>
    </row>
    <row r="492" spans="1:19" ht="47.25">
      <c r="A492" s="83">
        <f>1+A491</f>
        <v>1637</v>
      </c>
      <c r="B492" s="141">
        <v>45945</v>
      </c>
      <c r="C492" s="18" t="s">
        <v>5</v>
      </c>
      <c r="D492" s="21" t="s">
        <v>294</v>
      </c>
      <c r="E492" s="21" t="s">
        <v>1528</v>
      </c>
      <c r="F492" s="20" t="s">
        <v>16</v>
      </c>
      <c r="G492" s="18" t="str">
        <f>C492</f>
        <v>ECE</v>
      </c>
      <c r="H492" s="18">
        <v>900</v>
      </c>
      <c r="I492" s="140">
        <v>45967</v>
      </c>
      <c r="J492" s="87"/>
      <c r="K492" s="57"/>
      <c r="L492" s="86" t="s">
        <v>1463</v>
      </c>
      <c r="M492" s="86">
        <v>87</v>
      </c>
      <c r="N492" s="85"/>
      <c r="O492" s="85"/>
      <c r="P492" s="85"/>
      <c r="Q492" s="85"/>
      <c r="R492" s="85"/>
      <c r="S492" s="85"/>
    </row>
    <row r="493" spans="1:19" ht="31.5">
      <c r="A493" s="83">
        <f>1+A492</f>
        <v>1638</v>
      </c>
      <c r="B493" s="141">
        <v>45945</v>
      </c>
      <c r="C493" s="18" t="s">
        <v>5</v>
      </c>
      <c r="D493" s="21" t="s">
        <v>294</v>
      </c>
      <c r="E493" s="21" t="s">
        <v>1527</v>
      </c>
      <c r="F493" s="20" t="s">
        <v>16</v>
      </c>
      <c r="G493" s="18" t="str">
        <f>C493</f>
        <v>ECE</v>
      </c>
      <c r="H493" s="18">
        <v>900</v>
      </c>
      <c r="I493" s="140">
        <v>45967</v>
      </c>
      <c r="J493" s="87"/>
      <c r="K493" s="57"/>
      <c r="L493" s="86" t="s">
        <v>1463</v>
      </c>
      <c r="M493" s="86">
        <v>87</v>
      </c>
      <c r="N493" s="85"/>
      <c r="O493" s="85"/>
      <c r="P493" s="85"/>
      <c r="Q493" s="85"/>
      <c r="R493" s="85"/>
      <c r="S493" s="85"/>
    </row>
    <row r="494" spans="1:19" ht="31.5">
      <c r="A494" s="83">
        <f>1+A493</f>
        <v>1639</v>
      </c>
      <c r="B494" s="141">
        <v>45910</v>
      </c>
      <c r="C494" s="18" t="s">
        <v>1</v>
      </c>
      <c r="D494" s="21" t="s">
        <v>1526</v>
      </c>
      <c r="E494" s="21" t="s">
        <v>1525</v>
      </c>
      <c r="F494" s="20" t="s">
        <v>16</v>
      </c>
      <c r="G494" s="18" t="str">
        <f>C494</f>
        <v>S&amp;H</v>
      </c>
      <c r="H494" s="18">
        <v>1800</v>
      </c>
      <c r="I494" s="140">
        <v>45967</v>
      </c>
      <c r="J494" s="87"/>
      <c r="K494" s="57"/>
      <c r="L494" s="86" t="s">
        <v>1524</v>
      </c>
      <c r="M494" s="86">
        <v>87</v>
      </c>
      <c r="N494" s="85"/>
      <c r="O494" s="85"/>
      <c r="P494" s="85"/>
      <c r="Q494" s="85"/>
      <c r="R494" s="85"/>
      <c r="S494" s="85"/>
    </row>
    <row r="495" spans="1:19" ht="31.5">
      <c r="A495" s="83">
        <f>1+A494</f>
        <v>1640</v>
      </c>
      <c r="B495" s="141">
        <v>45916</v>
      </c>
      <c r="C495" s="18" t="s">
        <v>5</v>
      </c>
      <c r="D495" s="21" t="s">
        <v>175</v>
      </c>
      <c r="E495" s="21" t="s">
        <v>1523</v>
      </c>
      <c r="F495" s="20" t="s">
        <v>23</v>
      </c>
      <c r="G495" s="18" t="str">
        <f>C495</f>
        <v>ECE</v>
      </c>
      <c r="H495" s="18">
        <v>6000</v>
      </c>
      <c r="I495" s="140">
        <v>45967</v>
      </c>
      <c r="J495" s="87"/>
      <c r="K495" s="57"/>
      <c r="L495" s="86" t="s">
        <v>1463</v>
      </c>
      <c r="M495" s="86">
        <v>87</v>
      </c>
      <c r="N495" s="85"/>
      <c r="O495" s="85"/>
      <c r="P495" s="85"/>
      <c r="Q495" s="85"/>
      <c r="R495" s="85"/>
      <c r="S495" s="85"/>
    </row>
    <row r="496" spans="1:19" ht="15.75">
      <c r="A496" s="83">
        <f>1+A495</f>
        <v>1641</v>
      </c>
      <c r="B496" s="141">
        <v>45916</v>
      </c>
      <c r="C496" s="18" t="s">
        <v>5</v>
      </c>
      <c r="D496" s="21" t="s">
        <v>175</v>
      </c>
      <c r="E496" s="21" t="s">
        <v>1455</v>
      </c>
      <c r="F496" s="20" t="s">
        <v>193</v>
      </c>
      <c r="G496" s="18" t="str">
        <f>C496</f>
        <v>ECE</v>
      </c>
      <c r="H496" s="18">
        <v>4000</v>
      </c>
      <c r="I496" s="140">
        <v>45967</v>
      </c>
      <c r="J496" s="87"/>
      <c r="K496" s="57"/>
      <c r="L496" s="86" t="s">
        <v>1522</v>
      </c>
      <c r="M496" s="86">
        <v>87</v>
      </c>
      <c r="N496" s="85"/>
      <c r="O496" s="85"/>
      <c r="P496" s="85"/>
      <c r="Q496" s="85"/>
      <c r="R496" s="85"/>
      <c r="S496" s="85"/>
    </row>
    <row r="497" spans="1:19" ht="47.25">
      <c r="A497" s="83">
        <f>1+A496</f>
        <v>1642</v>
      </c>
      <c r="B497" s="141">
        <v>45941</v>
      </c>
      <c r="C497" s="18" t="s">
        <v>4</v>
      </c>
      <c r="D497" s="21" t="s">
        <v>911</v>
      </c>
      <c r="E497" s="21" t="s">
        <v>1521</v>
      </c>
      <c r="F497" s="20" t="s">
        <v>324</v>
      </c>
      <c r="G497" s="18" t="str">
        <f>C497</f>
        <v>EEE</v>
      </c>
      <c r="H497" s="18">
        <v>5000</v>
      </c>
      <c r="I497" s="140">
        <v>45967</v>
      </c>
      <c r="J497" s="87"/>
      <c r="K497" s="57"/>
      <c r="L497" s="144">
        <v>45787</v>
      </c>
      <c r="M497" s="86">
        <v>87</v>
      </c>
      <c r="N497" s="85"/>
      <c r="O497" s="85"/>
      <c r="P497" s="85"/>
      <c r="Q497" s="85"/>
      <c r="R497" s="85"/>
      <c r="S497" s="85"/>
    </row>
    <row r="498" spans="1:19" ht="15.75">
      <c r="A498" s="83">
        <f>1+A497</f>
        <v>1643</v>
      </c>
      <c r="B498" s="141">
        <v>45941</v>
      </c>
      <c r="C498" s="18" t="s">
        <v>4</v>
      </c>
      <c r="D498" s="21" t="s">
        <v>911</v>
      </c>
      <c r="E498" s="21" t="s">
        <v>1520</v>
      </c>
      <c r="F498" s="20" t="s">
        <v>16</v>
      </c>
      <c r="G498" s="18" t="str">
        <f>C498</f>
        <v>EEE</v>
      </c>
      <c r="H498" s="18">
        <v>3000</v>
      </c>
      <c r="I498" s="140">
        <v>45967</v>
      </c>
      <c r="J498" s="87"/>
      <c r="K498" s="57"/>
      <c r="L498" s="95">
        <v>45697</v>
      </c>
      <c r="M498" s="86">
        <v>87</v>
      </c>
      <c r="N498" s="85"/>
      <c r="O498" s="85"/>
      <c r="P498" s="85"/>
      <c r="Q498" s="85"/>
      <c r="R498" s="85"/>
      <c r="S498" s="85"/>
    </row>
    <row r="499" spans="1:19" ht="31.5">
      <c r="A499" s="83">
        <f>1+A498</f>
        <v>1644</v>
      </c>
      <c r="B499" s="141">
        <v>45941</v>
      </c>
      <c r="C499" s="18" t="s">
        <v>4</v>
      </c>
      <c r="D499" s="21" t="s">
        <v>911</v>
      </c>
      <c r="E499" s="21" t="s">
        <v>1519</v>
      </c>
      <c r="F499" s="20" t="s">
        <v>16</v>
      </c>
      <c r="G499" s="18" t="str">
        <f>C499</f>
        <v>EEE</v>
      </c>
      <c r="H499" s="18">
        <v>900</v>
      </c>
      <c r="I499" s="140">
        <v>45967</v>
      </c>
      <c r="J499" s="87"/>
      <c r="K499" s="57"/>
      <c r="L499" s="86" t="s">
        <v>1517</v>
      </c>
      <c r="M499" s="86">
        <v>87</v>
      </c>
      <c r="N499" s="85"/>
      <c r="O499" s="85"/>
      <c r="P499" s="85"/>
      <c r="Q499" s="85"/>
      <c r="R499" s="85"/>
      <c r="S499" s="85"/>
    </row>
    <row r="500" spans="1:19" ht="15.75">
      <c r="A500" s="83">
        <f>1+A499</f>
        <v>1645</v>
      </c>
      <c r="B500" s="141">
        <v>45941</v>
      </c>
      <c r="C500" s="18" t="s">
        <v>4</v>
      </c>
      <c r="D500" s="21" t="s">
        <v>911</v>
      </c>
      <c r="E500" s="21" t="s">
        <v>1518</v>
      </c>
      <c r="F500" s="20" t="s">
        <v>187</v>
      </c>
      <c r="G500" s="18" t="str">
        <f>C500</f>
        <v>EEE</v>
      </c>
      <c r="H500" s="18">
        <v>5000</v>
      </c>
      <c r="I500" s="140">
        <v>45967</v>
      </c>
      <c r="J500" s="87"/>
      <c r="K500" s="57"/>
      <c r="L500" s="86" t="s">
        <v>1517</v>
      </c>
      <c r="M500" s="86">
        <v>87</v>
      </c>
      <c r="N500" s="85"/>
      <c r="O500" s="85"/>
      <c r="P500" s="85"/>
      <c r="Q500" s="85"/>
      <c r="R500" s="85"/>
      <c r="S500" s="85"/>
    </row>
    <row r="501" spans="1:19" ht="47.25">
      <c r="A501" s="83">
        <f>1+A500</f>
        <v>1646</v>
      </c>
      <c r="B501" s="141">
        <v>45940</v>
      </c>
      <c r="C501" s="18" t="s">
        <v>1</v>
      </c>
      <c r="D501" s="21" t="s">
        <v>388</v>
      </c>
      <c r="E501" s="21" t="s">
        <v>1516</v>
      </c>
      <c r="F501" s="20" t="s">
        <v>23</v>
      </c>
      <c r="G501" s="18" t="str">
        <f>C501</f>
        <v>S&amp;H</v>
      </c>
      <c r="H501" s="18">
        <v>10000</v>
      </c>
      <c r="I501" s="140">
        <v>45967</v>
      </c>
      <c r="J501" s="87"/>
      <c r="K501" s="57"/>
      <c r="L501" s="86" t="s">
        <v>1515</v>
      </c>
      <c r="M501" s="86">
        <v>87</v>
      </c>
      <c r="N501" s="85"/>
      <c r="O501" s="85"/>
      <c r="P501" s="85"/>
      <c r="Q501" s="85"/>
      <c r="R501" s="85"/>
      <c r="S501" s="85"/>
    </row>
    <row r="502" spans="1:19" ht="47.25">
      <c r="A502" s="83">
        <f>1+A501</f>
        <v>1647</v>
      </c>
      <c r="B502" s="141">
        <v>45940</v>
      </c>
      <c r="C502" s="18" t="s">
        <v>1</v>
      </c>
      <c r="D502" s="21" t="s">
        <v>388</v>
      </c>
      <c r="E502" s="21" t="s">
        <v>1514</v>
      </c>
      <c r="F502" s="20" t="s">
        <v>23</v>
      </c>
      <c r="G502" s="18" t="str">
        <f>C502</f>
        <v>S&amp;H</v>
      </c>
      <c r="H502" s="18">
        <v>10000</v>
      </c>
      <c r="I502" s="140">
        <v>45967</v>
      </c>
      <c r="J502" s="87"/>
      <c r="K502" s="57"/>
      <c r="L502" s="86" t="s">
        <v>1513</v>
      </c>
      <c r="M502" s="86">
        <v>87</v>
      </c>
      <c r="N502" s="85"/>
      <c r="O502" s="85"/>
      <c r="P502" s="85"/>
      <c r="Q502" s="85"/>
      <c r="R502" s="85"/>
      <c r="S502" s="85"/>
    </row>
    <row r="503" spans="1:19" ht="31.5">
      <c r="A503" s="83">
        <f>1+A502</f>
        <v>1648</v>
      </c>
      <c r="B503" s="141">
        <v>45939</v>
      </c>
      <c r="C503" s="18" t="s">
        <v>1</v>
      </c>
      <c r="D503" s="21" t="s">
        <v>126</v>
      </c>
      <c r="E503" s="142" t="s">
        <v>1512</v>
      </c>
      <c r="F503" s="20" t="s">
        <v>23</v>
      </c>
      <c r="G503" s="18" t="str">
        <f>C503</f>
        <v>S&amp;H</v>
      </c>
      <c r="H503" s="18">
        <v>10000</v>
      </c>
      <c r="I503" s="140">
        <v>45967</v>
      </c>
      <c r="J503" s="87"/>
      <c r="K503" s="57"/>
      <c r="L503" s="86" t="s">
        <v>1511</v>
      </c>
      <c r="M503" s="86">
        <v>87</v>
      </c>
      <c r="N503" s="85"/>
      <c r="O503" s="85"/>
      <c r="P503" s="85"/>
      <c r="Q503" s="85"/>
      <c r="R503" s="85"/>
      <c r="S503" s="85"/>
    </row>
    <row r="504" spans="1:19" ht="31.5">
      <c r="A504" s="83">
        <f>1+A503</f>
        <v>1649</v>
      </c>
      <c r="B504" s="141">
        <v>45939</v>
      </c>
      <c r="C504" s="18" t="s">
        <v>1</v>
      </c>
      <c r="D504" s="21" t="s">
        <v>126</v>
      </c>
      <c r="E504" s="142" t="s">
        <v>1510</v>
      </c>
      <c r="F504" s="20" t="s">
        <v>23</v>
      </c>
      <c r="G504" s="18" t="str">
        <f>C504</f>
        <v>S&amp;H</v>
      </c>
      <c r="H504" s="18">
        <v>10000</v>
      </c>
      <c r="I504" s="140">
        <v>45967</v>
      </c>
      <c r="J504" s="87"/>
      <c r="K504" s="57"/>
      <c r="L504" s="95">
        <v>45697</v>
      </c>
      <c r="M504" s="86">
        <v>87</v>
      </c>
      <c r="N504" s="85"/>
      <c r="O504" s="85"/>
      <c r="P504" s="85"/>
      <c r="Q504" s="85"/>
      <c r="R504" s="85"/>
      <c r="S504" s="85"/>
    </row>
    <row r="505" spans="1:19" ht="47.25">
      <c r="A505" s="83">
        <f>1+A504</f>
        <v>1650</v>
      </c>
      <c r="B505" s="133" t="s">
        <v>1508</v>
      </c>
      <c r="C505" s="18" t="s">
        <v>4</v>
      </c>
      <c r="D505" s="21" t="s">
        <v>911</v>
      </c>
      <c r="E505" s="142" t="s">
        <v>1509</v>
      </c>
      <c r="F505" s="20" t="s">
        <v>23</v>
      </c>
      <c r="G505" s="18" t="str">
        <f>C505</f>
        <v>EEE</v>
      </c>
      <c r="H505" s="18">
        <v>10000</v>
      </c>
      <c r="I505" s="140">
        <v>45967</v>
      </c>
      <c r="J505" s="87"/>
      <c r="K505" s="57"/>
      <c r="L505" s="99">
        <v>45809</v>
      </c>
      <c r="M505" s="86"/>
      <c r="N505" s="85"/>
      <c r="O505" s="85"/>
      <c r="P505" s="85"/>
      <c r="Q505" s="85"/>
      <c r="R505" s="85"/>
      <c r="S505" s="85"/>
    </row>
    <row r="506" spans="1:19" ht="15.75">
      <c r="A506" s="83">
        <f>1+A505</f>
        <v>1651</v>
      </c>
      <c r="B506" s="141">
        <v>45958</v>
      </c>
      <c r="C506" s="18" t="s">
        <v>1</v>
      </c>
      <c r="D506" s="21" t="s">
        <v>167</v>
      </c>
      <c r="E506" s="142" t="s">
        <v>393</v>
      </c>
      <c r="F506" s="143" t="s">
        <v>193</v>
      </c>
      <c r="G506" s="18" t="str">
        <f>C506</f>
        <v>S&amp;H</v>
      </c>
      <c r="H506" s="18">
        <v>2000</v>
      </c>
      <c r="I506" s="140">
        <v>45967</v>
      </c>
      <c r="J506" s="87"/>
      <c r="K506" s="57"/>
      <c r="L506" s="86" t="s">
        <v>1508</v>
      </c>
      <c r="M506" s="86">
        <v>87</v>
      </c>
      <c r="N506" s="85"/>
      <c r="O506" s="85"/>
      <c r="P506" s="85"/>
      <c r="Q506" s="85"/>
      <c r="R506" s="85"/>
      <c r="S506" s="85"/>
    </row>
    <row r="507" spans="1:19" ht="15.75">
      <c r="A507" s="46"/>
      <c r="B507" s="139"/>
      <c r="C507" s="46"/>
      <c r="D507" s="46"/>
      <c r="E507" s="46" t="s">
        <v>11</v>
      </c>
      <c r="F507" s="42"/>
      <c r="G507" s="90"/>
      <c r="H507" s="89">
        <f>SUM(H485:H506)</f>
        <v>100100</v>
      </c>
      <c r="I507" s="42" t="s">
        <v>718</v>
      </c>
      <c r="J507" s="42"/>
      <c r="K507" s="45">
        <f>H507</f>
        <v>100100</v>
      </c>
      <c r="L507" s="42"/>
      <c r="M507" s="46">
        <v>87</v>
      </c>
      <c r="N507" s="88"/>
      <c r="O507" s="88"/>
      <c r="P507" s="88"/>
      <c r="Q507" s="88"/>
      <c r="R507" s="88"/>
      <c r="S507" s="88"/>
    </row>
    <row r="508" spans="1:19" ht="31.5">
      <c r="A508" s="83">
        <f>1+A506</f>
        <v>1652</v>
      </c>
      <c r="B508" s="141">
        <v>45960</v>
      </c>
      <c r="C508" s="18" t="s">
        <v>4</v>
      </c>
      <c r="D508" s="21" t="s">
        <v>455</v>
      </c>
      <c r="E508" s="21" t="s">
        <v>1507</v>
      </c>
      <c r="F508" s="20" t="s">
        <v>187</v>
      </c>
      <c r="G508" s="18" t="str">
        <f>C508</f>
        <v>EEE</v>
      </c>
      <c r="H508" s="18">
        <v>2000</v>
      </c>
      <c r="I508" s="140">
        <v>45971</v>
      </c>
      <c r="J508" s="87"/>
      <c r="K508" s="57"/>
      <c r="L508" s="95">
        <v>46000</v>
      </c>
      <c r="M508" s="86">
        <v>88</v>
      </c>
      <c r="N508" s="85"/>
      <c r="O508" s="85"/>
      <c r="P508" s="85"/>
      <c r="Q508" s="85"/>
      <c r="R508" s="85"/>
      <c r="S508" s="85"/>
    </row>
    <row r="509" spans="1:19" ht="31.5">
      <c r="A509" s="83">
        <f>1+A508</f>
        <v>1653</v>
      </c>
      <c r="B509" s="141">
        <v>45959</v>
      </c>
      <c r="C509" s="18" t="s">
        <v>36</v>
      </c>
      <c r="D509" s="21" t="s">
        <v>275</v>
      </c>
      <c r="E509" s="21" t="s">
        <v>1506</v>
      </c>
      <c r="F509" s="20" t="s">
        <v>324</v>
      </c>
      <c r="G509" s="18" t="str">
        <f>C509</f>
        <v>AIDS</v>
      </c>
      <c r="H509" s="18">
        <v>5000</v>
      </c>
      <c r="I509" s="140">
        <v>45971</v>
      </c>
      <c r="J509" s="87"/>
      <c r="K509" s="57"/>
      <c r="L509" s="95" t="s">
        <v>1505</v>
      </c>
      <c r="M509" s="86">
        <v>88</v>
      </c>
      <c r="N509" s="85"/>
      <c r="O509" s="85"/>
      <c r="P509" s="85"/>
      <c r="Q509" s="85"/>
      <c r="R509" s="85"/>
      <c r="S509" s="85"/>
    </row>
    <row r="510" spans="1:19" ht="15.75">
      <c r="A510" s="83">
        <f>1+A509</f>
        <v>1654</v>
      </c>
      <c r="B510" s="141">
        <v>45966</v>
      </c>
      <c r="C510" s="18" t="s">
        <v>1</v>
      </c>
      <c r="D510" s="21" t="s">
        <v>167</v>
      </c>
      <c r="E510" s="142" t="s">
        <v>1455</v>
      </c>
      <c r="F510" s="143" t="s">
        <v>193</v>
      </c>
      <c r="G510" s="18" t="str">
        <f>C510</f>
        <v>S&amp;H</v>
      </c>
      <c r="H510" s="18">
        <v>4000</v>
      </c>
      <c r="I510" s="140">
        <v>45971</v>
      </c>
      <c r="J510" s="87"/>
      <c r="K510" s="57"/>
      <c r="L510" s="95">
        <v>45788</v>
      </c>
      <c r="M510" s="86">
        <v>88</v>
      </c>
      <c r="N510" s="85"/>
      <c r="O510" s="85"/>
      <c r="P510" s="85"/>
      <c r="Q510" s="85"/>
      <c r="R510" s="85"/>
      <c r="S510" s="85"/>
    </row>
    <row r="511" spans="1:19" ht="31.5">
      <c r="A511" s="83">
        <f>1+A510</f>
        <v>1655</v>
      </c>
      <c r="B511" s="141">
        <v>45965</v>
      </c>
      <c r="C511" s="18" t="s">
        <v>5</v>
      </c>
      <c r="D511" s="21" t="s">
        <v>544</v>
      </c>
      <c r="E511" s="21" t="s">
        <v>1504</v>
      </c>
      <c r="F511" s="20" t="s">
        <v>23</v>
      </c>
      <c r="G511" s="18" t="str">
        <f>C511</f>
        <v>ECE</v>
      </c>
      <c r="H511" s="18">
        <v>10000</v>
      </c>
      <c r="I511" s="140">
        <v>45971</v>
      </c>
      <c r="J511" s="87"/>
      <c r="K511" s="57"/>
      <c r="L511" s="95">
        <v>45904</v>
      </c>
      <c r="M511" s="86">
        <v>88</v>
      </c>
      <c r="N511" s="85"/>
      <c r="O511" s="85"/>
      <c r="P511" s="85"/>
      <c r="Q511" s="85"/>
      <c r="R511" s="85"/>
      <c r="S511" s="85"/>
    </row>
    <row r="512" spans="1:19" ht="31.5">
      <c r="A512" s="83">
        <f>1+A511</f>
        <v>1656</v>
      </c>
      <c r="B512" s="141">
        <v>45964</v>
      </c>
      <c r="C512" s="18" t="s">
        <v>8</v>
      </c>
      <c r="D512" s="21" t="s">
        <v>1276</v>
      </c>
      <c r="E512" s="21" t="s">
        <v>1503</v>
      </c>
      <c r="F512" s="20" t="s">
        <v>16</v>
      </c>
      <c r="G512" s="18" t="str">
        <f>C512</f>
        <v>CCE</v>
      </c>
      <c r="H512" s="18">
        <v>3000</v>
      </c>
      <c r="I512" s="140">
        <v>45971</v>
      </c>
      <c r="J512" s="87"/>
      <c r="K512" s="57"/>
      <c r="L512" s="86" t="s">
        <v>1458</v>
      </c>
      <c r="M512" s="86">
        <v>88</v>
      </c>
      <c r="N512" s="85"/>
      <c r="O512" s="85"/>
      <c r="P512" s="85"/>
      <c r="Q512" s="85"/>
      <c r="R512" s="85"/>
      <c r="S512" s="85"/>
    </row>
    <row r="513" spans="1:19" ht="15.75">
      <c r="A513" s="83">
        <f>1+A512</f>
        <v>1657</v>
      </c>
      <c r="B513" s="141">
        <v>45960</v>
      </c>
      <c r="C513" s="18" t="s">
        <v>2</v>
      </c>
      <c r="D513" s="21" t="s">
        <v>97</v>
      </c>
      <c r="E513" s="21" t="s">
        <v>1502</v>
      </c>
      <c r="F513" s="20" t="s">
        <v>16</v>
      </c>
      <c r="G513" s="18" t="str">
        <f>C513</f>
        <v>Mech</v>
      </c>
      <c r="H513" s="18">
        <v>900</v>
      </c>
      <c r="I513" s="140">
        <v>45971</v>
      </c>
      <c r="J513" s="87"/>
      <c r="K513" s="57"/>
      <c r="L513" s="86" t="s">
        <v>1501</v>
      </c>
      <c r="M513" s="86">
        <v>88</v>
      </c>
      <c r="N513" s="85"/>
      <c r="O513" s="85"/>
      <c r="P513" s="85"/>
      <c r="Q513" s="85"/>
      <c r="R513" s="85"/>
      <c r="S513" s="85"/>
    </row>
    <row r="514" spans="1:19" ht="31.5">
      <c r="A514" s="83">
        <f>1+A513</f>
        <v>1658</v>
      </c>
      <c r="B514" s="141">
        <v>45960</v>
      </c>
      <c r="C514" s="18" t="s">
        <v>2</v>
      </c>
      <c r="D514" s="21" t="s">
        <v>97</v>
      </c>
      <c r="E514" s="21" t="s">
        <v>1500</v>
      </c>
      <c r="F514" s="20" t="s">
        <v>16</v>
      </c>
      <c r="G514" s="18" t="str">
        <f>C514</f>
        <v>Mech</v>
      </c>
      <c r="H514" s="18">
        <v>1800</v>
      </c>
      <c r="I514" s="140">
        <v>45971</v>
      </c>
      <c r="J514" s="87"/>
      <c r="K514" s="57"/>
      <c r="L514" s="86" t="s">
        <v>787</v>
      </c>
      <c r="M514" s="86">
        <v>88</v>
      </c>
      <c r="N514" s="85"/>
      <c r="O514" s="85"/>
      <c r="P514" s="85"/>
      <c r="Q514" s="85"/>
      <c r="R514" s="85"/>
      <c r="S514" s="85"/>
    </row>
    <row r="515" spans="1:19" ht="47.25">
      <c r="A515" s="83">
        <f>1+A514</f>
        <v>1659</v>
      </c>
      <c r="B515" s="141">
        <v>45961</v>
      </c>
      <c r="C515" s="18" t="s">
        <v>5</v>
      </c>
      <c r="D515" s="21" t="s">
        <v>1462</v>
      </c>
      <c r="E515" s="21" t="s">
        <v>1499</v>
      </c>
      <c r="F515" s="20" t="s">
        <v>23</v>
      </c>
      <c r="G515" s="18" t="str">
        <f>C515</f>
        <v>ECE</v>
      </c>
      <c r="H515" s="18">
        <v>3000</v>
      </c>
      <c r="I515" s="140">
        <v>45971</v>
      </c>
      <c r="J515" s="87"/>
      <c r="K515" s="57"/>
      <c r="L515" s="95">
        <v>45818</v>
      </c>
      <c r="M515" s="86">
        <v>88</v>
      </c>
      <c r="N515" s="85"/>
      <c r="O515" s="85"/>
      <c r="P515" s="85"/>
      <c r="Q515" s="85"/>
      <c r="R515" s="85"/>
      <c r="S515" s="85"/>
    </row>
    <row r="516" spans="1:19" ht="15.75">
      <c r="A516" s="83">
        <f>1+A515</f>
        <v>1660</v>
      </c>
      <c r="B516" s="141">
        <v>45961</v>
      </c>
      <c r="C516" s="18" t="s">
        <v>5</v>
      </c>
      <c r="D516" s="21" t="s">
        <v>1462</v>
      </c>
      <c r="E516" s="21" t="s">
        <v>1498</v>
      </c>
      <c r="F516" s="20" t="s">
        <v>324</v>
      </c>
      <c r="G516" s="18" t="str">
        <f>C516</f>
        <v>ECE</v>
      </c>
      <c r="H516" s="18">
        <v>3000</v>
      </c>
      <c r="I516" s="140">
        <v>45971</v>
      </c>
      <c r="J516" s="87"/>
      <c r="K516" s="57"/>
      <c r="L516" s="86" t="s">
        <v>1496</v>
      </c>
      <c r="M516" s="86">
        <v>88</v>
      </c>
      <c r="N516" s="85"/>
      <c r="O516" s="85"/>
      <c r="P516" s="85"/>
      <c r="Q516" s="85"/>
      <c r="R516" s="85"/>
      <c r="S516" s="85"/>
    </row>
    <row r="517" spans="1:19" ht="31.5">
      <c r="A517" s="83">
        <f>1+A516</f>
        <v>1661</v>
      </c>
      <c r="B517" s="141">
        <v>45961</v>
      </c>
      <c r="C517" s="18" t="s">
        <v>5</v>
      </c>
      <c r="D517" s="21" t="s">
        <v>1462</v>
      </c>
      <c r="E517" s="21" t="s">
        <v>1497</v>
      </c>
      <c r="F517" s="20" t="s">
        <v>16</v>
      </c>
      <c r="G517" s="18" t="str">
        <f>C517</f>
        <v>ECE</v>
      </c>
      <c r="H517" s="18">
        <v>900</v>
      </c>
      <c r="I517" s="140">
        <v>45971</v>
      </c>
      <c r="J517" s="87"/>
      <c r="K517" s="57"/>
      <c r="L517" s="86" t="s">
        <v>1496</v>
      </c>
      <c r="M517" s="86">
        <v>88</v>
      </c>
      <c r="N517" s="85"/>
      <c r="O517" s="85"/>
      <c r="P517" s="85"/>
      <c r="Q517" s="85"/>
      <c r="R517" s="85"/>
      <c r="S517" s="85"/>
    </row>
    <row r="518" spans="1:19" ht="15.75">
      <c r="A518" s="83">
        <f>1+A517</f>
        <v>1662</v>
      </c>
      <c r="B518" s="141">
        <v>45961</v>
      </c>
      <c r="C518" s="18" t="s">
        <v>5</v>
      </c>
      <c r="D518" s="21" t="s">
        <v>1462</v>
      </c>
      <c r="E518" s="21" t="s">
        <v>1495</v>
      </c>
      <c r="F518" s="20" t="s">
        <v>16</v>
      </c>
      <c r="G518" s="18" t="str">
        <f>C518</f>
        <v>ECE</v>
      </c>
      <c r="H518" s="18">
        <v>900</v>
      </c>
      <c r="I518" s="140">
        <v>45971</v>
      </c>
      <c r="J518" s="87"/>
      <c r="K518" s="57"/>
      <c r="L518" s="95">
        <v>45940</v>
      </c>
      <c r="M518" s="86">
        <v>88</v>
      </c>
      <c r="N518" s="85"/>
      <c r="O518" s="85"/>
      <c r="P518" s="85"/>
      <c r="Q518" s="85"/>
      <c r="R518" s="85"/>
      <c r="S518" s="85"/>
    </row>
    <row r="519" spans="1:19" ht="31.5">
      <c r="A519" s="83">
        <f>1+A518</f>
        <v>1663</v>
      </c>
      <c r="B519" s="141">
        <v>45966</v>
      </c>
      <c r="C519" s="18" t="s">
        <v>8</v>
      </c>
      <c r="D519" s="21" t="s">
        <v>1494</v>
      </c>
      <c r="E519" s="21" t="s">
        <v>1493</v>
      </c>
      <c r="F519" s="20" t="s">
        <v>324</v>
      </c>
      <c r="G519" s="18" t="str">
        <f>C519</f>
        <v>CCE</v>
      </c>
      <c r="H519" s="18">
        <v>5000</v>
      </c>
      <c r="I519" s="140">
        <v>45971</v>
      </c>
      <c r="J519" s="87"/>
      <c r="K519" s="57"/>
      <c r="L519" s="95">
        <v>45787</v>
      </c>
      <c r="M519" s="86">
        <v>88</v>
      </c>
      <c r="N519" s="85"/>
      <c r="O519" s="85"/>
      <c r="P519" s="85"/>
      <c r="Q519" s="85"/>
      <c r="R519" s="85"/>
      <c r="S519" s="85"/>
    </row>
    <row r="520" spans="1:19" ht="15.75">
      <c r="A520" s="46"/>
      <c r="B520" s="139"/>
      <c r="C520" s="46"/>
      <c r="D520" s="46"/>
      <c r="E520" s="46" t="s">
        <v>11</v>
      </c>
      <c r="F520" s="42"/>
      <c r="G520" s="90"/>
      <c r="H520" s="89">
        <f>SUM(H508:H519)</f>
        <v>39500</v>
      </c>
      <c r="I520" s="42" t="s">
        <v>718</v>
      </c>
      <c r="J520" s="42"/>
      <c r="K520" s="45">
        <f>H520</f>
        <v>39500</v>
      </c>
      <c r="L520" s="42"/>
      <c r="M520" s="46">
        <v>88</v>
      </c>
      <c r="N520" s="88"/>
      <c r="O520" s="88"/>
      <c r="P520" s="88"/>
      <c r="Q520" s="88"/>
      <c r="R520" s="88"/>
      <c r="S520" s="88"/>
    </row>
    <row r="521" spans="1:19" ht="47.25">
      <c r="A521" s="83">
        <f>1+A519</f>
        <v>1664</v>
      </c>
      <c r="B521" s="141">
        <v>45978</v>
      </c>
      <c r="C521" s="18" t="s">
        <v>5</v>
      </c>
      <c r="D521" s="21" t="s">
        <v>831</v>
      </c>
      <c r="E521" s="142" t="s">
        <v>1492</v>
      </c>
      <c r="F521" s="143" t="s">
        <v>324</v>
      </c>
      <c r="G521" s="18" t="str">
        <f>C521</f>
        <v>ECE</v>
      </c>
      <c r="H521" s="18">
        <v>5000</v>
      </c>
      <c r="I521" s="140">
        <v>46009</v>
      </c>
      <c r="J521" s="87"/>
      <c r="K521" s="57"/>
      <c r="L521" s="86" t="s">
        <v>1423</v>
      </c>
      <c r="M521" s="86">
        <v>89</v>
      </c>
      <c r="N521" s="85"/>
      <c r="O521" s="85"/>
      <c r="P521" s="85"/>
      <c r="Q521" s="85"/>
      <c r="R521" s="85"/>
      <c r="S521" s="85"/>
    </row>
    <row r="522" spans="1:19" ht="15.75">
      <c r="A522" s="83">
        <f>1+A521</f>
        <v>1665</v>
      </c>
      <c r="B522" s="141">
        <v>45974</v>
      </c>
      <c r="C522" s="18" t="s">
        <v>36</v>
      </c>
      <c r="D522" s="21" t="s">
        <v>26</v>
      </c>
      <c r="E522" s="142" t="s">
        <v>1451</v>
      </c>
      <c r="F522" s="143" t="s">
        <v>193</v>
      </c>
      <c r="G522" s="18" t="str">
        <f>C522</f>
        <v>AIDS</v>
      </c>
      <c r="H522" s="18">
        <v>6000</v>
      </c>
      <c r="I522" s="140">
        <v>46009</v>
      </c>
      <c r="J522" s="87"/>
      <c r="K522" s="57"/>
      <c r="L522" s="95">
        <v>45974</v>
      </c>
      <c r="M522" s="86">
        <v>89</v>
      </c>
      <c r="N522" s="85"/>
      <c r="O522" s="85"/>
      <c r="P522" s="85"/>
      <c r="Q522" s="85"/>
      <c r="R522" s="85"/>
      <c r="S522" s="85"/>
    </row>
    <row r="523" spans="1:19" ht="47.25">
      <c r="A523" s="83">
        <f>1+A522</f>
        <v>1666</v>
      </c>
      <c r="B523" s="141">
        <v>45973</v>
      </c>
      <c r="C523" s="18" t="s">
        <v>5</v>
      </c>
      <c r="D523" s="21" t="s">
        <v>18</v>
      </c>
      <c r="E523" s="21" t="s">
        <v>1491</v>
      </c>
      <c r="F523" s="20" t="s">
        <v>23</v>
      </c>
      <c r="G523" s="18" t="str">
        <f>C523</f>
        <v>ECE</v>
      </c>
      <c r="H523" s="18">
        <v>10000</v>
      </c>
      <c r="I523" s="140">
        <v>46009</v>
      </c>
      <c r="J523" s="87"/>
      <c r="K523" s="57"/>
      <c r="L523" s="95">
        <v>45818</v>
      </c>
      <c r="M523" s="86">
        <v>89</v>
      </c>
      <c r="N523" s="85"/>
      <c r="O523" s="85"/>
      <c r="P523" s="85"/>
      <c r="Q523" s="85"/>
      <c r="R523" s="85"/>
      <c r="S523" s="85"/>
    </row>
    <row r="524" spans="1:19" ht="15.75">
      <c r="A524" s="83">
        <f>1+A523</f>
        <v>1667</v>
      </c>
      <c r="B524" s="141">
        <v>45973</v>
      </c>
      <c r="C524" s="18" t="s">
        <v>5</v>
      </c>
      <c r="D524" s="21" t="s">
        <v>18</v>
      </c>
      <c r="E524" s="142" t="s">
        <v>1443</v>
      </c>
      <c r="F524" s="20" t="s">
        <v>193</v>
      </c>
      <c r="G524" s="18" t="str">
        <f>C524</f>
        <v>ECE</v>
      </c>
      <c r="H524" s="18">
        <v>8000</v>
      </c>
      <c r="I524" s="140">
        <v>46009</v>
      </c>
      <c r="J524" s="87"/>
      <c r="K524" s="57"/>
      <c r="L524" s="95">
        <v>46002</v>
      </c>
      <c r="M524" s="86">
        <v>89</v>
      </c>
      <c r="N524" s="85"/>
      <c r="O524" s="85"/>
      <c r="P524" s="85"/>
      <c r="Q524" s="85"/>
      <c r="R524" s="85"/>
      <c r="S524" s="85"/>
    </row>
    <row r="525" spans="1:19" ht="31.5">
      <c r="A525" s="83">
        <f>1+A524</f>
        <v>1668</v>
      </c>
      <c r="B525" s="141">
        <v>45954</v>
      </c>
      <c r="C525" s="18" t="s">
        <v>5</v>
      </c>
      <c r="D525" s="21" t="s">
        <v>50</v>
      </c>
      <c r="E525" s="21" t="s">
        <v>1490</v>
      </c>
      <c r="F525" s="20" t="s">
        <v>16</v>
      </c>
      <c r="G525" s="18" t="str">
        <f>C525</f>
        <v>ECE</v>
      </c>
      <c r="H525" s="18">
        <v>3000</v>
      </c>
      <c r="I525" s="140">
        <v>46009</v>
      </c>
      <c r="J525" s="87"/>
      <c r="K525" s="57"/>
      <c r="L525" s="95" t="s">
        <v>1489</v>
      </c>
      <c r="M525" s="86">
        <v>89</v>
      </c>
      <c r="N525" s="85"/>
      <c r="O525" s="85"/>
      <c r="P525" s="85"/>
      <c r="Q525" s="85"/>
      <c r="R525" s="85"/>
      <c r="S525" s="85"/>
    </row>
    <row r="526" spans="1:19" ht="47.25">
      <c r="A526" s="83">
        <f>1+A525</f>
        <v>1669</v>
      </c>
      <c r="B526" s="141">
        <v>45980</v>
      </c>
      <c r="C526" s="18" t="s">
        <v>0</v>
      </c>
      <c r="D526" s="21" t="s">
        <v>334</v>
      </c>
      <c r="E526" s="21" t="s">
        <v>1488</v>
      </c>
      <c r="F526" s="20" t="s">
        <v>23</v>
      </c>
      <c r="G526" s="18" t="str">
        <f>C526</f>
        <v>Maths</v>
      </c>
      <c r="H526" s="18">
        <v>10000</v>
      </c>
      <c r="I526" s="140">
        <v>46009</v>
      </c>
      <c r="J526" s="87"/>
      <c r="K526" s="57"/>
      <c r="L526" s="86" t="s">
        <v>1487</v>
      </c>
      <c r="M526" s="86">
        <v>89</v>
      </c>
      <c r="N526" s="85"/>
      <c r="O526" s="85"/>
      <c r="P526" s="85"/>
      <c r="Q526" s="85"/>
      <c r="R526" s="85"/>
      <c r="S526" s="85"/>
    </row>
    <row r="527" spans="1:19" ht="47.25">
      <c r="A527" s="83">
        <f>1+A526</f>
        <v>1670</v>
      </c>
      <c r="B527" s="141">
        <v>45978</v>
      </c>
      <c r="C527" s="18" t="s">
        <v>2</v>
      </c>
      <c r="D527" s="21" t="s">
        <v>254</v>
      </c>
      <c r="E527" s="21" t="s">
        <v>1486</v>
      </c>
      <c r="F527" s="20" t="s">
        <v>23</v>
      </c>
      <c r="G527" s="18" t="str">
        <f>C527</f>
        <v>Mech</v>
      </c>
      <c r="H527" s="18">
        <v>10000</v>
      </c>
      <c r="I527" s="140">
        <v>46009</v>
      </c>
      <c r="J527" s="87"/>
      <c r="K527" s="57"/>
      <c r="L527" s="86" t="s">
        <v>1484</v>
      </c>
      <c r="M527" s="86">
        <v>89</v>
      </c>
      <c r="N527" s="85"/>
      <c r="O527" s="85"/>
      <c r="P527" s="85"/>
      <c r="Q527" s="85"/>
      <c r="R527" s="85"/>
      <c r="S527" s="85"/>
    </row>
    <row r="528" spans="1:19" ht="15.75">
      <c r="A528" s="83">
        <f>1+A527</f>
        <v>1671</v>
      </c>
      <c r="B528" s="141">
        <v>45978</v>
      </c>
      <c r="C528" s="18" t="s">
        <v>2</v>
      </c>
      <c r="D528" s="21" t="s">
        <v>254</v>
      </c>
      <c r="E528" s="142" t="s">
        <v>1485</v>
      </c>
      <c r="F528" s="20" t="s">
        <v>193</v>
      </c>
      <c r="G528" s="18" t="str">
        <f>C528</f>
        <v>Mech</v>
      </c>
      <c r="H528" s="18">
        <v>12000</v>
      </c>
      <c r="I528" s="140">
        <v>46009</v>
      </c>
      <c r="J528" s="87"/>
      <c r="K528" s="57"/>
      <c r="L528" s="86" t="s">
        <v>1484</v>
      </c>
      <c r="M528" s="86">
        <v>89</v>
      </c>
      <c r="N528" s="85"/>
      <c r="O528" s="85"/>
      <c r="P528" s="85"/>
      <c r="Q528" s="85"/>
      <c r="R528" s="85"/>
      <c r="S528" s="85"/>
    </row>
    <row r="529" spans="1:19" ht="31.5">
      <c r="A529" s="83">
        <f>1+A528</f>
        <v>1672</v>
      </c>
      <c r="B529" s="141">
        <v>45987</v>
      </c>
      <c r="C529" s="18" t="s">
        <v>36</v>
      </c>
      <c r="D529" s="21" t="s">
        <v>1476</v>
      </c>
      <c r="E529" s="21" t="s">
        <v>1483</v>
      </c>
      <c r="F529" s="20" t="s">
        <v>324</v>
      </c>
      <c r="G529" s="18" t="str">
        <f>C529</f>
        <v>AIDS</v>
      </c>
      <c r="H529" s="18">
        <v>3000</v>
      </c>
      <c r="I529" s="140">
        <v>46009</v>
      </c>
      <c r="J529" s="87"/>
      <c r="K529" s="57"/>
      <c r="L529" s="86" t="s">
        <v>1482</v>
      </c>
      <c r="M529" s="86">
        <v>89</v>
      </c>
      <c r="N529" s="85"/>
      <c r="O529" s="85"/>
      <c r="P529" s="85"/>
      <c r="Q529" s="85"/>
      <c r="R529" s="85"/>
      <c r="S529" s="85"/>
    </row>
    <row r="530" spans="1:19" ht="15.75">
      <c r="A530" s="83">
        <f>1+A529</f>
        <v>1673</v>
      </c>
      <c r="B530" s="141">
        <v>45987</v>
      </c>
      <c r="C530" s="18" t="s">
        <v>36</v>
      </c>
      <c r="D530" s="21" t="s">
        <v>1476</v>
      </c>
      <c r="E530" s="21" t="s">
        <v>1481</v>
      </c>
      <c r="F530" s="20" t="s">
        <v>187</v>
      </c>
      <c r="G530" s="18" t="str">
        <f>C530</f>
        <v>AIDS</v>
      </c>
      <c r="H530" s="18">
        <v>1800</v>
      </c>
      <c r="I530" s="140">
        <v>46009</v>
      </c>
      <c r="J530" s="87"/>
      <c r="K530" s="57"/>
      <c r="L530" s="95">
        <v>45940</v>
      </c>
      <c r="M530" s="86">
        <v>89</v>
      </c>
      <c r="N530" s="85"/>
      <c r="O530" s="85"/>
      <c r="P530" s="85"/>
      <c r="Q530" s="85"/>
      <c r="R530" s="85"/>
      <c r="S530" s="85"/>
    </row>
    <row r="531" spans="1:19" ht="31.5">
      <c r="A531" s="83">
        <f>1+A530</f>
        <v>1674</v>
      </c>
      <c r="B531" s="141">
        <v>45987</v>
      </c>
      <c r="C531" s="18" t="s">
        <v>36</v>
      </c>
      <c r="D531" s="21" t="s">
        <v>1476</v>
      </c>
      <c r="E531" s="21" t="s">
        <v>1480</v>
      </c>
      <c r="F531" s="20" t="s">
        <v>16</v>
      </c>
      <c r="G531" s="18" t="str">
        <f>C531</f>
        <v>AIDS</v>
      </c>
      <c r="H531" s="18">
        <v>1800</v>
      </c>
      <c r="I531" s="140">
        <v>46009</v>
      </c>
      <c r="J531" s="87"/>
      <c r="K531" s="57"/>
      <c r="L531" s="95">
        <v>45756</v>
      </c>
      <c r="M531" s="86">
        <v>89</v>
      </c>
      <c r="N531" s="85"/>
      <c r="O531" s="85"/>
      <c r="P531" s="85"/>
      <c r="Q531" s="85"/>
      <c r="R531" s="85"/>
      <c r="S531" s="85"/>
    </row>
    <row r="532" spans="1:19" ht="31.5">
      <c r="A532" s="83">
        <f>1+A531</f>
        <v>1675</v>
      </c>
      <c r="B532" s="141">
        <v>45987</v>
      </c>
      <c r="C532" s="18" t="s">
        <v>36</v>
      </c>
      <c r="D532" s="21" t="s">
        <v>1476</v>
      </c>
      <c r="E532" s="21" t="s">
        <v>1479</v>
      </c>
      <c r="F532" s="20" t="s">
        <v>16</v>
      </c>
      <c r="G532" s="18" t="str">
        <f>C532</f>
        <v>AIDS</v>
      </c>
      <c r="H532" s="18">
        <v>1800</v>
      </c>
      <c r="I532" s="140">
        <v>46009</v>
      </c>
      <c r="J532" s="87"/>
      <c r="K532" s="57"/>
      <c r="L532" s="95">
        <v>45658</v>
      </c>
      <c r="M532" s="86">
        <v>89</v>
      </c>
      <c r="N532" s="85"/>
      <c r="O532" s="85"/>
      <c r="P532" s="85"/>
      <c r="Q532" s="85"/>
      <c r="R532" s="85"/>
      <c r="S532" s="85"/>
    </row>
    <row r="533" spans="1:19" ht="31.5">
      <c r="A533" s="83">
        <f>1+A532</f>
        <v>1676</v>
      </c>
      <c r="B533" s="141">
        <v>45996</v>
      </c>
      <c r="C533" s="18" t="s">
        <v>36</v>
      </c>
      <c r="D533" s="21" t="s">
        <v>1476</v>
      </c>
      <c r="E533" s="21" t="s">
        <v>1478</v>
      </c>
      <c r="F533" s="20" t="s">
        <v>16</v>
      </c>
      <c r="G533" s="18" t="str">
        <f>C533</f>
        <v>AIDS</v>
      </c>
      <c r="H533" s="18">
        <v>1800</v>
      </c>
      <c r="I533" s="140">
        <v>46009</v>
      </c>
      <c r="J533" s="87"/>
      <c r="K533" s="57"/>
      <c r="L533" s="86" t="s">
        <v>1477</v>
      </c>
      <c r="M533" s="86">
        <v>89</v>
      </c>
      <c r="N533" s="85"/>
      <c r="O533" s="85"/>
      <c r="P533" s="85"/>
      <c r="Q533" s="85"/>
      <c r="R533" s="85"/>
      <c r="S533" s="85"/>
    </row>
    <row r="534" spans="1:19" ht="31.5">
      <c r="A534" s="83">
        <f>1+A533</f>
        <v>1677</v>
      </c>
      <c r="B534" s="141">
        <v>45996</v>
      </c>
      <c r="C534" s="18" t="s">
        <v>36</v>
      </c>
      <c r="D534" s="21" t="s">
        <v>1476</v>
      </c>
      <c r="E534" s="21" t="s">
        <v>1475</v>
      </c>
      <c r="F534" s="20" t="s">
        <v>16</v>
      </c>
      <c r="G534" s="18" t="str">
        <f>C534</f>
        <v>AIDS</v>
      </c>
      <c r="H534" s="18">
        <v>1800</v>
      </c>
      <c r="I534" s="140">
        <v>46009</v>
      </c>
      <c r="J534" s="87"/>
      <c r="K534" s="57"/>
      <c r="L534" s="95">
        <v>45661</v>
      </c>
      <c r="M534" s="86">
        <v>89</v>
      </c>
      <c r="N534" s="85"/>
      <c r="O534" s="85"/>
      <c r="P534" s="85"/>
      <c r="Q534" s="85"/>
      <c r="R534" s="85"/>
      <c r="S534" s="85"/>
    </row>
    <row r="535" spans="1:19" ht="31.5">
      <c r="A535" s="83">
        <f>1+A534</f>
        <v>1678</v>
      </c>
      <c r="B535" s="141">
        <v>45989</v>
      </c>
      <c r="C535" s="18" t="s">
        <v>0</v>
      </c>
      <c r="D535" s="21" t="s">
        <v>970</v>
      </c>
      <c r="E535" s="21" t="s">
        <v>1474</v>
      </c>
      <c r="F535" s="20" t="s">
        <v>23</v>
      </c>
      <c r="G535" s="18" t="str">
        <f>C535</f>
        <v>Maths</v>
      </c>
      <c r="H535" s="18">
        <v>10000</v>
      </c>
      <c r="I535" s="140">
        <v>46009</v>
      </c>
      <c r="J535" s="87"/>
      <c r="K535" s="57"/>
      <c r="L535" s="95">
        <v>45963</v>
      </c>
      <c r="M535" s="86">
        <v>89</v>
      </c>
      <c r="N535" s="85"/>
      <c r="O535" s="85"/>
      <c r="P535" s="85"/>
      <c r="Q535" s="85"/>
      <c r="R535" s="85"/>
      <c r="S535" s="85"/>
    </row>
    <row r="536" spans="1:19" ht="31.5">
      <c r="A536" s="83">
        <f>1+A535</f>
        <v>1679</v>
      </c>
      <c r="B536" s="141">
        <v>45989</v>
      </c>
      <c r="C536" s="18" t="s">
        <v>0</v>
      </c>
      <c r="D536" s="21" t="s">
        <v>970</v>
      </c>
      <c r="E536" s="21" t="s">
        <v>1473</v>
      </c>
      <c r="F536" s="20" t="s">
        <v>324</v>
      </c>
      <c r="G536" s="18" t="str">
        <f>C536</f>
        <v>Maths</v>
      </c>
      <c r="H536" s="18">
        <v>3000</v>
      </c>
      <c r="I536" s="140">
        <v>46009</v>
      </c>
      <c r="J536" s="87"/>
      <c r="K536" s="57"/>
      <c r="L536" s="86" t="s">
        <v>1472</v>
      </c>
      <c r="M536" s="86">
        <v>89</v>
      </c>
      <c r="N536" s="85"/>
      <c r="O536" s="85"/>
      <c r="P536" s="85"/>
      <c r="Q536" s="85"/>
      <c r="R536" s="85"/>
      <c r="S536" s="85"/>
    </row>
    <row r="537" spans="1:19" ht="15.75">
      <c r="A537" s="83">
        <f>1+A536</f>
        <v>1680</v>
      </c>
      <c r="B537" s="141">
        <v>45989</v>
      </c>
      <c r="C537" s="18" t="s">
        <v>0</v>
      </c>
      <c r="D537" s="21" t="s">
        <v>970</v>
      </c>
      <c r="E537" s="142" t="s">
        <v>1451</v>
      </c>
      <c r="F537" s="20" t="s">
        <v>193</v>
      </c>
      <c r="G537" s="18" t="str">
        <f>C537</f>
        <v>Maths</v>
      </c>
      <c r="H537" s="18">
        <v>6000</v>
      </c>
      <c r="I537" s="140">
        <v>46009</v>
      </c>
      <c r="J537" s="87"/>
      <c r="K537" s="57"/>
      <c r="L537" s="86" t="s">
        <v>1426</v>
      </c>
      <c r="M537" s="86">
        <v>89</v>
      </c>
      <c r="N537" s="85"/>
      <c r="O537" s="85"/>
      <c r="P537" s="85"/>
      <c r="Q537" s="85"/>
      <c r="R537" s="85"/>
      <c r="S537" s="85"/>
    </row>
    <row r="538" spans="1:19" ht="15.75">
      <c r="A538" s="83">
        <f>1+A537</f>
        <v>1681</v>
      </c>
      <c r="B538" s="141">
        <v>45994</v>
      </c>
      <c r="C538" s="18" t="s">
        <v>5</v>
      </c>
      <c r="D538" s="21" t="s">
        <v>826</v>
      </c>
      <c r="E538" s="142" t="s">
        <v>1443</v>
      </c>
      <c r="F538" s="20" t="s">
        <v>193</v>
      </c>
      <c r="G538" s="18" t="str">
        <f>C538</f>
        <v>ECE</v>
      </c>
      <c r="H538" s="18">
        <v>8000</v>
      </c>
      <c r="I538" s="140">
        <v>46009</v>
      </c>
      <c r="J538" s="87"/>
      <c r="K538" s="57"/>
      <c r="L538" s="95">
        <v>45728</v>
      </c>
      <c r="M538" s="86">
        <v>89</v>
      </c>
      <c r="N538" s="85"/>
      <c r="O538" s="85"/>
      <c r="P538" s="85"/>
      <c r="Q538" s="85"/>
      <c r="R538" s="85"/>
      <c r="S538" s="85"/>
    </row>
    <row r="539" spans="1:19" ht="15.75">
      <c r="A539" s="83">
        <f>1+A538</f>
        <v>1682</v>
      </c>
      <c r="B539" s="141">
        <v>45987</v>
      </c>
      <c r="C539" s="18" t="s">
        <v>5</v>
      </c>
      <c r="D539" s="21" t="s">
        <v>826</v>
      </c>
      <c r="E539" s="21" t="s">
        <v>1471</v>
      </c>
      <c r="F539" s="20" t="s">
        <v>16</v>
      </c>
      <c r="G539" s="18" t="str">
        <f>C539</f>
        <v>ECE</v>
      </c>
      <c r="H539" s="18">
        <v>3000</v>
      </c>
      <c r="I539" s="140">
        <v>46009</v>
      </c>
      <c r="J539" s="87"/>
      <c r="K539" s="57"/>
      <c r="L539" s="86" t="s">
        <v>1470</v>
      </c>
      <c r="M539" s="86">
        <v>89</v>
      </c>
      <c r="N539" s="85"/>
      <c r="O539" s="85"/>
      <c r="P539" s="85"/>
      <c r="Q539" s="85"/>
      <c r="R539" s="85"/>
      <c r="S539" s="85"/>
    </row>
    <row r="540" spans="1:19" ht="31.5">
      <c r="A540" s="83">
        <f>1+A539</f>
        <v>1683</v>
      </c>
      <c r="B540" s="141">
        <v>45986</v>
      </c>
      <c r="C540" s="18" t="s">
        <v>0</v>
      </c>
      <c r="D540" s="21" t="s">
        <v>886</v>
      </c>
      <c r="E540" s="21" t="s">
        <v>1469</v>
      </c>
      <c r="F540" s="20" t="s">
        <v>324</v>
      </c>
      <c r="G540" s="18" t="str">
        <f>C540</f>
        <v>Maths</v>
      </c>
      <c r="H540" s="18">
        <v>5000</v>
      </c>
      <c r="I540" s="140">
        <v>46009</v>
      </c>
      <c r="J540" s="87"/>
      <c r="K540" s="57"/>
      <c r="L540" s="86" t="s">
        <v>1468</v>
      </c>
      <c r="M540" s="86">
        <v>89</v>
      </c>
      <c r="N540" s="85"/>
      <c r="O540" s="85"/>
      <c r="P540" s="85"/>
      <c r="Q540" s="85"/>
      <c r="R540" s="85"/>
      <c r="S540" s="85"/>
    </row>
    <row r="541" spans="1:19" ht="31.5">
      <c r="A541" s="83">
        <f>1+A540</f>
        <v>1684</v>
      </c>
      <c r="B541" s="141">
        <v>45992</v>
      </c>
      <c r="C541" s="18" t="s">
        <v>5</v>
      </c>
      <c r="D541" s="21" t="s">
        <v>831</v>
      </c>
      <c r="E541" s="21" t="s">
        <v>1467</v>
      </c>
      <c r="F541" s="20" t="s">
        <v>16</v>
      </c>
      <c r="G541" s="18" t="str">
        <f>C541</f>
        <v>ECE</v>
      </c>
      <c r="H541" s="18">
        <v>1500</v>
      </c>
      <c r="I541" s="140">
        <v>46009</v>
      </c>
      <c r="J541" s="87"/>
      <c r="K541" s="57"/>
      <c r="L541" s="95">
        <v>45669</v>
      </c>
      <c r="M541" s="86">
        <v>89</v>
      </c>
      <c r="N541" s="85"/>
      <c r="O541" s="85"/>
      <c r="P541" s="85"/>
      <c r="Q541" s="85"/>
      <c r="R541" s="85"/>
      <c r="S541" s="85"/>
    </row>
    <row r="542" spans="1:19" ht="15.75">
      <c r="A542" s="83">
        <f>1+A541</f>
        <v>1685</v>
      </c>
      <c r="B542" s="141">
        <v>45986</v>
      </c>
      <c r="C542" s="18" t="s">
        <v>2</v>
      </c>
      <c r="D542" s="21" t="s">
        <v>93</v>
      </c>
      <c r="E542" s="142" t="s">
        <v>1466</v>
      </c>
      <c r="F542" s="20" t="s">
        <v>193</v>
      </c>
      <c r="G542" s="18" t="str">
        <f>C542</f>
        <v>Mech</v>
      </c>
      <c r="H542" s="18">
        <v>30000</v>
      </c>
      <c r="I542" s="140">
        <v>46009</v>
      </c>
      <c r="J542" s="87"/>
      <c r="K542" s="57"/>
      <c r="L542" s="86" t="s">
        <v>1465</v>
      </c>
      <c r="M542" s="86">
        <v>89</v>
      </c>
      <c r="N542" s="85"/>
      <c r="O542" s="85"/>
      <c r="P542" s="85"/>
      <c r="Q542" s="85"/>
      <c r="R542" s="85"/>
      <c r="S542" s="85"/>
    </row>
    <row r="543" spans="1:19" ht="47.25">
      <c r="A543" s="83">
        <f>1+A542</f>
        <v>1686</v>
      </c>
      <c r="B543" s="141">
        <v>45989</v>
      </c>
      <c r="C543" s="18" t="s">
        <v>0</v>
      </c>
      <c r="D543" s="21" t="s">
        <v>720</v>
      </c>
      <c r="E543" s="21" t="s">
        <v>1464</v>
      </c>
      <c r="F543" s="20" t="s">
        <v>324</v>
      </c>
      <c r="G543" s="18" t="str">
        <f>C543</f>
        <v>Maths</v>
      </c>
      <c r="H543" s="18">
        <v>3000</v>
      </c>
      <c r="I543" s="140">
        <v>46009</v>
      </c>
      <c r="J543" s="87"/>
      <c r="K543" s="57"/>
      <c r="L543" s="86" t="s">
        <v>1463</v>
      </c>
      <c r="M543" s="86">
        <v>89</v>
      </c>
      <c r="N543" s="85"/>
      <c r="O543" s="85"/>
      <c r="P543" s="85"/>
      <c r="Q543" s="85"/>
      <c r="R543" s="85"/>
      <c r="S543" s="85"/>
    </row>
    <row r="544" spans="1:19" ht="15.75">
      <c r="A544" s="83">
        <f>1+A543</f>
        <v>1687</v>
      </c>
      <c r="B544" s="141">
        <v>45983</v>
      </c>
      <c r="C544" s="18" t="s">
        <v>5</v>
      </c>
      <c r="D544" s="21" t="s">
        <v>1462</v>
      </c>
      <c r="E544" s="21" t="s">
        <v>1461</v>
      </c>
      <c r="F544" s="20" t="s">
        <v>193</v>
      </c>
      <c r="G544" s="18" t="str">
        <f>C544</f>
        <v>ECE</v>
      </c>
      <c r="H544" s="18">
        <v>16000</v>
      </c>
      <c r="I544" s="140">
        <v>46009</v>
      </c>
      <c r="J544" s="87"/>
      <c r="K544" s="57"/>
      <c r="L544" s="86" t="s">
        <v>1460</v>
      </c>
      <c r="M544" s="86">
        <v>89</v>
      </c>
      <c r="N544" s="85"/>
      <c r="O544" s="85"/>
      <c r="P544" s="85"/>
      <c r="Q544" s="85"/>
      <c r="R544" s="85"/>
      <c r="S544" s="85"/>
    </row>
    <row r="545" spans="1:19" ht="31.5">
      <c r="A545" s="83">
        <f>1+A544</f>
        <v>1688</v>
      </c>
      <c r="B545" s="141">
        <v>45982</v>
      </c>
      <c r="C545" s="18" t="s">
        <v>6</v>
      </c>
      <c r="D545" s="21" t="s">
        <v>181</v>
      </c>
      <c r="E545" s="21" t="s">
        <v>1459</v>
      </c>
      <c r="F545" s="20" t="s">
        <v>23</v>
      </c>
      <c r="G545" s="18" t="str">
        <f>C545</f>
        <v>CSE</v>
      </c>
      <c r="H545" s="18">
        <v>6000</v>
      </c>
      <c r="I545" s="140">
        <v>46009</v>
      </c>
      <c r="J545" s="87"/>
      <c r="K545" s="57"/>
      <c r="L545" s="86" t="s">
        <v>1458</v>
      </c>
      <c r="M545" s="86">
        <v>89</v>
      </c>
      <c r="N545" s="85"/>
      <c r="O545" s="85"/>
      <c r="P545" s="85"/>
      <c r="Q545" s="85"/>
      <c r="R545" s="85"/>
      <c r="S545" s="85"/>
    </row>
    <row r="546" spans="1:19" ht="31.5">
      <c r="A546" s="83">
        <f>1+A545</f>
        <v>1689</v>
      </c>
      <c r="B546" s="141">
        <v>45982</v>
      </c>
      <c r="C546" s="18" t="s">
        <v>6</v>
      </c>
      <c r="D546" s="21" t="s">
        <v>181</v>
      </c>
      <c r="E546" s="21" t="s">
        <v>1457</v>
      </c>
      <c r="F546" s="20" t="s">
        <v>187</v>
      </c>
      <c r="G546" s="18" t="str">
        <f>C546</f>
        <v>CSE</v>
      </c>
      <c r="H546" s="18">
        <v>1000</v>
      </c>
      <c r="I546" s="140">
        <v>46009</v>
      </c>
      <c r="J546" s="87"/>
      <c r="K546" s="57"/>
      <c r="L546" s="91">
        <v>45931</v>
      </c>
      <c r="M546" s="86">
        <v>89</v>
      </c>
      <c r="N546" s="85"/>
      <c r="O546" s="85"/>
      <c r="P546" s="85"/>
      <c r="Q546" s="85"/>
      <c r="R546" s="85"/>
      <c r="S546" s="85"/>
    </row>
    <row r="547" spans="1:19" ht="31.5">
      <c r="A547" s="83">
        <f>1+A546</f>
        <v>1690</v>
      </c>
      <c r="B547" s="141">
        <v>45982</v>
      </c>
      <c r="C547" s="18" t="s">
        <v>6</v>
      </c>
      <c r="D547" s="21" t="s">
        <v>181</v>
      </c>
      <c r="E547" s="21" t="s">
        <v>1456</v>
      </c>
      <c r="F547" s="20" t="s">
        <v>187</v>
      </c>
      <c r="G547" s="18" t="str">
        <f>C547</f>
        <v>CSE</v>
      </c>
      <c r="H547" s="18">
        <v>500</v>
      </c>
      <c r="I547" s="140">
        <v>46009</v>
      </c>
      <c r="J547" s="87"/>
      <c r="K547" s="57"/>
      <c r="L547" s="91">
        <v>45931</v>
      </c>
      <c r="M547" s="86">
        <v>89</v>
      </c>
      <c r="N547" s="85"/>
      <c r="O547" s="85"/>
      <c r="P547" s="85"/>
      <c r="Q547" s="85"/>
      <c r="R547" s="85"/>
      <c r="S547" s="85"/>
    </row>
    <row r="548" spans="1:19" ht="15.75">
      <c r="A548" s="83">
        <f>1+A547</f>
        <v>1691</v>
      </c>
      <c r="B548" s="141">
        <v>45982</v>
      </c>
      <c r="C548" s="18" t="s">
        <v>6</v>
      </c>
      <c r="D548" s="21" t="s">
        <v>181</v>
      </c>
      <c r="E548" s="21" t="s">
        <v>1455</v>
      </c>
      <c r="F548" s="20" t="s">
        <v>193</v>
      </c>
      <c r="G548" s="18" t="str">
        <f>C548</f>
        <v>CSE</v>
      </c>
      <c r="H548" s="18">
        <v>4000</v>
      </c>
      <c r="I548" s="140">
        <v>46009</v>
      </c>
      <c r="J548" s="87"/>
      <c r="K548" s="57"/>
      <c r="L548" s="86" t="s">
        <v>1454</v>
      </c>
      <c r="M548" s="86">
        <v>89</v>
      </c>
      <c r="N548" s="85"/>
      <c r="O548" s="85"/>
      <c r="P548" s="85"/>
      <c r="Q548" s="85"/>
      <c r="R548" s="85"/>
      <c r="S548" s="85"/>
    </row>
    <row r="549" spans="1:19" ht="47.25">
      <c r="A549" s="83">
        <f>1+A548</f>
        <v>1692</v>
      </c>
      <c r="B549" s="141">
        <v>45996</v>
      </c>
      <c r="C549" s="18" t="s">
        <v>2</v>
      </c>
      <c r="D549" s="21" t="s">
        <v>209</v>
      </c>
      <c r="E549" s="21" t="s">
        <v>1453</v>
      </c>
      <c r="F549" s="20" t="s">
        <v>23</v>
      </c>
      <c r="G549" s="18" t="str">
        <f>C549</f>
        <v>Mech</v>
      </c>
      <c r="H549" s="18">
        <v>10000</v>
      </c>
      <c r="I549" s="140">
        <v>46009</v>
      </c>
      <c r="J549" s="87"/>
      <c r="K549" s="57"/>
      <c r="L549" s="86" t="s">
        <v>1452</v>
      </c>
      <c r="M549" s="86">
        <v>89</v>
      </c>
      <c r="N549" s="85"/>
      <c r="O549" s="85"/>
      <c r="P549" s="85"/>
      <c r="Q549" s="85"/>
      <c r="R549" s="85"/>
      <c r="S549" s="85"/>
    </row>
    <row r="550" spans="1:19" ht="15.75">
      <c r="A550" s="83">
        <f>1+A549</f>
        <v>1693</v>
      </c>
      <c r="B550" s="141">
        <v>45995</v>
      </c>
      <c r="C550" s="18" t="s">
        <v>2</v>
      </c>
      <c r="D550" s="21" t="s">
        <v>209</v>
      </c>
      <c r="E550" s="21" t="s">
        <v>1451</v>
      </c>
      <c r="F550" s="20" t="s">
        <v>193</v>
      </c>
      <c r="G550" s="18" t="str">
        <f>C550</f>
        <v>Mech</v>
      </c>
      <c r="H550" s="18">
        <v>6000</v>
      </c>
      <c r="I550" s="140">
        <v>46009</v>
      </c>
      <c r="J550" s="87"/>
      <c r="K550" s="57"/>
      <c r="L550" s="95">
        <v>45759</v>
      </c>
      <c r="M550" s="86">
        <v>89</v>
      </c>
      <c r="N550" s="85"/>
      <c r="O550" s="85"/>
      <c r="P550" s="85"/>
      <c r="Q550" s="85"/>
      <c r="R550" s="85"/>
      <c r="S550" s="85"/>
    </row>
    <row r="551" spans="1:19" ht="15.75">
      <c r="A551" s="83">
        <f>1+A550</f>
        <v>1694</v>
      </c>
      <c r="B551" s="141">
        <v>45988</v>
      </c>
      <c r="C551" s="18" t="s">
        <v>5</v>
      </c>
      <c r="D551" s="21" t="s">
        <v>1450</v>
      </c>
      <c r="E551" s="21" t="s">
        <v>1443</v>
      </c>
      <c r="F551" s="20" t="s">
        <v>193</v>
      </c>
      <c r="G551" s="18" t="str">
        <f>C551</f>
        <v>ECE</v>
      </c>
      <c r="H551" s="18">
        <v>8000</v>
      </c>
      <c r="I551" s="140">
        <v>46009</v>
      </c>
      <c r="J551" s="87"/>
      <c r="K551" s="57"/>
      <c r="L551" s="86" t="s">
        <v>1449</v>
      </c>
      <c r="M551" s="86">
        <v>89</v>
      </c>
      <c r="N551" s="85"/>
      <c r="O551" s="85"/>
      <c r="P551" s="85"/>
      <c r="Q551" s="85"/>
      <c r="R551" s="85"/>
      <c r="S551" s="85"/>
    </row>
    <row r="552" spans="1:19" ht="47.25">
      <c r="A552" s="83">
        <f>1+A551</f>
        <v>1695</v>
      </c>
      <c r="B552" s="141">
        <v>45973</v>
      </c>
      <c r="C552" s="18" t="s">
        <v>8</v>
      </c>
      <c r="D552" s="21" t="s">
        <v>307</v>
      </c>
      <c r="E552" s="21" t="s">
        <v>1448</v>
      </c>
      <c r="F552" s="20" t="s">
        <v>23</v>
      </c>
      <c r="G552" s="18" t="str">
        <f>C552</f>
        <v>CCE</v>
      </c>
      <c r="H552" s="18">
        <v>6000</v>
      </c>
      <c r="I552" s="140">
        <v>46009</v>
      </c>
      <c r="J552" s="87"/>
      <c r="K552" s="57"/>
      <c r="L552" s="96">
        <v>46002</v>
      </c>
      <c r="M552" s="86">
        <v>89</v>
      </c>
      <c r="N552" s="85"/>
      <c r="O552" s="85"/>
      <c r="P552" s="85"/>
      <c r="Q552" s="85"/>
      <c r="R552" s="85"/>
      <c r="S552" s="85"/>
    </row>
    <row r="553" spans="1:19" ht="15.75">
      <c r="A553" s="83">
        <f>1+A552</f>
        <v>1696</v>
      </c>
      <c r="B553" s="141">
        <v>45880</v>
      </c>
      <c r="C553" s="18" t="s">
        <v>8</v>
      </c>
      <c r="D553" s="21" t="s">
        <v>307</v>
      </c>
      <c r="E553" s="21" t="s">
        <v>1447</v>
      </c>
      <c r="F553" s="20" t="s">
        <v>324</v>
      </c>
      <c r="G553" s="18" t="str">
        <f>C553</f>
        <v>CCE</v>
      </c>
      <c r="H553" s="18">
        <v>900</v>
      </c>
      <c r="I553" s="140">
        <v>46009</v>
      </c>
      <c r="J553" s="87"/>
      <c r="K553" s="57"/>
      <c r="L553" s="95">
        <v>45969</v>
      </c>
      <c r="M553" s="86">
        <v>89</v>
      </c>
      <c r="N553" s="85"/>
      <c r="O553" s="85"/>
      <c r="P553" s="85"/>
      <c r="Q553" s="85"/>
      <c r="R553" s="85"/>
      <c r="S553" s="85"/>
    </row>
    <row r="554" spans="1:19" ht="63">
      <c r="A554" s="83">
        <f>1+A553</f>
        <v>1697</v>
      </c>
      <c r="B554" s="141">
        <v>45999</v>
      </c>
      <c r="C554" s="18" t="s">
        <v>5</v>
      </c>
      <c r="D554" s="21" t="s">
        <v>72</v>
      </c>
      <c r="E554" s="21" t="s">
        <v>1446</v>
      </c>
      <c r="F554" s="20" t="s">
        <v>23</v>
      </c>
      <c r="G554" s="18" t="str">
        <f>C554</f>
        <v>ECE</v>
      </c>
      <c r="H554" s="18">
        <v>10000</v>
      </c>
      <c r="I554" s="140">
        <v>46009</v>
      </c>
      <c r="J554" s="87"/>
      <c r="K554" s="57"/>
      <c r="L554" s="86" t="s">
        <v>1445</v>
      </c>
      <c r="M554" s="86">
        <v>89</v>
      </c>
      <c r="N554" s="85"/>
      <c r="O554" s="85"/>
      <c r="P554" s="85"/>
      <c r="Q554" s="85"/>
      <c r="R554" s="85"/>
      <c r="S554" s="85"/>
    </row>
    <row r="555" spans="1:19" ht="47.25">
      <c r="A555" s="83">
        <f>1+A554</f>
        <v>1698</v>
      </c>
      <c r="B555" s="141">
        <v>45999</v>
      </c>
      <c r="C555" s="18" t="s">
        <v>5</v>
      </c>
      <c r="D555" s="21" t="s">
        <v>72</v>
      </c>
      <c r="E555" s="21" t="s">
        <v>1444</v>
      </c>
      <c r="F555" s="20" t="s">
        <v>23</v>
      </c>
      <c r="G555" s="18" t="str">
        <f>C555</f>
        <v>ECE</v>
      </c>
      <c r="H555" s="18">
        <v>10000</v>
      </c>
      <c r="I555" s="140">
        <v>46009</v>
      </c>
      <c r="J555" s="87"/>
      <c r="K555" s="57"/>
      <c r="L555" s="96">
        <v>45699</v>
      </c>
      <c r="M555" s="86">
        <v>89</v>
      </c>
      <c r="N555" s="85"/>
      <c r="O555" s="85"/>
      <c r="P555" s="85"/>
      <c r="Q555" s="85"/>
      <c r="R555" s="85"/>
      <c r="S555" s="85"/>
    </row>
    <row r="556" spans="1:19" ht="15.75">
      <c r="A556" s="83">
        <f>1+A555</f>
        <v>1699</v>
      </c>
      <c r="B556" s="141">
        <v>45999</v>
      </c>
      <c r="C556" s="18" t="s">
        <v>5</v>
      </c>
      <c r="D556" s="21" t="s">
        <v>72</v>
      </c>
      <c r="E556" s="21" t="s">
        <v>1443</v>
      </c>
      <c r="F556" s="20" t="s">
        <v>193</v>
      </c>
      <c r="G556" s="18" t="str">
        <f>C556</f>
        <v>ECE</v>
      </c>
      <c r="H556" s="18">
        <v>8000</v>
      </c>
      <c r="I556" s="140">
        <v>46009</v>
      </c>
      <c r="J556" s="87"/>
      <c r="K556" s="57"/>
      <c r="L556" s="95">
        <v>45881</v>
      </c>
      <c r="M556" s="86">
        <v>89</v>
      </c>
      <c r="N556" s="85"/>
      <c r="O556" s="85"/>
      <c r="P556" s="85"/>
      <c r="Q556" s="85"/>
      <c r="R556" s="85"/>
      <c r="S556" s="85"/>
    </row>
    <row r="557" spans="1:19" ht="47.25">
      <c r="A557" s="83">
        <f>1+A556</f>
        <v>1700</v>
      </c>
      <c r="B557" s="141">
        <v>45985</v>
      </c>
      <c r="C557" s="18" t="s">
        <v>2</v>
      </c>
      <c r="D557" s="21" t="s">
        <v>74</v>
      </c>
      <c r="E557" s="21" t="s">
        <v>1442</v>
      </c>
      <c r="F557" s="20" t="s">
        <v>324</v>
      </c>
      <c r="G557" s="18" t="str">
        <f>C557</f>
        <v>Mech</v>
      </c>
      <c r="H557" s="18">
        <v>2500</v>
      </c>
      <c r="I557" s="140">
        <v>46009</v>
      </c>
      <c r="J557" s="87"/>
      <c r="K557" s="57"/>
      <c r="L557" s="86" t="s">
        <v>1441</v>
      </c>
      <c r="M557" s="86">
        <v>89</v>
      </c>
      <c r="N557" s="85"/>
      <c r="O557" s="85"/>
      <c r="P557" s="85"/>
      <c r="Q557" s="85"/>
      <c r="R557" s="85"/>
      <c r="S557" s="85"/>
    </row>
    <row r="558" spans="1:19" ht="15.75">
      <c r="A558" s="83">
        <f>1+A557</f>
        <v>1701</v>
      </c>
      <c r="B558" s="141">
        <v>45985</v>
      </c>
      <c r="C558" s="18" t="s">
        <v>2</v>
      </c>
      <c r="D558" s="21" t="s">
        <v>74</v>
      </c>
      <c r="E558" s="21" t="s">
        <v>1440</v>
      </c>
      <c r="F558" s="20" t="s">
        <v>193</v>
      </c>
      <c r="G558" s="18" t="str">
        <f>C558</f>
        <v>Mech</v>
      </c>
      <c r="H558" s="18">
        <v>14000</v>
      </c>
      <c r="I558" s="140">
        <v>46009</v>
      </c>
      <c r="J558" s="87"/>
      <c r="K558" s="57"/>
      <c r="L558" s="86" t="s">
        <v>1439</v>
      </c>
      <c r="M558" s="86">
        <v>89</v>
      </c>
      <c r="N558" s="85"/>
      <c r="O558" s="85"/>
      <c r="P558" s="85"/>
      <c r="Q558" s="85"/>
      <c r="R558" s="85"/>
      <c r="S558" s="85"/>
    </row>
    <row r="559" spans="1:19" ht="31.5">
      <c r="A559" s="83">
        <f>1+A558</f>
        <v>1702</v>
      </c>
      <c r="B559" s="141">
        <v>45985</v>
      </c>
      <c r="C559" s="18" t="s">
        <v>5</v>
      </c>
      <c r="D559" s="21" t="s">
        <v>173</v>
      </c>
      <c r="E559" s="21" t="s">
        <v>1438</v>
      </c>
      <c r="F559" s="20" t="s">
        <v>23</v>
      </c>
      <c r="G559" s="18" t="str">
        <f>C559</f>
        <v>ECE</v>
      </c>
      <c r="H559" s="18">
        <v>10000</v>
      </c>
      <c r="I559" s="140">
        <v>46009</v>
      </c>
      <c r="J559" s="87"/>
      <c r="K559" s="57"/>
      <c r="L559" s="86" t="s">
        <v>1437</v>
      </c>
      <c r="M559" s="86">
        <v>89</v>
      </c>
      <c r="N559" s="85"/>
      <c r="O559" s="85"/>
      <c r="P559" s="85"/>
      <c r="Q559" s="85"/>
      <c r="R559" s="85"/>
      <c r="S559" s="85"/>
    </row>
    <row r="560" spans="1:19" ht="31.5">
      <c r="A560" s="83">
        <f>1+A559</f>
        <v>1703</v>
      </c>
      <c r="B560" s="141">
        <v>45985</v>
      </c>
      <c r="C560" s="18" t="s">
        <v>5</v>
      </c>
      <c r="D560" s="21" t="s">
        <v>173</v>
      </c>
      <c r="E560" s="21" t="s">
        <v>1436</v>
      </c>
      <c r="F560" s="20" t="s">
        <v>23</v>
      </c>
      <c r="G560" s="18" t="str">
        <f>C560</f>
        <v>ECE</v>
      </c>
      <c r="H560" s="18">
        <v>10000</v>
      </c>
      <c r="I560" s="140">
        <v>46009</v>
      </c>
      <c r="J560" s="87"/>
      <c r="K560" s="57"/>
      <c r="L560" s="86" t="s">
        <v>1435</v>
      </c>
      <c r="M560" s="86">
        <v>89</v>
      </c>
      <c r="N560" s="85"/>
      <c r="O560" s="85"/>
      <c r="P560" s="85"/>
      <c r="Q560" s="85"/>
      <c r="R560" s="85"/>
      <c r="S560" s="85"/>
    </row>
    <row r="561" spans="1:19" ht="31.5">
      <c r="A561" s="83">
        <f>1+A560</f>
        <v>1704</v>
      </c>
      <c r="B561" s="141">
        <v>45985</v>
      </c>
      <c r="C561" s="18" t="s">
        <v>5</v>
      </c>
      <c r="D561" s="21" t="s">
        <v>173</v>
      </c>
      <c r="E561" s="21" t="s">
        <v>1434</v>
      </c>
      <c r="F561" s="20" t="s">
        <v>23</v>
      </c>
      <c r="G561" s="18" t="str">
        <f>C561</f>
        <v>ECE</v>
      </c>
      <c r="H561" s="18">
        <v>10000</v>
      </c>
      <c r="I561" s="140">
        <v>46009</v>
      </c>
      <c r="J561" s="87"/>
      <c r="K561" s="57"/>
      <c r="L561" s="95">
        <v>45727</v>
      </c>
      <c r="M561" s="86">
        <v>89</v>
      </c>
      <c r="N561" s="85"/>
      <c r="O561" s="85"/>
      <c r="P561" s="85"/>
      <c r="Q561" s="85"/>
      <c r="R561" s="85"/>
      <c r="S561" s="85"/>
    </row>
    <row r="562" spans="1:19" ht="47.25">
      <c r="A562" s="83">
        <f>1+A561</f>
        <v>1705</v>
      </c>
      <c r="B562" s="141">
        <v>45985</v>
      </c>
      <c r="C562" s="18" t="s">
        <v>5</v>
      </c>
      <c r="D562" s="21" t="s">
        <v>173</v>
      </c>
      <c r="E562" s="21" t="s">
        <v>1433</v>
      </c>
      <c r="F562" s="20" t="s">
        <v>23</v>
      </c>
      <c r="G562" s="18" t="str">
        <f>C562</f>
        <v>ECE</v>
      </c>
      <c r="H562" s="86">
        <v>5000</v>
      </c>
      <c r="I562" s="140">
        <v>46009</v>
      </c>
      <c r="J562" s="87"/>
      <c r="K562" s="57"/>
      <c r="L562" s="95">
        <v>45908</v>
      </c>
      <c r="M562" s="86">
        <v>89</v>
      </c>
      <c r="N562" s="85"/>
      <c r="O562" s="85"/>
      <c r="P562" s="85"/>
      <c r="Q562" s="85"/>
      <c r="R562" s="85"/>
      <c r="S562" s="85"/>
    </row>
    <row r="563" spans="1:19" ht="31.5">
      <c r="A563" s="83">
        <f>1+A562</f>
        <v>1706</v>
      </c>
      <c r="B563" s="141">
        <v>45985</v>
      </c>
      <c r="C563" s="18" t="s">
        <v>5</v>
      </c>
      <c r="D563" s="21" t="s">
        <v>173</v>
      </c>
      <c r="E563" s="21" t="s">
        <v>1432</v>
      </c>
      <c r="F563" s="20" t="s">
        <v>16</v>
      </c>
      <c r="G563" s="18" t="str">
        <f>C563</f>
        <v>ECE</v>
      </c>
      <c r="H563" s="86">
        <v>3000</v>
      </c>
      <c r="I563" s="140">
        <v>46009</v>
      </c>
      <c r="J563" s="87"/>
      <c r="K563" s="57"/>
      <c r="L563" s="95">
        <v>45666</v>
      </c>
      <c r="M563" s="86">
        <v>89</v>
      </c>
      <c r="N563" s="85"/>
      <c r="O563" s="85"/>
      <c r="P563" s="85"/>
      <c r="Q563" s="85"/>
      <c r="R563" s="85"/>
      <c r="S563" s="85"/>
    </row>
    <row r="564" spans="1:19" ht="31.5">
      <c r="A564" s="83">
        <f>1+A563</f>
        <v>1707</v>
      </c>
      <c r="B564" s="141">
        <v>45985</v>
      </c>
      <c r="C564" s="18" t="s">
        <v>5</v>
      </c>
      <c r="D564" s="21" t="s">
        <v>173</v>
      </c>
      <c r="E564" s="21" t="s">
        <v>1431</v>
      </c>
      <c r="F564" s="20" t="s">
        <v>16</v>
      </c>
      <c r="G564" s="18" t="str">
        <f>C564</f>
        <v>ECE</v>
      </c>
      <c r="H564" s="86">
        <v>1800</v>
      </c>
      <c r="I564" s="140">
        <v>46009</v>
      </c>
      <c r="J564" s="87"/>
      <c r="K564" s="57"/>
      <c r="L564" s="95">
        <v>45666</v>
      </c>
      <c r="M564" s="86">
        <v>89</v>
      </c>
      <c r="N564" s="85"/>
      <c r="O564" s="85"/>
      <c r="P564" s="85"/>
      <c r="Q564" s="85"/>
      <c r="R564" s="85"/>
      <c r="S564" s="85"/>
    </row>
    <row r="565" spans="1:19" ht="31.5">
      <c r="A565" s="83">
        <f>1+A564</f>
        <v>1708</v>
      </c>
      <c r="B565" s="141">
        <v>45985</v>
      </c>
      <c r="C565" s="18" t="s">
        <v>5</v>
      </c>
      <c r="D565" s="21" t="s">
        <v>173</v>
      </c>
      <c r="E565" s="21" t="s">
        <v>1430</v>
      </c>
      <c r="F565" s="20" t="s">
        <v>16</v>
      </c>
      <c r="G565" s="18" t="str">
        <f>C565</f>
        <v>ECE</v>
      </c>
      <c r="H565" s="86">
        <v>1800</v>
      </c>
      <c r="I565" s="140">
        <v>46009</v>
      </c>
      <c r="J565" s="87"/>
      <c r="K565" s="57"/>
      <c r="L565" s="95">
        <v>45666</v>
      </c>
      <c r="M565" s="86">
        <v>89</v>
      </c>
      <c r="N565" s="85"/>
      <c r="O565" s="85"/>
      <c r="P565" s="85"/>
      <c r="Q565" s="85"/>
      <c r="R565" s="85"/>
      <c r="S565" s="85"/>
    </row>
    <row r="566" spans="1:19" ht="63">
      <c r="A566" s="83">
        <f>1+A565</f>
        <v>1709</v>
      </c>
      <c r="B566" s="141">
        <v>45999</v>
      </c>
      <c r="C566" s="18" t="s">
        <v>1</v>
      </c>
      <c r="D566" s="21" t="s">
        <v>1429</v>
      </c>
      <c r="E566" s="21" t="s">
        <v>1428</v>
      </c>
      <c r="F566" s="20" t="s">
        <v>23</v>
      </c>
      <c r="G566" s="18" t="str">
        <f>C566</f>
        <v>S&amp;H</v>
      </c>
      <c r="H566" s="86">
        <v>6000</v>
      </c>
      <c r="I566" s="140">
        <v>46009</v>
      </c>
      <c r="J566" s="87"/>
      <c r="K566" s="57"/>
      <c r="L566" s="95">
        <v>45668</v>
      </c>
      <c r="M566" s="86">
        <v>89</v>
      </c>
      <c r="N566" s="85"/>
      <c r="O566" s="85"/>
      <c r="P566" s="85"/>
      <c r="Q566" s="85"/>
      <c r="R566" s="85"/>
      <c r="S566" s="85"/>
    </row>
    <row r="567" spans="1:19" ht="15.75">
      <c r="A567" s="83">
        <f>1+A566</f>
        <v>1710</v>
      </c>
      <c r="B567" s="141">
        <v>45989</v>
      </c>
      <c r="C567" s="18" t="s">
        <v>8</v>
      </c>
      <c r="D567" s="21" t="s">
        <v>307</v>
      </c>
      <c r="E567" s="21" t="s">
        <v>1427</v>
      </c>
      <c r="F567" s="20" t="s">
        <v>193</v>
      </c>
      <c r="G567" s="18" t="str">
        <f>C567</f>
        <v>CCE</v>
      </c>
      <c r="H567" s="18">
        <v>10000</v>
      </c>
      <c r="I567" s="140">
        <v>46009</v>
      </c>
      <c r="J567" s="87"/>
      <c r="K567" s="57"/>
      <c r="L567" s="86" t="s">
        <v>1426</v>
      </c>
      <c r="M567" s="86">
        <v>89</v>
      </c>
      <c r="N567" s="85"/>
      <c r="O567" s="85"/>
      <c r="P567" s="85"/>
      <c r="Q567" s="85"/>
      <c r="R567" s="85"/>
      <c r="S567" s="85"/>
    </row>
    <row r="568" spans="1:19" ht="31.5">
      <c r="A568" s="83">
        <f>1+A564</f>
        <v>1708</v>
      </c>
      <c r="B568" s="141">
        <v>46003</v>
      </c>
      <c r="C568" s="18" t="s">
        <v>0</v>
      </c>
      <c r="D568" s="21" t="s">
        <v>334</v>
      </c>
      <c r="E568" s="21" t="s">
        <v>1425</v>
      </c>
      <c r="F568" s="20" t="s">
        <v>324</v>
      </c>
      <c r="G568" s="18" t="str">
        <f>C568</f>
        <v>Maths</v>
      </c>
      <c r="H568" s="18">
        <v>5000</v>
      </c>
      <c r="I568" s="140">
        <v>46009</v>
      </c>
      <c r="J568" s="87"/>
      <c r="K568" s="57"/>
      <c r="L568" s="86" t="s">
        <v>1423</v>
      </c>
      <c r="M568" s="86">
        <v>89</v>
      </c>
      <c r="N568" s="85"/>
      <c r="O568" s="85"/>
      <c r="P568" s="85"/>
      <c r="Q568" s="85"/>
      <c r="R568" s="85"/>
      <c r="S568" s="85"/>
    </row>
    <row r="569" spans="1:19" ht="47.25">
      <c r="A569" s="83">
        <f>1+A568</f>
        <v>1709</v>
      </c>
      <c r="B569" s="141">
        <v>46003</v>
      </c>
      <c r="C569" s="18" t="s">
        <v>0</v>
      </c>
      <c r="D569" s="21" t="s">
        <v>334</v>
      </c>
      <c r="E569" s="21" t="s">
        <v>1424</v>
      </c>
      <c r="F569" s="20" t="s">
        <v>324</v>
      </c>
      <c r="G569" s="18" t="str">
        <f>C569</f>
        <v>Maths</v>
      </c>
      <c r="H569" s="18">
        <v>5000</v>
      </c>
      <c r="I569" s="140">
        <v>46009</v>
      </c>
      <c r="J569" s="87"/>
      <c r="K569" s="57"/>
      <c r="L569" s="86" t="s">
        <v>1423</v>
      </c>
      <c r="M569" s="86">
        <v>89</v>
      </c>
      <c r="N569" s="85"/>
      <c r="O569" s="85"/>
      <c r="P569" s="85"/>
      <c r="Q569" s="85"/>
      <c r="R569" s="85"/>
      <c r="S569" s="85"/>
    </row>
    <row r="570" spans="1:19" ht="15.75">
      <c r="A570" s="46"/>
      <c r="B570" s="139"/>
      <c r="C570" s="46"/>
      <c r="D570" s="46"/>
      <c r="E570" s="46" t="s">
        <v>11</v>
      </c>
      <c r="F570" s="42"/>
      <c r="G570" s="90"/>
      <c r="H570" s="89">
        <f>SUM(H521:H569)</f>
        <v>316000</v>
      </c>
      <c r="I570" s="42" t="s">
        <v>718</v>
      </c>
      <c r="J570" s="42"/>
      <c r="K570" s="45">
        <f>H570</f>
        <v>316000</v>
      </c>
      <c r="L570" s="42"/>
      <c r="M570" s="46">
        <v>89</v>
      </c>
      <c r="N570" s="88"/>
      <c r="O570" s="88"/>
      <c r="P570" s="88"/>
      <c r="Q570" s="88"/>
      <c r="R570" s="88"/>
      <c r="S570" s="88"/>
    </row>
  </sheetData>
  <autoFilter ref="A1:S570"/>
  <dataValidations count="1">
    <dataValidation type="list" allowBlank="1" showErrorMessage="1" sqref="F2:F28 F30:F150 F152:F155 F157:F238 F240:F265 F267:F279 F281:F322 F324:F349 F351:F354 F356:F357 F359 F362:F363 F365:F400 F402:F417 F419:F430 F432:F451 F453:F467 F469:F483 F485:F506 F508:F519 F521:F569">
      <formula1>"SELECT,Conference,SCI Publication,Scopus Publication,Book Chapter,Citations,Book,Incentive"</formula1>
    </dataValidation>
  </dataValidations>
  <pageMargins left="0.70866141732283472" right="0.70866141732283472" top="0.74803149606299213" bottom="0.74803149606299213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'[Faculty Research Incentive 2024-2025_ Ver 3.0 dt. 15.07.2024 (1).xlsx]Name of the Department'!#REF!</xm:f>
          </x14:formula1>
          <xm:sqref>C2:C28 C30:C150 C152:C155 C157:C238 C240:C265 C267:C279 C281:C298 C300:C322 C324:C349 C351:C363 C365:C400 C402:C417 C419:C430 C432:C451 C453:C467 C469:C483 C485:C506 C508:C519 C521:C569</xm:sqref>
        </x14:dataValidation>
        <x14:dataValidation type="list" allowBlank="1" showErrorMessage="1">
          <x14:formula1>
            <xm:f>'[Faculty Research Incentive 2024-2025_ Ver 3.0 dt. 15.07.2024 (1).xlsx]Name of the Faculty'!#REF!</xm:f>
          </x14:formula1>
          <xm:sqref>D2:D28 D30:D150 D152:D155 D157:D238 D240:D265 D267:D279 D281:D322 D324:D349 D351:D363 D365:D400 D402:D417 D419:D430 D432:D451 D453:D467 D469:D483 D485:D506 D508:D518 D521:D569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M118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5.7109375" style="1" customWidth="1"/>
    <col min="2" max="2" width="11.7109375" style="1" customWidth="1"/>
    <col min="3" max="3" width="36.28515625" style="1" customWidth="1"/>
    <col min="4" max="4" width="71.140625" style="1" customWidth="1"/>
    <col min="5" max="5" width="24.28515625" style="1" customWidth="1"/>
    <col min="6" max="6" width="8.85546875" style="1" customWidth="1"/>
    <col min="7" max="7" width="14.7109375" style="1" customWidth="1"/>
    <col min="8" max="8" width="15.42578125" style="1" customWidth="1"/>
    <col min="9" max="9" width="17.5703125" style="1" customWidth="1"/>
    <col min="10" max="10" width="13" style="1" customWidth="1"/>
    <col min="11" max="12" width="15.42578125" style="1" customWidth="1"/>
    <col min="13" max="13" width="13.7109375" style="1" customWidth="1"/>
    <col min="14" max="16384" width="14.42578125" style="1"/>
  </cols>
  <sheetData>
    <row r="1" spans="1:13" ht="47.25">
      <c r="A1" s="46" t="s">
        <v>1422</v>
      </c>
      <c r="B1" s="46" t="s">
        <v>154</v>
      </c>
      <c r="C1" s="46" t="s">
        <v>1421</v>
      </c>
      <c r="D1" s="54" t="s">
        <v>156</v>
      </c>
      <c r="E1" s="46" t="s">
        <v>155</v>
      </c>
      <c r="F1" s="46" t="s">
        <v>154</v>
      </c>
      <c r="G1" s="46" t="s">
        <v>153</v>
      </c>
      <c r="H1" s="55" t="s">
        <v>152</v>
      </c>
      <c r="I1" s="46" t="s">
        <v>151</v>
      </c>
      <c r="J1" s="46">
        <f>SUM(J2:J1178)</f>
        <v>2919800</v>
      </c>
      <c r="K1" s="55" t="s">
        <v>717</v>
      </c>
      <c r="L1" s="55" t="s">
        <v>1420</v>
      </c>
      <c r="M1" s="138"/>
    </row>
    <row r="2" spans="1:13" ht="63">
      <c r="A2" s="18">
        <v>577</v>
      </c>
      <c r="B2" s="18" t="s">
        <v>6</v>
      </c>
      <c r="C2" s="116" t="s">
        <v>479</v>
      </c>
      <c r="D2" s="21" t="s">
        <v>1419</v>
      </c>
      <c r="E2" s="18" t="s">
        <v>16</v>
      </c>
      <c r="F2" s="18" t="str">
        <f>B2</f>
        <v>CSE</v>
      </c>
      <c r="G2" s="18">
        <v>6000</v>
      </c>
      <c r="H2" s="48">
        <v>45297</v>
      </c>
      <c r="I2" s="34"/>
      <c r="J2" s="34"/>
      <c r="K2" s="48"/>
      <c r="L2" s="18">
        <v>43</v>
      </c>
      <c r="M2" s="88"/>
    </row>
    <row r="3" spans="1:13" ht="31.5">
      <c r="A3" s="18">
        <v>578</v>
      </c>
      <c r="B3" s="18" t="s">
        <v>6</v>
      </c>
      <c r="C3" s="49" t="s">
        <v>1386</v>
      </c>
      <c r="D3" s="21" t="s">
        <v>1418</v>
      </c>
      <c r="E3" s="18" t="s">
        <v>23</v>
      </c>
      <c r="F3" s="18" t="str">
        <f>B3</f>
        <v>CSE</v>
      </c>
      <c r="G3" s="18">
        <v>5000</v>
      </c>
      <c r="H3" s="48">
        <v>45297</v>
      </c>
      <c r="I3" s="34"/>
      <c r="J3" s="34"/>
      <c r="K3" s="48"/>
      <c r="L3" s="18">
        <v>43</v>
      </c>
      <c r="M3" s="88"/>
    </row>
    <row r="4" spans="1:13" ht="31.5">
      <c r="A4" s="18">
        <v>579</v>
      </c>
      <c r="B4" s="18" t="s">
        <v>6</v>
      </c>
      <c r="C4" s="49" t="s">
        <v>1386</v>
      </c>
      <c r="D4" s="21" t="s">
        <v>1417</v>
      </c>
      <c r="E4" s="18" t="s">
        <v>16</v>
      </c>
      <c r="F4" s="18" t="str">
        <f>B4</f>
        <v>CSE</v>
      </c>
      <c r="G4" s="18">
        <v>1800</v>
      </c>
      <c r="H4" s="48">
        <v>45297</v>
      </c>
      <c r="I4" s="34"/>
      <c r="J4" s="34"/>
      <c r="K4" s="48"/>
      <c r="L4" s="18">
        <v>43</v>
      </c>
      <c r="M4" s="88"/>
    </row>
    <row r="5" spans="1:13" ht="31.5">
      <c r="A5" s="18">
        <v>580</v>
      </c>
      <c r="B5" s="18" t="s">
        <v>6</v>
      </c>
      <c r="C5" s="49" t="s">
        <v>572</v>
      </c>
      <c r="D5" s="21" t="s">
        <v>1416</v>
      </c>
      <c r="E5" s="18" t="s">
        <v>23</v>
      </c>
      <c r="F5" s="18" t="str">
        <f>B5</f>
        <v>CSE</v>
      </c>
      <c r="G5" s="18">
        <v>6000</v>
      </c>
      <c r="H5" s="48">
        <v>45297</v>
      </c>
      <c r="I5" s="34"/>
      <c r="J5" s="34"/>
      <c r="K5" s="48"/>
      <c r="L5" s="18">
        <v>43</v>
      </c>
      <c r="M5" s="88"/>
    </row>
    <row r="6" spans="1:13" ht="47.25">
      <c r="A6" s="18">
        <v>581</v>
      </c>
      <c r="B6" s="18" t="s">
        <v>6</v>
      </c>
      <c r="C6" s="49" t="s">
        <v>572</v>
      </c>
      <c r="D6" s="21" t="s">
        <v>1415</v>
      </c>
      <c r="E6" s="18" t="s">
        <v>16</v>
      </c>
      <c r="F6" s="18" t="str">
        <f>B6</f>
        <v>CSE</v>
      </c>
      <c r="G6" s="18">
        <v>3000</v>
      </c>
      <c r="H6" s="48">
        <v>45297</v>
      </c>
      <c r="I6" s="34"/>
      <c r="J6" s="34"/>
      <c r="K6" s="48"/>
      <c r="L6" s="18">
        <v>43</v>
      </c>
      <c r="M6" s="88"/>
    </row>
    <row r="7" spans="1:13" ht="47.25">
      <c r="A7" s="18">
        <v>582</v>
      </c>
      <c r="B7" s="18" t="s">
        <v>6</v>
      </c>
      <c r="C7" s="49" t="s">
        <v>572</v>
      </c>
      <c r="D7" s="21" t="s">
        <v>1414</v>
      </c>
      <c r="E7" s="18" t="s">
        <v>16</v>
      </c>
      <c r="F7" s="18" t="str">
        <f>B7</f>
        <v>CSE</v>
      </c>
      <c r="G7" s="18">
        <v>1800</v>
      </c>
      <c r="H7" s="48">
        <v>45297</v>
      </c>
      <c r="I7" s="34"/>
      <c r="J7" s="34"/>
      <c r="K7" s="48"/>
      <c r="L7" s="18">
        <v>43</v>
      </c>
      <c r="M7" s="88"/>
    </row>
    <row r="8" spans="1:13" ht="47.25">
      <c r="A8" s="18">
        <v>583</v>
      </c>
      <c r="B8" s="18" t="s">
        <v>6</v>
      </c>
      <c r="C8" s="49" t="s">
        <v>572</v>
      </c>
      <c r="D8" s="21" t="s">
        <v>1413</v>
      </c>
      <c r="E8" s="18" t="s">
        <v>16</v>
      </c>
      <c r="F8" s="18" t="str">
        <f>B8</f>
        <v>CSE</v>
      </c>
      <c r="G8" s="18">
        <v>3000</v>
      </c>
      <c r="H8" s="48">
        <v>45297</v>
      </c>
      <c r="I8" s="34"/>
      <c r="J8" s="34"/>
      <c r="K8" s="48"/>
      <c r="L8" s="18">
        <v>43</v>
      </c>
      <c r="M8" s="88"/>
    </row>
    <row r="9" spans="1:13" ht="47.25">
      <c r="A9" s="18">
        <v>584</v>
      </c>
      <c r="B9" s="18" t="s">
        <v>6</v>
      </c>
      <c r="C9" s="49" t="s">
        <v>572</v>
      </c>
      <c r="D9" s="21" t="s">
        <v>1412</v>
      </c>
      <c r="E9" s="18" t="s">
        <v>16</v>
      </c>
      <c r="F9" s="18" t="str">
        <f>B9</f>
        <v>CSE</v>
      </c>
      <c r="G9" s="18">
        <v>3000</v>
      </c>
      <c r="H9" s="48">
        <v>45297</v>
      </c>
      <c r="I9" s="34"/>
      <c r="J9" s="34"/>
      <c r="K9" s="48"/>
      <c r="L9" s="18">
        <v>43</v>
      </c>
      <c r="M9" s="88"/>
    </row>
    <row r="10" spans="1:13" ht="31.5">
      <c r="A10" s="18">
        <v>585</v>
      </c>
      <c r="B10" s="18" t="s">
        <v>6</v>
      </c>
      <c r="C10" s="49" t="s">
        <v>572</v>
      </c>
      <c r="D10" s="21" t="s">
        <v>1411</v>
      </c>
      <c r="E10" s="18" t="s">
        <v>16</v>
      </c>
      <c r="F10" s="18" t="str">
        <f>B10</f>
        <v>CSE</v>
      </c>
      <c r="G10" s="18">
        <v>1800</v>
      </c>
      <c r="H10" s="48">
        <v>45297</v>
      </c>
      <c r="I10" s="34"/>
      <c r="J10" s="34"/>
      <c r="K10" s="48"/>
      <c r="L10" s="18">
        <v>43</v>
      </c>
      <c r="M10" s="88"/>
    </row>
    <row r="11" spans="1:13" ht="31.5">
      <c r="A11" s="18">
        <v>586</v>
      </c>
      <c r="B11" s="18" t="s">
        <v>6</v>
      </c>
      <c r="C11" s="49" t="s">
        <v>230</v>
      </c>
      <c r="D11" s="21" t="s">
        <v>1410</v>
      </c>
      <c r="E11" s="18" t="s">
        <v>16</v>
      </c>
      <c r="F11" s="18" t="str">
        <f>B11</f>
        <v>CSE</v>
      </c>
      <c r="G11" s="18">
        <v>3000</v>
      </c>
      <c r="H11" s="48">
        <v>45297</v>
      </c>
      <c r="I11" s="34"/>
      <c r="J11" s="34"/>
      <c r="K11" s="48"/>
      <c r="L11" s="18">
        <v>43</v>
      </c>
      <c r="M11" s="88"/>
    </row>
    <row r="12" spans="1:13" ht="15.75">
      <c r="A12" s="18">
        <v>587</v>
      </c>
      <c r="B12" s="18" t="s">
        <v>5</v>
      </c>
      <c r="C12" s="49" t="s">
        <v>178</v>
      </c>
      <c r="D12" s="21" t="s">
        <v>166</v>
      </c>
      <c r="E12" s="20" t="s">
        <v>193</v>
      </c>
      <c r="F12" s="18" t="str">
        <f>B12</f>
        <v>ECE</v>
      </c>
      <c r="G12" s="18">
        <v>2000</v>
      </c>
      <c r="H12" s="48">
        <v>45297</v>
      </c>
      <c r="I12" s="34"/>
      <c r="J12" s="34"/>
      <c r="K12" s="48"/>
      <c r="L12" s="18">
        <v>43</v>
      </c>
      <c r="M12" s="88"/>
    </row>
    <row r="13" spans="1:13" ht="31.5">
      <c r="A13" s="18">
        <v>588</v>
      </c>
      <c r="B13" s="18" t="s">
        <v>5</v>
      </c>
      <c r="C13" s="49" t="s">
        <v>72</v>
      </c>
      <c r="D13" s="21" t="s">
        <v>1409</v>
      </c>
      <c r="E13" s="18" t="s">
        <v>23</v>
      </c>
      <c r="F13" s="18" t="str">
        <f>B13</f>
        <v>ECE</v>
      </c>
      <c r="G13" s="18">
        <v>10000</v>
      </c>
      <c r="H13" s="48">
        <v>45297</v>
      </c>
      <c r="I13" s="34"/>
      <c r="J13" s="34"/>
      <c r="K13" s="48"/>
      <c r="L13" s="18">
        <v>43</v>
      </c>
      <c r="M13" s="88"/>
    </row>
    <row r="14" spans="1:13" ht="63">
      <c r="A14" s="18">
        <v>589</v>
      </c>
      <c r="B14" s="18" t="s">
        <v>5</v>
      </c>
      <c r="C14" s="49" t="s">
        <v>72</v>
      </c>
      <c r="D14" s="21" t="s">
        <v>1408</v>
      </c>
      <c r="E14" s="18" t="s">
        <v>23</v>
      </c>
      <c r="F14" s="18" t="str">
        <f>B14</f>
        <v>ECE</v>
      </c>
      <c r="G14" s="18">
        <v>10000</v>
      </c>
      <c r="H14" s="48">
        <v>45297</v>
      </c>
      <c r="I14" s="34"/>
      <c r="J14" s="34"/>
      <c r="K14" s="48"/>
      <c r="L14" s="18">
        <v>43</v>
      </c>
      <c r="M14" s="88"/>
    </row>
    <row r="15" spans="1:13" ht="15.75">
      <c r="A15" s="18">
        <v>590</v>
      </c>
      <c r="B15" s="18" t="s">
        <v>5</v>
      </c>
      <c r="C15" s="49" t="s">
        <v>72</v>
      </c>
      <c r="D15" s="21" t="s">
        <v>239</v>
      </c>
      <c r="E15" s="20" t="s">
        <v>193</v>
      </c>
      <c r="F15" s="18" t="str">
        <f>B15</f>
        <v>ECE</v>
      </c>
      <c r="G15" s="18">
        <v>6000</v>
      </c>
      <c r="H15" s="48">
        <v>45297</v>
      </c>
      <c r="I15" s="34"/>
      <c r="J15" s="34"/>
      <c r="K15" s="48"/>
      <c r="L15" s="18">
        <v>43</v>
      </c>
      <c r="M15" s="88"/>
    </row>
    <row r="16" spans="1:13" ht="15.75">
      <c r="A16" s="18">
        <v>591</v>
      </c>
      <c r="B16" s="18" t="s">
        <v>5</v>
      </c>
      <c r="C16" s="49" t="s">
        <v>66</v>
      </c>
      <c r="D16" s="21" t="s">
        <v>1407</v>
      </c>
      <c r="E16" s="18" t="s">
        <v>16</v>
      </c>
      <c r="F16" s="18" t="str">
        <f>B16</f>
        <v>ECE</v>
      </c>
      <c r="G16" s="18">
        <v>3000</v>
      </c>
      <c r="H16" s="48">
        <v>45297</v>
      </c>
      <c r="I16" s="34"/>
      <c r="J16" s="34"/>
      <c r="K16" s="48"/>
      <c r="L16" s="18">
        <v>43</v>
      </c>
      <c r="M16" s="88"/>
    </row>
    <row r="17" spans="1:13" ht="63">
      <c r="A17" s="18">
        <v>592</v>
      </c>
      <c r="B17" s="18" t="s">
        <v>5</v>
      </c>
      <c r="C17" s="49" t="s">
        <v>66</v>
      </c>
      <c r="D17" s="21" t="s">
        <v>1406</v>
      </c>
      <c r="E17" s="18" t="s">
        <v>16</v>
      </c>
      <c r="F17" s="18" t="str">
        <f>B17</f>
        <v>ECE</v>
      </c>
      <c r="G17" s="18">
        <v>1800</v>
      </c>
      <c r="H17" s="48">
        <v>45297</v>
      </c>
      <c r="I17" s="34"/>
      <c r="J17" s="34"/>
      <c r="K17" s="48"/>
      <c r="L17" s="18">
        <v>43</v>
      </c>
      <c r="M17" s="88"/>
    </row>
    <row r="18" spans="1:13" ht="31.5">
      <c r="A18" s="18">
        <v>593</v>
      </c>
      <c r="B18" s="18" t="s">
        <v>5</v>
      </c>
      <c r="C18" s="49" t="s">
        <v>66</v>
      </c>
      <c r="D18" s="21" t="s">
        <v>1405</v>
      </c>
      <c r="E18" s="18" t="s">
        <v>16</v>
      </c>
      <c r="F18" s="18" t="str">
        <f>B18</f>
        <v>ECE</v>
      </c>
      <c r="G18" s="18">
        <v>900</v>
      </c>
      <c r="H18" s="48">
        <v>45297</v>
      </c>
      <c r="I18" s="34"/>
      <c r="J18" s="34"/>
      <c r="K18" s="48"/>
      <c r="L18" s="18">
        <v>43</v>
      </c>
      <c r="M18" s="88"/>
    </row>
    <row r="19" spans="1:13" ht="15.75">
      <c r="A19" s="18">
        <v>594</v>
      </c>
      <c r="B19" s="18" t="s">
        <v>5</v>
      </c>
      <c r="C19" s="49" t="s">
        <v>403</v>
      </c>
      <c r="D19" s="21" t="s">
        <v>1404</v>
      </c>
      <c r="E19" s="20" t="s">
        <v>193</v>
      </c>
      <c r="F19" s="18" t="str">
        <f>B19</f>
        <v>ECE</v>
      </c>
      <c r="G19" s="18">
        <v>24000</v>
      </c>
      <c r="H19" s="48">
        <v>45297</v>
      </c>
      <c r="I19" s="34"/>
      <c r="J19" s="34"/>
      <c r="K19" s="48"/>
      <c r="L19" s="18">
        <v>43</v>
      </c>
      <c r="M19" s="88"/>
    </row>
    <row r="20" spans="1:13" ht="31.5">
      <c r="A20" s="18">
        <v>595</v>
      </c>
      <c r="B20" s="18" t="s">
        <v>5</v>
      </c>
      <c r="C20" s="49" t="s">
        <v>288</v>
      </c>
      <c r="D20" s="21" t="s">
        <v>1403</v>
      </c>
      <c r="E20" s="18" t="s">
        <v>16</v>
      </c>
      <c r="F20" s="18" t="str">
        <f>B20</f>
        <v>ECE</v>
      </c>
      <c r="G20" s="18">
        <v>1800</v>
      </c>
      <c r="H20" s="48">
        <v>45297</v>
      </c>
      <c r="I20" s="34"/>
      <c r="J20" s="34"/>
      <c r="K20" s="48"/>
      <c r="L20" s="18">
        <v>43</v>
      </c>
      <c r="M20" s="88"/>
    </row>
    <row r="21" spans="1:13" ht="15.75">
      <c r="A21" s="46"/>
      <c r="B21" s="46"/>
      <c r="C21" s="47"/>
      <c r="D21" s="46" t="s">
        <v>11</v>
      </c>
      <c r="E21" s="42"/>
      <c r="F21" s="42"/>
      <c r="G21" s="45">
        <f>SUM(G2:G20)</f>
        <v>93900</v>
      </c>
      <c r="H21" s="44"/>
      <c r="I21" s="42"/>
      <c r="J21" s="45">
        <f>G21</f>
        <v>93900</v>
      </c>
      <c r="K21" s="44"/>
      <c r="L21" s="46">
        <v>43</v>
      </c>
      <c r="M21" s="88"/>
    </row>
    <row r="22" spans="1:13" ht="47.25">
      <c r="A22" s="18">
        <v>596</v>
      </c>
      <c r="B22" s="18" t="s">
        <v>36</v>
      </c>
      <c r="C22" s="49" t="s">
        <v>275</v>
      </c>
      <c r="D22" s="21" t="s">
        <v>1402</v>
      </c>
      <c r="E22" s="18" t="s">
        <v>23</v>
      </c>
      <c r="F22" s="18" t="str">
        <f>B22</f>
        <v>AIDS</v>
      </c>
      <c r="G22" s="18">
        <v>10000</v>
      </c>
      <c r="H22" s="48">
        <v>45297</v>
      </c>
      <c r="I22" s="34"/>
      <c r="J22" s="34"/>
      <c r="K22" s="48"/>
      <c r="L22" s="18">
        <v>44</v>
      </c>
      <c r="M22" s="88"/>
    </row>
    <row r="23" spans="1:13" ht="15.75">
      <c r="A23" s="18">
        <v>597</v>
      </c>
      <c r="B23" s="18" t="s">
        <v>6</v>
      </c>
      <c r="C23" s="49" t="s">
        <v>337</v>
      </c>
      <c r="D23" s="21" t="s">
        <v>198</v>
      </c>
      <c r="E23" s="20" t="s">
        <v>193</v>
      </c>
      <c r="F23" s="18" t="str">
        <f>B23</f>
        <v>CSE</v>
      </c>
      <c r="G23" s="18">
        <v>4000</v>
      </c>
      <c r="H23" s="48">
        <v>45297</v>
      </c>
      <c r="I23" s="34"/>
      <c r="J23" s="34"/>
      <c r="K23" s="48"/>
      <c r="L23" s="18">
        <v>44</v>
      </c>
      <c r="M23" s="88"/>
    </row>
    <row r="24" spans="1:13" ht="31.5">
      <c r="A24" s="18">
        <v>598</v>
      </c>
      <c r="B24" s="18" t="s">
        <v>5</v>
      </c>
      <c r="C24" s="49" t="s">
        <v>115</v>
      </c>
      <c r="D24" s="21" t="s">
        <v>1401</v>
      </c>
      <c r="E24" s="18" t="s">
        <v>23</v>
      </c>
      <c r="F24" s="18" t="str">
        <f>B24</f>
        <v>ECE</v>
      </c>
      <c r="G24" s="18">
        <v>10000</v>
      </c>
      <c r="H24" s="48">
        <v>45297</v>
      </c>
      <c r="I24" s="34"/>
      <c r="J24" s="34"/>
      <c r="K24" s="48"/>
      <c r="L24" s="18">
        <v>44</v>
      </c>
      <c r="M24" s="88"/>
    </row>
    <row r="25" spans="1:13" ht="15.75">
      <c r="A25" s="18">
        <v>599</v>
      </c>
      <c r="B25" s="18" t="s">
        <v>5</v>
      </c>
      <c r="C25" s="49" t="s">
        <v>115</v>
      </c>
      <c r="D25" s="21" t="s">
        <v>319</v>
      </c>
      <c r="E25" s="20" t="s">
        <v>193</v>
      </c>
      <c r="F25" s="18" t="str">
        <f>B25</f>
        <v>ECE</v>
      </c>
      <c r="G25" s="18">
        <v>8000</v>
      </c>
      <c r="H25" s="48">
        <v>45297</v>
      </c>
      <c r="I25" s="34"/>
      <c r="J25" s="34"/>
      <c r="K25" s="48"/>
      <c r="L25" s="18">
        <v>44</v>
      </c>
      <c r="M25" s="88"/>
    </row>
    <row r="26" spans="1:13" ht="15.75">
      <c r="A26" s="18">
        <v>600</v>
      </c>
      <c r="B26" s="18" t="s">
        <v>5</v>
      </c>
      <c r="C26" s="49" t="s">
        <v>214</v>
      </c>
      <c r="D26" s="21" t="s">
        <v>239</v>
      </c>
      <c r="E26" s="20" t="s">
        <v>193</v>
      </c>
      <c r="F26" s="18" t="str">
        <f>B26</f>
        <v>ECE</v>
      </c>
      <c r="G26" s="18">
        <v>6000</v>
      </c>
      <c r="H26" s="48">
        <v>45297</v>
      </c>
      <c r="I26" s="34"/>
      <c r="J26" s="34"/>
      <c r="K26" s="48"/>
      <c r="L26" s="18">
        <v>44</v>
      </c>
      <c r="M26" s="88"/>
    </row>
    <row r="27" spans="1:13" ht="15.75">
      <c r="A27" s="18">
        <v>601</v>
      </c>
      <c r="B27" s="18" t="s">
        <v>5</v>
      </c>
      <c r="C27" s="49" t="s">
        <v>269</v>
      </c>
      <c r="D27" s="21" t="s">
        <v>166</v>
      </c>
      <c r="E27" s="20" t="s">
        <v>193</v>
      </c>
      <c r="F27" s="18" t="str">
        <f>B27</f>
        <v>ECE</v>
      </c>
      <c r="G27" s="18">
        <v>2000</v>
      </c>
      <c r="H27" s="48">
        <v>45297</v>
      </c>
      <c r="I27" s="34"/>
      <c r="J27" s="34"/>
      <c r="K27" s="48"/>
      <c r="L27" s="18">
        <v>44</v>
      </c>
      <c r="M27" s="88"/>
    </row>
    <row r="28" spans="1:13" ht="15.75">
      <c r="A28" s="18">
        <v>602</v>
      </c>
      <c r="B28" s="18" t="s">
        <v>5</v>
      </c>
      <c r="C28" s="49" t="s">
        <v>72</v>
      </c>
      <c r="D28" s="21" t="s">
        <v>166</v>
      </c>
      <c r="E28" s="20" t="s">
        <v>193</v>
      </c>
      <c r="F28" s="18" t="str">
        <f>B28</f>
        <v>ECE</v>
      </c>
      <c r="G28" s="18">
        <v>2000</v>
      </c>
      <c r="H28" s="48">
        <v>45297</v>
      </c>
      <c r="I28" s="34"/>
      <c r="J28" s="34"/>
      <c r="K28" s="48"/>
      <c r="L28" s="18">
        <v>44</v>
      </c>
      <c r="M28" s="88"/>
    </row>
    <row r="29" spans="1:13" ht="31.5">
      <c r="A29" s="18">
        <v>603</v>
      </c>
      <c r="B29" s="18" t="s">
        <v>5</v>
      </c>
      <c r="C29" s="118" t="s">
        <v>640</v>
      </c>
      <c r="D29" s="21" t="s">
        <v>1400</v>
      </c>
      <c r="E29" s="18" t="s">
        <v>16</v>
      </c>
      <c r="F29" s="18" t="str">
        <f>B29</f>
        <v>ECE</v>
      </c>
      <c r="G29" s="18">
        <v>3000</v>
      </c>
      <c r="H29" s="48">
        <v>45297</v>
      </c>
      <c r="I29" s="34"/>
      <c r="J29" s="34"/>
      <c r="K29" s="48"/>
      <c r="L29" s="18">
        <v>44</v>
      </c>
      <c r="M29" s="88"/>
    </row>
    <row r="30" spans="1:13" ht="15.75">
      <c r="A30" s="18">
        <v>604</v>
      </c>
      <c r="B30" s="18" t="s">
        <v>4</v>
      </c>
      <c r="C30" s="49" t="s">
        <v>136</v>
      </c>
      <c r="D30" s="21" t="s">
        <v>166</v>
      </c>
      <c r="E30" s="20" t="s">
        <v>193</v>
      </c>
      <c r="F30" s="18" t="s">
        <v>4</v>
      </c>
      <c r="G30" s="18">
        <v>2000</v>
      </c>
      <c r="H30" s="48">
        <v>45297</v>
      </c>
      <c r="I30" s="34"/>
      <c r="J30" s="34"/>
      <c r="K30" s="48"/>
      <c r="L30" s="18">
        <v>44</v>
      </c>
      <c r="M30" s="88"/>
    </row>
    <row r="31" spans="1:13" ht="31.5">
      <c r="A31" s="18">
        <v>605</v>
      </c>
      <c r="B31" s="18" t="s">
        <v>4</v>
      </c>
      <c r="C31" s="49" t="s">
        <v>199</v>
      </c>
      <c r="D31" s="21" t="s">
        <v>1399</v>
      </c>
      <c r="E31" s="18" t="s">
        <v>23</v>
      </c>
      <c r="F31" s="18" t="str">
        <f>B31</f>
        <v>EEE</v>
      </c>
      <c r="G31" s="18">
        <v>10000</v>
      </c>
      <c r="H31" s="48">
        <v>45297</v>
      </c>
      <c r="I31" s="34"/>
      <c r="J31" s="34"/>
      <c r="K31" s="48"/>
      <c r="L31" s="18">
        <v>44</v>
      </c>
      <c r="M31" s="88"/>
    </row>
    <row r="32" spans="1:13" ht="31.5">
      <c r="A32" s="18">
        <v>606</v>
      </c>
      <c r="B32" s="18" t="s">
        <v>2</v>
      </c>
      <c r="C32" s="49" t="s">
        <v>48</v>
      </c>
      <c r="D32" s="21" t="s">
        <v>1398</v>
      </c>
      <c r="E32" s="18" t="s">
        <v>23</v>
      </c>
      <c r="F32" s="18" t="str">
        <f>B32</f>
        <v>Mech</v>
      </c>
      <c r="G32" s="18">
        <v>5000</v>
      </c>
      <c r="H32" s="48">
        <v>45297</v>
      </c>
      <c r="I32" s="34"/>
      <c r="J32" s="34"/>
      <c r="K32" s="48"/>
      <c r="L32" s="18">
        <v>44</v>
      </c>
      <c r="M32" s="88"/>
    </row>
    <row r="33" spans="1:13" ht="15.75">
      <c r="A33" s="18">
        <v>607</v>
      </c>
      <c r="B33" s="18" t="s">
        <v>8</v>
      </c>
      <c r="C33" s="49" t="s">
        <v>1204</v>
      </c>
      <c r="D33" s="21" t="s">
        <v>1397</v>
      </c>
      <c r="E33" s="18" t="s">
        <v>16</v>
      </c>
      <c r="F33" s="18" t="str">
        <f>B33</f>
        <v>CCE</v>
      </c>
      <c r="G33" s="18">
        <v>3000</v>
      </c>
      <c r="H33" s="48">
        <v>45297</v>
      </c>
      <c r="I33" s="34"/>
      <c r="J33" s="34"/>
      <c r="K33" s="48"/>
      <c r="L33" s="18">
        <v>44</v>
      </c>
      <c r="M33" s="88"/>
    </row>
    <row r="34" spans="1:13" ht="15.75">
      <c r="A34" s="46"/>
      <c r="B34" s="46"/>
      <c r="C34" s="47"/>
      <c r="D34" s="46" t="s">
        <v>11</v>
      </c>
      <c r="E34" s="42"/>
      <c r="F34" s="42"/>
      <c r="G34" s="45">
        <f>SUM(G22:G33)</f>
        <v>65000</v>
      </c>
      <c r="H34" s="44"/>
      <c r="I34" s="42"/>
      <c r="J34" s="45">
        <f>G34</f>
        <v>65000</v>
      </c>
      <c r="K34" s="44"/>
      <c r="L34" s="46">
        <v>44</v>
      </c>
      <c r="M34" s="88"/>
    </row>
    <row r="35" spans="1:13" ht="15.75">
      <c r="A35" s="18">
        <v>608</v>
      </c>
      <c r="B35" s="18" t="s">
        <v>6</v>
      </c>
      <c r="C35" s="49" t="s">
        <v>1396</v>
      </c>
      <c r="D35" s="21" t="s">
        <v>1395</v>
      </c>
      <c r="E35" s="18" t="s">
        <v>13</v>
      </c>
      <c r="F35" s="18" t="str">
        <f>B35</f>
        <v>CSE</v>
      </c>
      <c r="G35" s="18">
        <v>1800</v>
      </c>
      <c r="H35" s="48">
        <v>45313</v>
      </c>
      <c r="I35" s="18" t="s">
        <v>223</v>
      </c>
      <c r="J35" s="34"/>
      <c r="K35" s="48"/>
      <c r="L35" s="18">
        <v>45</v>
      </c>
      <c r="M35" s="88"/>
    </row>
    <row r="36" spans="1:13" ht="31.5">
      <c r="A36" s="18">
        <v>609</v>
      </c>
      <c r="B36" s="18" t="s">
        <v>6</v>
      </c>
      <c r="C36" s="49" t="s">
        <v>1392</v>
      </c>
      <c r="D36" s="21" t="s">
        <v>1394</v>
      </c>
      <c r="E36" s="18" t="s">
        <v>16</v>
      </c>
      <c r="F36" s="18" t="str">
        <f>B36</f>
        <v>CSE</v>
      </c>
      <c r="G36" s="18">
        <v>1800</v>
      </c>
      <c r="H36" s="48">
        <v>45313</v>
      </c>
      <c r="I36" s="18" t="s">
        <v>223</v>
      </c>
      <c r="J36" s="34"/>
      <c r="K36" s="48"/>
      <c r="L36" s="18">
        <v>45</v>
      </c>
      <c r="M36" s="88"/>
    </row>
    <row r="37" spans="1:13" ht="15.75">
      <c r="A37" s="18">
        <v>610</v>
      </c>
      <c r="B37" s="18" t="s">
        <v>6</v>
      </c>
      <c r="C37" s="49" t="s">
        <v>1392</v>
      </c>
      <c r="D37" s="21" t="s">
        <v>1393</v>
      </c>
      <c r="E37" s="18" t="s">
        <v>16</v>
      </c>
      <c r="F37" s="18" t="str">
        <f>B37</f>
        <v>CSE</v>
      </c>
      <c r="G37" s="18">
        <v>1800</v>
      </c>
      <c r="H37" s="48">
        <v>45313</v>
      </c>
      <c r="I37" s="18" t="s">
        <v>223</v>
      </c>
      <c r="J37" s="34"/>
      <c r="K37" s="48"/>
      <c r="L37" s="18">
        <v>45</v>
      </c>
      <c r="M37" s="88"/>
    </row>
    <row r="38" spans="1:13" ht="15.75">
      <c r="A38" s="18">
        <v>611</v>
      </c>
      <c r="B38" s="18" t="s">
        <v>6</v>
      </c>
      <c r="C38" s="49" t="s">
        <v>1392</v>
      </c>
      <c r="D38" s="21" t="s">
        <v>1391</v>
      </c>
      <c r="E38" s="18" t="s">
        <v>16</v>
      </c>
      <c r="F38" s="18" t="str">
        <f>B38</f>
        <v>CSE</v>
      </c>
      <c r="G38" s="18">
        <v>3000</v>
      </c>
      <c r="H38" s="48">
        <v>45313</v>
      </c>
      <c r="I38" s="18" t="s">
        <v>223</v>
      </c>
      <c r="J38" s="34"/>
      <c r="K38" s="48"/>
      <c r="L38" s="18">
        <v>45</v>
      </c>
      <c r="M38" s="88"/>
    </row>
    <row r="39" spans="1:13" ht="31.5">
      <c r="A39" s="18">
        <v>612</v>
      </c>
      <c r="B39" s="18" t="s">
        <v>184</v>
      </c>
      <c r="C39" s="49" t="s">
        <v>99</v>
      </c>
      <c r="D39" s="21" t="s">
        <v>1390</v>
      </c>
      <c r="E39" s="18" t="s">
        <v>13</v>
      </c>
      <c r="F39" s="18" t="str">
        <f>B39</f>
        <v>MECH</v>
      </c>
      <c r="G39" s="18">
        <v>10000</v>
      </c>
      <c r="H39" s="48">
        <v>45313</v>
      </c>
      <c r="I39" s="18" t="s">
        <v>12</v>
      </c>
      <c r="J39" s="34"/>
      <c r="K39" s="48"/>
      <c r="L39" s="18">
        <v>45</v>
      </c>
      <c r="M39" s="88"/>
    </row>
    <row r="40" spans="1:13" ht="15.75">
      <c r="A40" s="18">
        <v>613</v>
      </c>
      <c r="B40" s="18" t="s">
        <v>184</v>
      </c>
      <c r="C40" s="49" t="s">
        <v>99</v>
      </c>
      <c r="D40" s="21" t="s">
        <v>319</v>
      </c>
      <c r="E40" s="20" t="s">
        <v>193</v>
      </c>
      <c r="F40" s="18" t="str">
        <f>B40</f>
        <v>MECH</v>
      </c>
      <c r="G40" s="18">
        <v>8000</v>
      </c>
      <c r="H40" s="48">
        <v>45313</v>
      </c>
      <c r="I40" s="18" t="s">
        <v>12</v>
      </c>
      <c r="J40" s="34"/>
      <c r="K40" s="48"/>
      <c r="L40" s="18">
        <v>45</v>
      </c>
      <c r="M40" s="88"/>
    </row>
    <row r="41" spans="1:13" ht="47.25">
      <c r="A41" s="18">
        <v>614</v>
      </c>
      <c r="B41" s="18" t="s">
        <v>184</v>
      </c>
      <c r="C41" s="49" t="s">
        <v>209</v>
      </c>
      <c r="D41" s="21" t="s">
        <v>1389</v>
      </c>
      <c r="E41" s="18" t="s">
        <v>13</v>
      </c>
      <c r="F41" s="18" t="str">
        <f>B41</f>
        <v>MECH</v>
      </c>
      <c r="G41" s="18">
        <v>10000</v>
      </c>
      <c r="H41" s="48">
        <v>45313</v>
      </c>
      <c r="I41" s="18" t="s">
        <v>12</v>
      </c>
      <c r="J41" s="34"/>
      <c r="K41" s="48"/>
      <c r="L41" s="18">
        <v>45</v>
      </c>
      <c r="M41" s="88"/>
    </row>
    <row r="42" spans="1:13" ht="15.75">
      <c r="A42" s="18">
        <v>615</v>
      </c>
      <c r="B42" s="18" t="s">
        <v>184</v>
      </c>
      <c r="C42" s="49" t="s">
        <v>209</v>
      </c>
      <c r="D42" s="21" t="s">
        <v>166</v>
      </c>
      <c r="E42" s="20" t="s">
        <v>193</v>
      </c>
      <c r="F42" s="18" t="str">
        <f>B42</f>
        <v>MECH</v>
      </c>
      <c r="G42" s="18">
        <v>2000</v>
      </c>
      <c r="H42" s="48">
        <v>45313</v>
      </c>
      <c r="I42" s="18" t="s">
        <v>12</v>
      </c>
      <c r="J42" s="34"/>
      <c r="K42" s="48"/>
      <c r="L42" s="18">
        <v>45</v>
      </c>
      <c r="M42" s="88"/>
    </row>
    <row r="43" spans="1:13" ht="15.75">
      <c r="A43" s="18">
        <v>616</v>
      </c>
      <c r="B43" s="18" t="s">
        <v>5</v>
      </c>
      <c r="C43" s="49" t="s">
        <v>170</v>
      </c>
      <c r="D43" s="21" t="s">
        <v>166</v>
      </c>
      <c r="E43" s="20" t="s">
        <v>193</v>
      </c>
      <c r="F43" s="18" t="str">
        <f>B43</f>
        <v>ECE</v>
      </c>
      <c r="G43" s="18">
        <v>2000</v>
      </c>
      <c r="H43" s="48">
        <v>45313</v>
      </c>
      <c r="I43" s="18" t="s">
        <v>12</v>
      </c>
      <c r="J43" s="34"/>
      <c r="K43" s="48"/>
      <c r="L43" s="18">
        <v>45</v>
      </c>
      <c r="M43" s="88"/>
    </row>
    <row r="44" spans="1:13" ht="15.75">
      <c r="A44" s="18">
        <v>617</v>
      </c>
      <c r="B44" s="18" t="s">
        <v>5</v>
      </c>
      <c r="C44" s="49" t="s">
        <v>178</v>
      </c>
      <c r="D44" s="21" t="s">
        <v>166</v>
      </c>
      <c r="E44" s="20" t="s">
        <v>193</v>
      </c>
      <c r="F44" s="18" t="str">
        <f>B44</f>
        <v>ECE</v>
      </c>
      <c r="G44" s="18">
        <v>2000</v>
      </c>
      <c r="H44" s="48">
        <v>45313</v>
      </c>
      <c r="I44" s="18" t="s">
        <v>12</v>
      </c>
      <c r="J44" s="34"/>
      <c r="K44" s="48"/>
      <c r="L44" s="18">
        <v>45</v>
      </c>
      <c r="M44" s="88"/>
    </row>
    <row r="45" spans="1:13" ht="31.5">
      <c r="A45" s="18">
        <v>618</v>
      </c>
      <c r="B45" s="18" t="s">
        <v>1</v>
      </c>
      <c r="C45" s="49" t="s">
        <v>167</v>
      </c>
      <c r="D45" s="21" t="s">
        <v>1388</v>
      </c>
      <c r="E45" s="21" t="s">
        <v>23</v>
      </c>
      <c r="F45" s="18" t="str">
        <f>B45</f>
        <v>S&amp;H</v>
      </c>
      <c r="G45" s="18">
        <v>10000</v>
      </c>
      <c r="H45" s="48">
        <v>45313</v>
      </c>
      <c r="I45" s="18" t="s">
        <v>12</v>
      </c>
      <c r="J45" s="34"/>
      <c r="K45" s="48"/>
      <c r="L45" s="18">
        <v>45</v>
      </c>
      <c r="M45" s="88"/>
    </row>
    <row r="46" spans="1:13" ht="15.75">
      <c r="A46" s="46"/>
      <c r="B46" s="46"/>
      <c r="C46" s="47"/>
      <c r="D46" s="46" t="s">
        <v>11</v>
      </c>
      <c r="E46" s="42"/>
      <c r="F46" s="42"/>
      <c r="G46" s="45">
        <f>SUM(G35:G45)</f>
        <v>52400</v>
      </c>
      <c r="H46" s="44"/>
      <c r="I46" s="42"/>
      <c r="J46" s="45">
        <f>G46</f>
        <v>52400</v>
      </c>
      <c r="K46" s="44"/>
      <c r="L46" s="46">
        <v>45</v>
      </c>
      <c r="M46" s="88"/>
    </row>
    <row r="47" spans="1:13" ht="31.5">
      <c r="A47" s="18">
        <v>619</v>
      </c>
      <c r="B47" s="18" t="s">
        <v>6</v>
      </c>
      <c r="C47" s="49" t="s">
        <v>1386</v>
      </c>
      <c r="D47" s="21" t="s">
        <v>1387</v>
      </c>
      <c r="E47" s="18" t="s">
        <v>16</v>
      </c>
      <c r="F47" s="18" t="str">
        <f>B47</f>
        <v>CSE</v>
      </c>
      <c r="G47" s="18">
        <v>3000</v>
      </c>
      <c r="H47" s="48">
        <v>45315</v>
      </c>
      <c r="I47" s="29"/>
      <c r="J47" s="34"/>
      <c r="K47" s="48"/>
      <c r="L47" s="18">
        <v>46</v>
      </c>
      <c r="M47" s="112"/>
    </row>
    <row r="48" spans="1:13" ht="31.5">
      <c r="A48" s="18">
        <v>620</v>
      </c>
      <c r="B48" s="18" t="s">
        <v>6</v>
      </c>
      <c r="C48" s="49" t="s">
        <v>1386</v>
      </c>
      <c r="D48" s="21" t="s">
        <v>1385</v>
      </c>
      <c r="E48" s="18" t="s">
        <v>16</v>
      </c>
      <c r="F48" s="18" t="str">
        <f>B48</f>
        <v>CSE</v>
      </c>
      <c r="G48" s="18">
        <v>3000</v>
      </c>
      <c r="H48" s="48">
        <v>45315</v>
      </c>
      <c r="I48" s="29"/>
      <c r="J48" s="34"/>
      <c r="K48" s="48"/>
      <c r="L48" s="18">
        <v>46</v>
      </c>
      <c r="M48" s="112"/>
    </row>
    <row r="49" spans="1:13" ht="63">
      <c r="A49" s="18">
        <v>621</v>
      </c>
      <c r="B49" s="18" t="s">
        <v>5</v>
      </c>
      <c r="C49" s="49" t="s">
        <v>214</v>
      </c>
      <c r="D49" s="21" t="s">
        <v>1384</v>
      </c>
      <c r="E49" s="18" t="s">
        <v>23</v>
      </c>
      <c r="F49" s="18" t="str">
        <f>B50</f>
        <v>ECE</v>
      </c>
      <c r="G49" s="18">
        <v>6000</v>
      </c>
      <c r="H49" s="48">
        <v>45315</v>
      </c>
      <c r="I49" s="29"/>
      <c r="J49" s="34"/>
      <c r="K49" s="48"/>
      <c r="L49" s="18">
        <v>46</v>
      </c>
      <c r="M49" s="112"/>
    </row>
    <row r="50" spans="1:13" ht="31.5">
      <c r="A50" s="18">
        <v>622</v>
      </c>
      <c r="B50" s="18" t="s">
        <v>5</v>
      </c>
      <c r="C50" s="49" t="s">
        <v>66</v>
      </c>
      <c r="D50" s="21" t="s">
        <v>1383</v>
      </c>
      <c r="E50" s="18" t="s">
        <v>13</v>
      </c>
      <c r="F50" s="18" t="str">
        <f>B51</f>
        <v>ECE</v>
      </c>
      <c r="G50" s="18">
        <v>3000</v>
      </c>
      <c r="H50" s="48">
        <v>45315</v>
      </c>
      <c r="I50" s="29"/>
      <c r="J50" s="34"/>
      <c r="K50" s="48">
        <v>2023</v>
      </c>
      <c r="L50" s="18">
        <v>46</v>
      </c>
      <c r="M50" s="112"/>
    </row>
    <row r="51" spans="1:13" ht="31.5">
      <c r="A51" s="18">
        <v>623</v>
      </c>
      <c r="B51" s="18" t="s">
        <v>5</v>
      </c>
      <c r="C51" s="49" t="s">
        <v>112</v>
      </c>
      <c r="D51" s="21" t="s">
        <v>1382</v>
      </c>
      <c r="E51" s="18" t="s">
        <v>23</v>
      </c>
      <c r="F51" s="18" t="str">
        <f>B52</f>
        <v>ECE</v>
      </c>
      <c r="G51" s="18">
        <v>3000</v>
      </c>
      <c r="H51" s="48">
        <v>45315</v>
      </c>
      <c r="I51" s="29"/>
      <c r="J51" s="34"/>
      <c r="K51" s="48">
        <v>2023</v>
      </c>
      <c r="L51" s="18">
        <v>46</v>
      </c>
      <c r="M51" s="112"/>
    </row>
    <row r="52" spans="1:13" ht="31.5">
      <c r="A52" s="18">
        <v>624</v>
      </c>
      <c r="B52" s="18" t="s">
        <v>5</v>
      </c>
      <c r="C52" s="49" t="s">
        <v>175</v>
      </c>
      <c r="D52" s="21" t="s">
        <v>1381</v>
      </c>
      <c r="E52" s="18" t="s">
        <v>23</v>
      </c>
      <c r="F52" s="18" t="str">
        <f>B52</f>
        <v>ECE</v>
      </c>
      <c r="G52" s="18">
        <v>10000</v>
      </c>
      <c r="H52" s="48">
        <v>45315</v>
      </c>
      <c r="I52" s="29"/>
      <c r="J52" s="34"/>
      <c r="K52" s="48">
        <v>2023</v>
      </c>
      <c r="L52" s="18">
        <v>46</v>
      </c>
      <c r="M52" s="112"/>
    </row>
    <row r="53" spans="1:13" ht="47.25">
      <c r="A53" s="18">
        <v>625</v>
      </c>
      <c r="B53" s="18" t="s">
        <v>0</v>
      </c>
      <c r="C53" s="49" t="s">
        <v>249</v>
      </c>
      <c r="D53" s="21" t="s">
        <v>1380</v>
      </c>
      <c r="E53" s="18" t="s">
        <v>23</v>
      </c>
      <c r="F53" s="18" t="str">
        <f>B54</f>
        <v>Maths</v>
      </c>
      <c r="G53" s="18">
        <v>10000</v>
      </c>
      <c r="H53" s="48">
        <v>45315</v>
      </c>
      <c r="I53" s="29"/>
      <c r="J53" s="34"/>
      <c r="K53" s="48"/>
      <c r="L53" s="18">
        <v>46</v>
      </c>
      <c r="M53" s="112"/>
    </row>
    <row r="54" spans="1:13" ht="31.5">
      <c r="A54" s="18">
        <v>626</v>
      </c>
      <c r="B54" s="18" t="s">
        <v>0</v>
      </c>
      <c r="C54" s="49" t="s">
        <v>1379</v>
      </c>
      <c r="D54" s="21" t="s">
        <v>1378</v>
      </c>
      <c r="E54" s="18" t="s">
        <v>187</v>
      </c>
      <c r="F54" s="85" t="str">
        <f>B54</f>
        <v>Maths</v>
      </c>
      <c r="G54" s="18">
        <v>1800</v>
      </c>
      <c r="H54" s="48">
        <v>45315</v>
      </c>
      <c r="I54" s="29"/>
      <c r="J54" s="34"/>
      <c r="K54" s="48"/>
      <c r="L54" s="18">
        <v>46</v>
      </c>
      <c r="M54" s="112"/>
    </row>
    <row r="55" spans="1:13" ht="15.75">
      <c r="A55" s="46"/>
      <c r="B55" s="46"/>
      <c r="C55" s="47"/>
      <c r="D55" s="46" t="s">
        <v>11</v>
      </c>
      <c r="E55" s="42"/>
      <c r="F55" s="90"/>
      <c r="G55" s="45">
        <f>SUM(G47:G54)</f>
        <v>39800</v>
      </c>
      <c r="H55" s="44"/>
      <c r="I55" s="42"/>
      <c r="J55" s="45">
        <f>G55</f>
        <v>39800</v>
      </c>
      <c r="K55" s="44"/>
      <c r="L55" s="46">
        <v>46</v>
      </c>
      <c r="M55" s="88"/>
    </row>
    <row r="56" spans="1:13" ht="31.5">
      <c r="A56" s="124">
        <v>627</v>
      </c>
      <c r="B56" s="18" t="s">
        <v>36</v>
      </c>
      <c r="C56" s="129" t="s">
        <v>1376</v>
      </c>
      <c r="D56" s="135" t="s">
        <v>1377</v>
      </c>
      <c r="E56" s="18" t="s">
        <v>23</v>
      </c>
      <c r="F56" s="83" t="str">
        <f>B56</f>
        <v>AIDS</v>
      </c>
      <c r="G56" s="101">
        <v>6000</v>
      </c>
      <c r="H56" s="123">
        <v>45334</v>
      </c>
      <c r="I56" s="101" t="s">
        <v>1374</v>
      </c>
      <c r="J56" s="137"/>
      <c r="K56" s="123">
        <v>2023</v>
      </c>
      <c r="L56" s="101">
        <v>47</v>
      </c>
      <c r="M56" s="125"/>
    </row>
    <row r="57" spans="1:13" ht="31.5">
      <c r="A57" s="83">
        <v>628</v>
      </c>
      <c r="B57" s="18" t="s">
        <v>36</v>
      </c>
      <c r="C57" s="129" t="s">
        <v>1376</v>
      </c>
      <c r="D57" s="135" t="s">
        <v>1375</v>
      </c>
      <c r="E57" s="127" t="s">
        <v>13</v>
      </c>
      <c r="F57" s="83" t="str">
        <f>B57</f>
        <v>AIDS</v>
      </c>
      <c r="G57" s="101">
        <v>3000</v>
      </c>
      <c r="H57" s="123">
        <v>45334</v>
      </c>
      <c r="I57" s="101" t="s">
        <v>1374</v>
      </c>
      <c r="J57" s="137"/>
      <c r="K57" s="123">
        <v>2023</v>
      </c>
      <c r="L57" s="101">
        <v>47</v>
      </c>
      <c r="M57" s="125"/>
    </row>
    <row r="58" spans="1:13" ht="15.75">
      <c r="A58" s="124">
        <v>629</v>
      </c>
      <c r="B58" s="18" t="s">
        <v>36</v>
      </c>
      <c r="C58" s="49" t="s">
        <v>275</v>
      </c>
      <c r="D58" s="136" t="s">
        <v>1373</v>
      </c>
      <c r="E58" s="18" t="s">
        <v>23</v>
      </c>
      <c r="F58" s="133" t="str">
        <f>B58</f>
        <v>AIDS</v>
      </c>
      <c r="G58" s="132">
        <v>6000</v>
      </c>
      <c r="H58" s="123">
        <v>45334</v>
      </c>
      <c r="I58" s="18" t="s">
        <v>12</v>
      </c>
      <c r="J58" s="131"/>
      <c r="K58" s="123">
        <v>2023</v>
      </c>
      <c r="L58" s="101">
        <v>47</v>
      </c>
      <c r="M58" s="130"/>
    </row>
    <row r="59" spans="1:13" ht="15.75">
      <c r="A59" s="83">
        <v>630</v>
      </c>
      <c r="B59" s="132" t="s">
        <v>8</v>
      </c>
      <c r="C59" s="134" t="s">
        <v>279</v>
      </c>
      <c r="D59" s="135" t="s">
        <v>1372</v>
      </c>
      <c r="E59" s="18" t="s">
        <v>23</v>
      </c>
      <c r="F59" s="133" t="str">
        <f>B59</f>
        <v>CCE</v>
      </c>
      <c r="G59" s="132">
        <v>10000</v>
      </c>
      <c r="H59" s="123">
        <v>45334</v>
      </c>
      <c r="I59" s="18" t="s">
        <v>12</v>
      </c>
      <c r="J59" s="131"/>
      <c r="K59" s="123">
        <v>2024</v>
      </c>
      <c r="L59" s="101">
        <v>47</v>
      </c>
      <c r="M59" s="130"/>
    </row>
    <row r="60" spans="1:13" ht="15.75">
      <c r="A60" s="124">
        <v>631</v>
      </c>
      <c r="B60" s="132" t="s">
        <v>8</v>
      </c>
      <c r="C60" s="134" t="s">
        <v>279</v>
      </c>
      <c r="D60" s="21" t="s">
        <v>198</v>
      </c>
      <c r="E60" s="20" t="s">
        <v>193</v>
      </c>
      <c r="F60" s="133" t="str">
        <f>B60</f>
        <v>CCE</v>
      </c>
      <c r="G60" s="132">
        <v>4000</v>
      </c>
      <c r="H60" s="123">
        <v>45334</v>
      </c>
      <c r="I60" s="18" t="s">
        <v>12</v>
      </c>
      <c r="J60" s="131"/>
      <c r="K60" s="123"/>
      <c r="L60" s="101">
        <v>47</v>
      </c>
      <c r="M60" s="130"/>
    </row>
    <row r="61" spans="1:13" ht="47.25">
      <c r="A61" s="83">
        <v>632</v>
      </c>
      <c r="B61" s="18" t="s">
        <v>5</v>
      </c>
      <c r="C61" s="49" t="s">
        <v>173</v>
      </c>
      <c r="D61" s="21" t="s">
        <v>1371</v>
      </c>
      <c r="E61" s="18" t="s">
        <v>23</v>
      </c>
      <c r="F61" s="18" t="str">
        <f>B61</f>
        <v>ECE</v>
      </c>
      <c r="G61" s="86">
        <v>10000</v>
      </c>
      <c r="H61" s="123">
        <v>45334</v>
      </c>
      <c r="I61" s="18" t="s">
        <v>12</v>
      </c>
      <c r="J61" s="34"/>
      <c r="K61" s="123">
        <v>2023</v>
      </c>
      <c r="L61" s="101">
        <v>47</v>
      </c>
      <c r="M61" s="112"/>
    </row>
    <row r="62" spans="1:13" ht="15.75">
      <c r="A62" s="124">
        <v>633</v>
      </c>
      <c r="B62" s="18" t="s">
        <v>5</v>
      </c>
      <c r="C62" s="49" t="s">
        <v>173</v>
      </c>
      <c r="D62" s="21" t="s">
        <v>1370</v>
      </c>
      <c r="E62" s="20" t="s">
        <v>13</v>
      </c>
      <c r="F62" s="18" t="str">
        <f>B62</f>
        <v>ECE</v>
      </c>
      <c r="G62" s="86">
        <v>3000</v>
      </c>
      <c r="H62" s="123">
        <v>45334</v>
      </c>
      <c r="I62" s="18" t="s">
        <v>12</v>
      </c>
      <c r="J62" s="34"/>
      <c r="K62" s="123">
        <v>2024</v>
      </c>
      <c r="L62" s="101">
        <v>47</v>
      </c>
      <c r="M62" s="112"/>
    </row>
    <row r="63" spans="1:13" ht="31.5">
      <c r="A63" s="83">
        <v>634</v>
      </c>
      <c r="B63" s="18" t="s">
        <v>5</v>
      </c>
      <c r="C63" s="49" t="s">
        <v>173</v>
      </c>
      <c r="D63" s="21" t="s">
        <v>1369</v>
      </c>
      <c r="E63" s="20" t="s">
        <v>13</v>
      </c>
      <c r="F63" s="18" t="str">
        <f>B63</f>
        <v>ECE</v>
      </c>
      <c r="G63" s="86">
        <v>1800</v>
      </c>
      <c r="H63" s="123">
        <v>45334</v>
      </c>
      <c r="I63" s="18" t="s">
        <v>12</v>
      </c>
      <c r="J63" s="34"/>
      <c r="K63" s="123">
        <v>2024</v>
      </c>
      <c r="L63" s="101">
        <v>47</v>
      </c>
      <c r="M63" s="112"/>
    </row>
    <row r="64" spans="1:13" ht="31.5">
      <c r="A64" s="124">
        <v>635</v>
      </c>
      <c r="B64" s="18" t="s">
        <v>5</v>
      </c>
      <c r="C64" s="49" t="s">
        <v>173</v>
      </c>
      <c r="D64" s="21" t="s">
        <v>1368</v>
      </c>
      <c r="E64" s="20" t="s">
        <v>16</v>
      </c>
      <c r="F64" s="18" t="str">
        <f>B64</f>
        <v>ECE</v>
      </c>
      <c r="G64" s="86">
        <v>1500</v>
      </c>
      <c r="H64" s="123">
        <v>45334</v>
      </c>
      <c r="I64" s="18" t="s">
        <v>12</v>
      </c>
      <c r="J64" s="34"/>
      <c r="K64" s="123">
        <v>2023</v>
      </c>
      <c r="L64" s="101">
        <v>47</v>
      </c>
      <c r="M64" s="112"/>
    </row>
    <row r="65" spans="1:13" ht="31.5">
      <c r="A65" s="83">
        <v>636</v>
      </c>
      <c r="B65" s="18" t="s">
        <v>5</v>
      </c>
      <c r="C65" s="49" t="s">
        <v>173</v>
      </c>
      <c r="D65" s="21" t="s">
        <v>1367</v>
      </c>
      <c r="E65" s="20" t="s">
        <v>16</v>
      </c>
      <c r="F65" s="18" t="str">
        <f>B65</f>
        <v>ECE</v>
      </c>
      <c r="G65" s="86">
        <v>3000</v>
      </c>
      <c r="H65" s="123">
        <v>45334</v>
      </c>
      <c r="I65" s="18" t="s">
        <v>12</v>
      </c>
      <c r="J65" s="34"/>
      <c r="K65" s="123">
        <v>2023</v>
      </c>
      <c r="L65" s="101">
        <v>47</v>
      </c>
      <c r="M65" s="112"/>
    </row>
    <row r="66" spans="1:13" ht="31.5">
      <c r="A66" s="124">
        <v>637</v>
      </c>
      <c r="B66" s="18" t="s">
        <v>5</v>
      </c>
      <c r="C66" s="49" t="s">
        <v>173</v>
      </c>
      <c r="D66" s="21" t="s">
        <v>1366</v>
      </c>
      <c r="E66" s="20" t="s">
        <v>16</v>
      </c>
      <c r="F66" s="18" t="str">
        <f>B66</f>
        <v>ECE</v>
      </c>
      <c r="G66" s="86">
        <v>1800</v>
      </c>
      <c r="H66" s="123">
        <v>45334</v>
      </c>
      <c r="I66" s="18" t="s">
        <v>12</v>
      </c>
      <c r="J66" s="34"/>
      <c r="K66" s="123">
        <v>2023</v>
      </c>
      <c r="L66" s="101">
        <v>47</v>
      </c>
      <c r="M66" s="112"/>
    </row>
    <row r="67" spans="1:13" ht="15.75">
      <c r="A67" s="83">
        <v>638</v>
      </c>
      <c r="B67" s="18" t="s">
        <v>5</v>
      </c>
      <c r="C67" s="49" t="s">
        <v>178</v>
      </c>
      <c r="D67" s="21" t="s">
        <v>166</v>
      </c>
      <c r="E67" s="20" t="s">
        <v>193</v>
      </c>
      <c r="F67" s="18" t="str">
        <f>B67</f>
        <v>ECE</v>
      </c>
      <c r="G67" s="86">
        <v>2000</v>
      </c>
      <c r="H67" s="123">
        <v>45334</v>
      </c>
      <c r="I67" s="18" t="s">
        <v>12</v>
      </c>
      <c r="J67" s="34"/>
      <c r="K67" s="123"/>
      <c r="L67" s="101">
        <v>47</v>
      </c>
      <c r="M67" s="112"/>
    </row>
    <row r="68" spans="1:13" ht="15.75">
      <c r="A68" s="124">
        <v>639</v>
      </c>
      <c r="B68" s="18" t="s">
        <v>5</v>
      </c>
      <c r="C68" s="49" t="s">
        <v>170</v>
      </c>
      <c r="D68" s="21" t="s">
        <v>166</v>
      </c>
      <c r="E68" s="20" t="s">
        <v>193</v>
      </c>
      <c r="F68" s="18" t="str">
        <f>B68</f>
        <v>ECE</v>
      </c>
      <c r="G68" s="86">
        <v>2000</v>
      </c>
      <c r="H68" s="123">
        <v>45334</v>
      </c>
      <c r="I68" s="18" t="s">
        <v>12</v>
      </c>
      <c r="J68" s="34"/>
      <c r="K68" s="123"/>
      <c r="L68" s="101">
        <v>47</v>
      </c>
      <c r="M68" s="112"/>
    </row>
    <row r="69" spans="1:13" ht="15.75">
      <c r="A69" s="83">
        <v>640</v>
      </c>
      <c r="B69" s="18" t="s">
        <v>5</v>
      </c>
      <c r="C69" s="49" t="s">
        <v>296</v>
      </c>
      <c r="D69" s="21" t="s">
        <v>1365</v>
      </c>
      <c r="E69" s="20" t="s">
        <v>16</v>
      </c>
      <c r="F69" s="18" t="str">
        <f>B69</f>
        <v>ECE</v>
      </c>
      <c r="G69" s="86">
        <v>3000</v>
      </c>
      <c r="H69" s="123">
        <v>45334</v>
      </c>
      <c r="I69" s="18" t="s">
        <v>12</v>
      </c>
      <c r="J69" s="34"/>
      <c r="K69" s="123"/>
      <c r="L69" s="101">
        <v>47</v>
      </c>
      <c r="M69" s="112"/>
    </row>
    <row r="70" spans="1:13" ht="15.75">
      <c r="A70" s="124">
        <v>641</v>
      </c>
      <c r="B70" s="18" t="s">
        <v>5</v>
      </c>
      <c r="C70" s="49" t="s">
        <v>296</v>
      </c>
      <c r="D70" s="21" t="s">
        <v>1364</v>
      </c>
      <c r="E70" s="20" t="s">
        <v>16</v>
      </c>
      <c r="F70" s="18" t="str">
        <f>B70</f>
        <v>ECE</v>
      </c>
      <c r="G70" s="86">
        <v>3000</v>
      </c>
      <c r="H70" s="123">
        <v>45334</v>
      </c>
      <c r="I70" s="18" t="s">
        <v>12</v>
      </c>
      <c r="J70" s="34"/>
      <c r="K70" s="123"/>
      <c r="L70" s="101">
        <v>47</v>
      </c>
      <c r="M70" s="112"/>
    </row>
    <row r="71" spans="1:13" ht="31.5">
      <c r="A71" s="83">
        <v>642</v>
      </c>
      <c r="B71" s="18" t="s">
        <v>5</v>
      </c>
      <c r="C71" s="49" t="s">
        <v>296</v>
      </c>
      <c r="D71" s="21" t="s">
        <v>1363</v>
      </c>
      <c r="E71" s="20" t="s">
        <v>16</v>
      </c>
      <c r="F71" s="18" t="str">
        <f>B71</f>
        <v>ECE</v>
      </c>
      <c r="G71" s="86">
        <v>3000</v>
      </c>
      <c r="H71" s="123">
        <v>45334</v>
      </c>
      <c r="I71" s="18" t="s">
        <v>12</v>
      </c>
      <c r="J71" s="34"/>
      <c r="K71" s="123"/>
      <c r="L71" s="101">
        <v>47</v>
      </c>
      <c r="M71" s="112"/>
    </row>
    <row r="72" spans="1:13" ht="31.5">
      <c r="A72" s="124">
        <v>643</v>
      </c>
      <c r="B72" s="18" t="s">
        <v>5</v>
      </c>
      <c r="C72" s="49" t="s">
        <v>50</v>
      </c>
      <c r="D72" s="21" t="s">
        <v>1362</v>
      </c>
      <c r="E72" s="20" t="s">
        <v>16</v>
      </c>
      <c r="F72" s="18" t="str">
        <f>B72</f>
        <v>ECE</v>
      </c>
      <c r="G72" s="86">
        <v>3000</v>
      </c>
      <c r="H72" s="123">
        <v>45334</v>
      </c>
      <c r="I72" s="18"/>
      <c r="J72" s="34"/>
      <c r="K72" s="123"/>
      <c r="L72" s="101">
        <v>47</v>
      </c>
      <c r="M72" s="112"/>
    </row>
    <row r="73" spans="1:13" ht="63">
      <c r="A73" s="83">
        <v>644</v>
      </c>
      <c r="B73" s="18" t="s">
        <v>184</v>
      </c>
      <c r="C73" s="49" t="s">
        <v>48</v>
      </c>
      <c r="D73" s="21" t="s">
        <v>1361</v>
      </c>
      <c r="E73" s="20" t="s">
        <v>13</v>
      </c>
      <c r="F73" s="18" t="str">
        <f>B73</f>
        <v>MECH</v>
      </c>
      <c r="G73" s="86">
        <v>1800</v>
      </c>
      <c r="H73" s="123">
        <v>45334</v>
      </c>
      <c r="I73" s="18" t="s">
        <v>12</v>
      </c>
      <c r="J73" s="34"/>
      <c r="K73" s="123"/>
      <c r="L73" s="101">
        <v>47</v>
      </c>
      <c r="M73" s="112"/>
    </row>
    <row r="74" spans="1:13" ht="15.75">
      <c r="A74" s="124">
        <v>645</v>
      </c>
      <c r="B74" s="18" t="s">
        <v>184</v>
      </c>
      <c r="C74" s="49" t="s">
        <v>48</v>
      </c>
      <c r="D74" s="21" t="s">
        <v>239</v>
      </c>
      <c r="E74" s="20" t="s">
        <v>193</v>
      </c>
      <c r="F74" s="18" t="str">
        <f>B74</f>
        <v>MECH</v>
      </c>
      <c r="G74" s="86">
        <v>6000</v>
      </c>
      <c r="H74" s="123">
        <v>45334</v>
      </c>
      <c r="I74" s="18" t="s">
        <v>12</v>
      </c>
      <c r="J74" s="34"/>
      <c r="K74" s="123"/>
      <c r="L74" s="101">
        <v>47</v>
      </c>
      <c r="M74" s="112"/>
    </row>
    <row r="75" spans="1:13" ht="47.25">
      <c r="A75" s="83">
        <v>646</v>
      </c>
      <c r="B75" s="18" t="s">
        <v>184</v>
      </c>
      <c r="C75" s="49" t="s">
        <v>99</v>
      </c>
      <c r="D75" s="21" t="s">
        <v>1360</v>
      </c>
      <c r="E75" s="20" t="s">
        <v>23</v>
      </c>
      <c r="F75" s="18" t="str">
        <f>B75</f>
        <v>MECH</v>
      </c>
      <c r="G75" s="86">
        <v>10000</v>
      </c>
      <c r="H75" s="123">
        <v>45334</v>
      </c>
      <c r="I75" s="18" t="s">
        <v>12</v>
      </c>
      <c r="J75" s="34"/>
      <c r="K75" s="123"/>
      <c r="L75" s="101">
        <v>47</v>
      </c>
      <c r="M75" s="112"/>
    </row>
    <row r="76" spans="1:13" ht="31.5">
      <c r="A76" s="124">
        <v>647</v>
      </c>
      <c r="B76" s="18" t="s">
        <v>184</v>
      </c>
      <c r="C76" s="49" t="s">
        <v>99</v>
      </c>
      <c r="D76" s="21" t="s">
        <v>1359</v>
      </c>
      <c r="E76" s="20" t="s">
        <v>13</v>
      </c>
      <c r="F76" s="18" t="str">
        <f>B76</f>
        <v>MECH</v>
      </c>
      <c r="G76" s="86">
        <v>5000</v>
      </c>
      <c r="H76" s="123">
        <v>45334</v>
      </c>
      <c r="I76" s="18" t="s">
        <v>12</v>
      </c>
      <c r="J76" s="34"/>
      <c r="K76" s="123"/>
      <c r="L76" s="101">
        <v>47</v>
      </c>
      <c r="M76" s="112"/>
    </row>
    <row r="77" spans="1:13" ht="31.5">
      <c r="A77" s="83">
        <v>648</v>
      </c>
      <c r="B77" s="87" t="s">
        <v>184</v>
      </c>
      <c r="C77" s="129" t="s">
        <v>209</v>
      </c>
      <c r="D77" s="128" t="s">
        <v>1358</v>
      </c>
      <c r="E77" s="127" t="s">
        <v>13</v>
      </c>
      <c r="F77" s="124" t="s">
        <v>184</v>
      </c>
      <c r="G77" s="87">
        <v>5000</v>
      </c>
      <c r="H77" s="123">
        <v>45334</v>
      </c>
      <c r="I77" s="87" t="s">
        <v>12</v>
      </c>
      <c r="J77" s="126"/>
      <c r="K77" s="123"/>
      <c r="L77" s="101">
        <v>47</v>
      </c>
      <c r="M77" s="125"/>
    </row>
    <row r="78" spans="1:13" ht="63">
      <c r="A78" s="124">
        <v>649</v>
      </c>
      <c r="B78" s="18" t="s">
        <v>1</v>
      </c>
      <c r="C78" s="49" t="s">
        <v>45</v>
      </c>
      <c r="D78" s="21" t="s">
        <v>1357</v>
      </c>
      <c r="E78" s="20" t="s">
        <v>13</v>
      </c>
      <c r="F78" s="18" t="str">
        <f>B78</f>
        <v>S&amp;H</v>
      </c>
      <c r="G78" s="86">
        <v>5000</v>
      </c>
      <c r="H78" s="123">
        <v>45334</v>
      </c>
      <c r="I78" s="87" t="s">
        <v>12</v>
      </c>
      <c r="J78" s="34"/>
      <c r="K78" s="123"/>
      <c r="L78" s="101">
        <v>47</v>
      </c>
      <c r="M78" s="112"/>
    </row>
    <row r="79" spans="1:13" ht="15.75">
      <c r="A79" s="83">
        <v>650</v>
      </c>
      <c r="B79" s="18" t="s">
        <v>1</v>
      </c>
      <c r="C79" s="49" t="s">
        <v>126</v>
      </c>
      <c r="D79" s="21" t="s">
        <v>239</v>
      </c>
      <c r="E79" s="20" t="s">
        <v>193</v>
      </c>
      <c r="F79" s="18" t="str">
        <f>B79</f>
        <v>S&amp;H</v>
      </c>
      <c r="G79" s="86">
        <v>6000</v>
      </c>
      <c r="H79" s="123">
        <v>45334</v>
      </c>
      <c r="I79" s="87" t="s">
        <v>12</v>
      </c>
      <c r="J79" s="34"/>
      <c r="K79" s="123"/>
      <c r="L79" s="101">
        <v>47</v>
      </c>
      <c r="M79" s="112"/>
    </row>
    <row r="80" spans="1:13" ht="15.75">
      <c r="A80" s="124">
        <v>651</v>
      </c>
      <c r="B80" s="18" t="s">
        <v>1</v>
      </c>
      <c r="C80" s="49" t="s">
        <v>140</v>
      </c>
      <c r="D80" s="21" t="s">
        <v>166</v>
      </c>
      <c r="E80" s="20" t="s">
        <v>193</v>
      </c>
      <c r="F80" s="18" t="str">
        <f>B80</f>
        <v>S&amp;H</v>
      </c>
      <c r="G80" s="86">
        <v>2000</v>
      </c>
      <c r="H80" s="123">
        <v>45334</v>
      </c>
      <c r="I80" s="87" t="s">
        <v>12</v>
      </c>
      <c r="J80" s="34"/>
      <c r="K80" s="123"/>
      <c r="L80" s="101">
        <v>47</v>
      </c>
      <c r="M80" s="112"/>
    </row>
    <row r="81" spans="1:13" ht="31.5">
      <c r="A81" s="83">
        <v>652</v>
      </c>
      <c r="B81" s="18" t="s">
        <v>1</v>
      </c>
      <c r="C81" s="49" t="s">
        <v>786</v>
      </c>
      <c r="D81" s="21" t="s">
        <v>1356</v>
      </c>
      <c r="E81" s="20" t="s">
        <v>13</v>
      </c>
      <c r="F81" s="18" t="str">
        <f>B81</f>
        <v>S&amp;H</v>
      </c>
      <c r="G81" s="86">
        <v>3000</v>
      </c>
      <c r="H81" s="123">
        <v>45334</v>
      </c>
      <c r="I81" s="18"/>
      <c r="J81" s="34"/>
      <c r="K81" s="123"/>
      <c r="L81" s="101">
        <v>47</v>
      </c>
      <c r="M81" s="112"/>
    </row>
    <row r="82" spans="1:13" ht="47.25">
      <c r="A82" s="18">
        <v>653</v>
      </c>
      <c r="B82" s="18" t="s">
        <v>1</v>
      </c>
      <c r="C82" s="49" t="s">
        <v>163</v>
      </c>
      <c r="D82" s="21" t="s">
        <v>1355</v>
      </c>
      <c r="E82" s="20" t="s">
        <v>23</v>
      </c>
      <c r="F82" s="18" t="str">
        <f>B82</f>
        <v>S&amp;H</v>
      </c>
      <c r="G82" s="86">
        <v>6000</v>
      </c>
      <c r="H82" s="123">
        <v>45334</v>
      </c>
      <c r="I82" s="87" t="s">
        <v>12</v>
      </c>
      <c r="J82" s="34"/>
      <c r="K82" s="123"/>
      <c r="L82" s="101">
        <v>47</v>
      </c>
      <c r="M82" s="112"/>
    </row>
    <row r="83" spans="1:13" ht="15.75">
      <c r="A83" s="46"/>
      <c r="B83" s="46"/>
      <c r="C83" s="47"/>
      <c r="D83" s="46" t="s">
        <v>11</v>
      </c>
      <c r="E83" s="42"/>
      <c r="F83" s="90"/>
      <c r="G83" s="45">
        <f>SUM(G56:G82)</f>
        <v>115900</v>
      </c>
      <c r="H83" s="44"/>
      <c r="I83" s="42"/>
      <c r="J83" s="45">
        <f>G83</f>
        <v>115900</v>
      </c>
      <c r="K83" s="44"/>
      <c r="L83" s="46">
        <v>47</v>
      </c>
      <c r="M83" s="88"/>
    </row>
    <row r="84" spans="1:13" ht="31.5">
      <c r="A84" s="83">
        <v>654</v>
      </c>
      <c r="B84" s="18" t="s">
        <v>36</v>
      </c>
      <c r="C84" s="116" t="s">
        <v>1295</v>
      </c>
      <c r="D84" s="21" t="s">
        <v>1354</v>
      </c>
      <c r="E84" s="20" t="s">
        <v>16</v>
      </c>
      <c r="F84" s="18" t="str">
        <f>B84</f>
        <v>AIDS</v>
      </c>
      <c r="G84" s="86">
        <v>1800</v>
      </c>
      <c r="H84" s="92">
        <v>45352</v>
      </c>
      <c r="I84" s="29"/>
      <c r="J84" s="34"/>
      <c r="K84" s="92">
        <v>2023</v>
      </c>
      <c r="L84" s="18">
        <v>48</v>
      </c>
      <c r="M84" s="112"/>
    </row>
    <row r="85" spans="1:13" ht="47.25">
      <c r="A85" s="83">
        <v>655</v>
      </c>
      <c r="B85" s="18" t="s">
        <v>5</v>
      </c>
      <c r="C85" s="116" t="s">
        <v>72</v>
      </c>
      <c r="D85" s="21" t="s">
        <v>1353</v>
      </c>
      <c r="E85" s="20" t="s">
        <v>23</v>
      </c>
      <c r="F85" s="18" t="str">
        <f>B85</f>
        <v>ECE</v>
      </c>
      <c r="G85" s="86">
        <v>12000</v>
      </c>
      <c r="H85" s="92">
        <v>45352</v>
      </c>
      <c r="I85" s="33" t="s">
        <v>12</v>
      </c>
      <c r="J85" s="34"/>
      <c r="K85" s="92">
        <v>2024</v>
      </c>
      <c r="L85" s="18">
        <v>48</v>
      </c>
      <c r="M85" s="112"/>
    </row>
    <row r="86" spans="1:13" ht="15.75">
      <c r="A86" s="83">
        <v>656</v>
      </c>
      <c r="B86" s="18" t="s">
        <v>5</v>
      </c>
      <c r="C86" s="116" t="s">
        <v>72</v>
      </c>
      <c r="D86" s="21" t="s">
        <v>198</v>
      </c>
      <c r="E86" s="20" t="s">
        <v>193</v>
      </c>
      <c r="F86" s="18" t="str">
        <f>B86</f>
        <v>ECE</v>
      </c>
      <c r="G86" s="86">
        <v>4000</v>
      </c>
      <c r="H86" s="92">
        <v>45352</v>
      </c>
      <c r="I86" s="33" t="s">
        <v>12</v>
      </c>
      <c r="J86" s="34"/>
      <c r="K86" s="92">
        <v>2024</v>
      </c>
      <c r="L86" s="18">
        <v>48</v>
      </c>
      <c r="M86" s="112"/>
    </row>
    <row r="87" spans="1:13" ht="31.5">
      <c r="A87" s="83">
        <v>657</v>
      </c>
      <c r="B87" s="18" t="s">
        <v>5</v>
      </c>
      <c r="C87" s="116" t="s">
        <v>269</v>
      </c>
      <c r="D87" s="21" t="s">
        <v>1352</v>
      </c>
      <c r="E87" s="20" t="s">
        <v>16</v>
      </c>
      <c r="F87" s="18" t="str">
        <f>B87</f>
        <v>ECE</v>
      </c>
      <c r="G87" s="86">
        <v>900</v>
      </c>
      <c r="H87" s="92">
        <v>45352</v>
      </c>
      <c r="I87" s="33" t="s">
        <v>12</v>
      </c>
      <c r="J87" s="34"/>
      <c r="K87" s="92">
        <v>2024</v>
      </c>
      <c r="L87" s="18">
        <v>48</v>
      </c>
      <c r="M87" s="112"/>
    </row>
    <row r="88" spans="1:13" ht="31.5">
      <c r="A88" s="83">
        <v>658</v>
      </c>
      <c r="B88" s="18" t="s">
        <v>5</v>
      </c>
      <c r="C88" s="116" t="s">
        <v>214</v>
      </c>
      <c r="D88" s="21" t="s">
        <v>1351</v>
      </c>
      <c r="E88" s="20" t="s">
        <v>23</v>
      </c>
      <c r="F88" s="18" t="str">
        <f>B88</f>
        <v>ECE</v>
      </c>
      <c r="G88" s="86">
        <v>10000</v>
      </c>
      <c r="H88" s="92">
        <v>45352</v>
      </c>
      <c r="I88" s="33" t="s">
        <v>12</v>
      </c>
      <c r="J88" s="34"/>
      <c r="K88" s="92">
        <v>2024</v>
      </c>
      <c r="L88" s="18">
        <v>48</v>
      </c>
      <c r="M88" s="112"/>
    </row>
    <row r="89" spans="1:13" ht="47.25">
      <c r="A89" s="83">
        <v>659</v>
      </c>
      <c r="B89" s="18" t="s">
        <v>5</v>
      </c>
      <c r="C89" s="116" t="s">
        <v>214</v>
      </c>
      <c r="D89" s="21" t="s">
        <v>1350</v>
      </c>
      <c r="E89" s="20" t="s">
        <v>23</v>
      </c>
      <c r="F89" s="18" t="str">
        <f>B89</f>
        <v>ECE</v>
      </c>
      <c r="G89" s="86">
        <v>10000</v>
      </c>
      <c r="H89" s="92">
        <v>45352</v>
      </c>
      <c r="I89" s="33" t="s">
        <v>12</v>
      </c>
      <c r="J89" s="34"/>
      <c r="K89" s="92">
        <v>2024</v>
      </c>
      <c r="L89" s="18">
        <v>48</v>
      </c>
      <c r="M89" s="112"/>
    </row>
    <row r="90" spans="1:13" ht="31.5">
      <c r="A90" s="83">
        <v>660</v>
      </c>
      <c r="B90" s="18" t="s">
        <v>5</v>
      </c>
      <c r="C90" s="116" t="s">
        <v>214</v>
      </c>
      <c r="D90" s="21" t="s">
        <v>1349</v>
      </c>
      <c r="E90" s="20" t="s">
        <v>16</v>
      </c>
      <c r="F90" s="18" t="str">
        <f>B90</f>
        <v>ECE</v>
      </c>
      <c r="G90" s="86">
        <v>1500</v>
      </c>
      <c r="H90" s="92">
        <v>45352</v>
      </c>
      <c r="I90" s="33" t="s">
        <v>12</v>
      </c>
      <c r="J90" s="34"/>
      <c r="K90" s="92">
        <v>2024</v>
      </c>
      <c r="L90" s="18">
        <v>48</v>
      </c>
      <c r="M90" s="112"/>
    </row>
    <row r="91" spans="1:13" ht="47.25">
      <c r="A91" s="83">
        <v>661</v>
      </c>
      <c r="B91" s="18" t="s">
        <v>5</v>
      </c>
      <c r="C91" s="116" t="s">
        <v>296</v>
      </c>
      <c r="D91" s="21" t="s">
        <v>1348</v>
      </c>
      <c r="E91" s="20" t="s">
        <v>16</v>
      </c>
      <c r="F91" s="18" t="str">
        <f>B91</f>
        <v>ECE</v>
      </c>
      <c r="G91" s="86">
        <v>1800</v>
      </c>
      <c r="H91" s="92">
        <v>45352</v>
      </c>
      <c r="I91" s="33" t="s">
        <v>12</v>
      </c>
      <c r="J91" s="34"/>
      <c r="K91" s="92">
        <v>2024</v>
      </c>
      <c r="L91" s="18">
        <v>48</v>
      </c>
      <c r="M91" s="112"/>
    </row>
    <row r="92" spans="1:13" ht="31.5">
      <c r="A92" s="83">
        <v>662</v>
      </c>
      <c r="B92" s="18" t="s">
        <v>5</v>
      </c>
      <c r="C92" s="116" t="s">
        <v>901</v>
      </c>
      <c r="D92" s="21" t="s">
        <v>1347</v>
      </c>
      <c r="E92" s="20" t="s">
        <v>23</v>
      </c>
      <c r="F92" s="18" t="str">
        <f>B92</f>
        <v>ECE</v>
      </c>
      <c r="G92" s="86">
        <v>6000</v>
      </c>
      <c r="H92" s="92">
        <v>45352</v>
      </c>
      <c r="I92" s="33" t="s">
        <v>12</v>
      </c>
      <c r="J92" s="34"/>
      <c r="K92" s="92">
        <v>2023</v>
      </c>
      <c r="L92" s="18">
        <v>48</v>
      </c>
      <c r="M92" s="112"/>
    </row>
    <row r="93" spans="1:13" ht="47.25">
      <c r="A93" s="83">
        <v>663</v>
      </c>
      <c r="B93" s="18" t="s">
        <v>4</v>
      </c>
      <c r="C93" s="116" t="s">
        <v>856</v>
      </c>
      <c r="D93" s="21" t="s">
        <v>1346</v>
      </c>
      <c r="E93" s="20" t="s">
        <v>324</v>
      </c>
      <c r="F93" s="18" t="str">
        <f>B93</f>
        <v>EEE</v>
      </c>
      <c r="G93" s="86">
        <v>3000</v>
      </c>
      <c r="H93" s="48">
        <v>45352</v>
      </c>
      <c r="I93" s="33" t="s">
        <v>12</v>
      </c>
      <c r="J93" s="34"/>
      <c r="K93" s="48">
        <v>2024</v>
      </c>
      <c r="L93" s="18">
        <v>48</v>
      </c>
      <c r="M93" s="112"/>
    </row>
    <row r="94" spans="1:13" ht="47.25">
      <c r="A94" s="83">
        <v>664</v>
      </c>
      <c r="B94" s="18" t="s">
        <v>3</v>
      </c>
      <c r="C94" s="116" t="s">
        <v>673</v>
      </c>
      <c r="D94" s="21" t="s">
        <v>1345</v>
      </c>
      <c r="E94" s="20" t="s">
        <v>23</v>
      </c>
      <c r="F94" s="18" t="str">
        <f>B94</f>
        <v>IT</v>
      </c>
      <c r="G94" s="86">
        <v>6000</v>
      </c>
      <c r="H94" s="48">
        <v>45352</v>
      </c>
      <c r="I94" s="33"/>
      <c r="J94" s="34"/>
      <c r="K94" s="48">
        <v>2024</v>
      </c>
      <c r="L94" s="18">
        <v>48</v>
      </c>
      <c r="M94" s="112"/>
    </row>
    <row r="95" spans="1:13" ht="31.5">
      <c r="A95" s="83">
        <v>665</v>
      </c>
      <c r="B95" s="18" t="s">
        <v>184</v>
      </c>
      <c r="C95" s="116" t="s">
        <v>93</v>
      </c>
      <c r="D95" s="21" t="s">
        <v>1344</v>
      </c>
      <c r="E95" s="20" t="s">
        <v>23</v>
      </c>
      <c r="F95" s="18" t="str">
        <f>B95</f>
        <v>MECH</v>
      </c>
      <c r="G95" s="86">
        <v>10000</v>
      </c>
      <c r="H95" s="48">
        <v>45352</v>
      </c>
      <c r="I95" s="33" t="s">
        <v>12</v>
      </c>
      <c r="J95" s="34"/>
      <c r="K95" s="48">
        <v>2023</v>
      </c>
      <c r="L95" s="18">
        <v>48</v>
      </c>
      <c r="M95" s="112"/>
    </row>
    <row r="96" spans="1:13" ht="31.5">
      <c r="A96" s="83">
        <v>666</v>
      </c>
      <c r="B96" s="18" t="s">
        <v>184</v>
      </c>
      <c r="C96" s="116" t="s">
        <v>93</v>
      </c>
      <c r="D96" s="21" t="s">
        <v>1343</v>
      </c>
      <c r="E96" s="20" t="s">
        <v>23</v>
      </c>
      <c r="F96" s="18" t="str">
        <f>B96</f>
        <v>MECH</v>
      </c>
      <c r="G96" s="86">
        <v>10000</v>
      </c>
      <c r="H96" s="48">
        <v>45352</v>
      </c>
      <c r="I96" s="33" t="s">
        <v>12</v>
      </c>
      <c r="J96" s="34"/>
      <c r="K96" s="48">
        <v>2023</v>
      </c>
      <c r="L96" s="18">
        <v>48</v>
      </c>
      <c r="M96" s="112"/>
    </row>
    <row r="97" spans="1:13" ht="15.75">
      <c r="A97" s="83">
        <v>667</v>
      </c>
      <c r="B97" s="18" t="s">
        <v>184</v>
      </c>
      <c r="C97" s="116" t="s">
        <v>93</v>
      </c>
      <c r="D97" s="21" t="s">
        <v>239</v>
      </c>
      <c r="E97" s="20" t="s">
        <v>193</v>
      </c>
      <c r="F97" s="18" t="str">
        <f>B97</f>
        <v>MECH</v>
      </c>
      <c r="G97" s="86">
        <v>6000</v>
      </c>
      <c r="H97" s="48">
        <v>45352</v>
      </c>
      <c r="I97" s="33" t="s">
        <v>12</v>
      </c>
      <c r="J97" s="34"/>
      <c r="K97" s="48">
        <v>2024</v>
      </c>
      <c r="L97" s="18">
        <v>48</v>
      </c>
      <c r="M97" s="112"/>
    </row>
    <row r="98" spans="1:13" ht="15.75">
      <c r="A98" s="46"/>
      <c r="B98" s="46"/>
      <c r="C98" s="46"/>
      <c r="D98" s="46" t="s">
        <v>11</v>
      </c>
      <c r="E98" s="42"/>
      <c r="F98" s="90"/>
      <c r="G98" s="45">
        <f>SUM(G84:G97)</f>
        <v>83000</v>
      </c>
      <c r="H98" s="44"/>
      <c r="I98" s="42"/>
      <c r="J98" s="45">
        <f>G98</f>
        <v>83000</v>
      </c>
      <c r="K98" s="44"/>
      <c r="L98" s="46">
        <v>48</v>
      </c>
      <c r="M98" s="88"/>
    </row>
    <row r="99" spans="1:13" ht="31.5">
      <c r="A99" s="83">
        <v>668</v>
      </c>
      <c r="B99" s="18" t="s">
        <v>8</v>
      </c>
      <c r="C99" s="116" t="s">
        <v>307</v>
      </c>
      <c r="D99" s="21" t="s">
        <v>1342</v>
      </c>
      <c r="E99" s="20" t="s">
        <v>16</v>
      </c>
      <c r="F99" s="18" t="str">
        <f>B99</f>
        <v>CCE</v>
      </c>
      <c r="G99" s="86">
        <v>1500</v>
      </c>
      <c r="H99" s="123" t="s">
        <v>1264</v>
      </c>
      <c r="I99" s="87" t="s">
        <v>12</v>
      </c>
      <c r="J99" s="34"/>
      <c r="K99" s="123" t="s">
        <v>1155</v>
      </c>
      <c r="L99" s="101">
        <v>49</v>
      </c>
      <c r="M99" s="112"/>
    </row>
    <row r="100" spans="1:13" ht="47.25">
      <c r="A100" s="83">
        <v>669</v>
      </c>
      <c r="B100" s="18" t="s">
        <v>8</v>
      </c>
      <c r="C100" s="116" t="s">
        <v>34</v>
      </c>
      <c r="D100" s="21" t="s">
        <v>1341</v>
      </c>
      <c r="E100" s="20" t="s">
        <v>23</v>
      </c>
      <c r="F100" s="18" t="str">
        <f>B100</f>
        <v>CCE</v>
      </c>
      <c r="G100" s="86">
        <v>10000</v>
      </c>
      <c r="H100" s="92" t="s">
        <v>1264</v>
      </c>
      <c r="I100" s="87" t="s">
        <v>12</v>
      </c>
      <c r="J100" s="34"/>
      <c r="K100" s="92">
        <v>45567</v>
      </c>
      <c r="L100" s="101">
        <v>49</v>
      </c>
      <c r="M100" s="120"/>
    </row>
    <row r="101" spans="1:13" ht="31.5">
      <c r="A101" s="83">
        <v>670</v>
      </c>
      <c r="B101" s="18" t="s">
        <v>8</v>
      </c>
      <c r="C101" s="116" t="s">
        <v>279</v>
      </c>
      <c r="D101" s="21" t="s">
        <v>1340</v>
      </c>
      <c r="E101" s="20" t="s">
        <v>324</v>
      </c>
      <c r="F101" s="18" t="str">
        <f>B101</f>
        <v>CCE</v>
      </c>
      <c r="G101" s="86">
        <v>5000</v>
      </c>
      <c r="H101" s="92" t="s">
        <v>1264</v>
      </c>
      <c r="I101" s="87" t="s">
        <v>12</v>
      </c>
      <c r="J101" s="34"/>
      <c r="K101" s="92" t="s">
        <v>1220</v>
      </c>
      <c r="L101" s="101">
        <v>49</v>
      </c>
      <c r="M101" s="112"/>
    </row>
    <row r="102" spans="1:13" ht="31.5">
      <c r="A102" s="83">
        <v>671</v>
      </c>
      <c r="B102" s="18" t="s">
        <v>6</v>
      </c>
      <c r="C102" s="116" t="s">
        <v>507</v>
      </c>
      <c r="D102" s="21" t="s">
        <v>1339</v>
      </c>
      <c r="E102" s="20" t="s">
        <v>324</v>
      </c>
      <c r="F102" s="18" t="str">
        <f>B102</f>
        <v>CSE</v>
      </c>
      <c r="G102" s="86">
        <v>1800</v>
      </c>
      <c r="H102" s="92" t="s">
        <v>1264</v>
      </c>
      <c r="I102" s="87"/>
      <c r="J102" s="34"/>
      <c r="K102" s="92" t="s">
        <v>1338</v>
      </c>
      <c r="L102" s="101">
        <v>49</v>
      </c>
      <c r="M102" s="112"/>
    </row>
    <row r="103" spans="1:13" ht="47.25">
      <c r="A103" s="83">
        <v>672</v>
      </c>
      <c r="B103" s="18" t="s">
        <v>6</v>
      </c>
      <c r="C103" s="116" t="s">
        <v>507</v>
      </c>
      <c r="D103" s="51" t="s">
        <v>1337</v>
      </c>
      <c r="E103" s="20" t="s">
        <v>16</v>
      </c>
      <c r="F103" s="18" t="str">
        <f>B103</f>
        <v>CSE</v>
      </c>
      <c r="G103" s="86">
        <v>3000</v>
      </c>
      <c r="H103" s="92" t="s">
        <v>1264</v>
      </c>
      <c r="I103" s="87"/>
      <c r="J103" s="34"/>
      <c r="K103" s="92">
        <v>45028</v>
      </c>
      <c r="L103" s="101">
        <v>49</v>
      </c>
      <c r="M103" s="120"/>
    </row>
    <row r="104" spans="1:13" ht="47.25">
      <c r="A104" s="83">
        <v>673</v>
      </c>
      <c r="B104" s="18" t="s">
        <v>5</v>
      </c>
      <c r="C104" s="116" t="s">
        <v>170</v>
      </c>
      <c r="D104" s="21" t="s">
        <v>1336</v>
      </c>
      <c r="E104" s="20" t="s">
        <v>16</v>
      </c>
      <c r="F104" s="18" t="str">
        <f>B104</f>
        <v>ECE</v>
      </c>
      <c r="G104" s="86">
        <v>3000</v>
      </c>
      <c r="H104" s="92" t="s">
        <v>1264</v>
      </c>
      <c r="I104" s="87" t="s">
        <v>12</v>
      </c>
      <c r="J104" s="34"/>
      <c r="K104" s="92" t="s">
        <v>1216</v>
      </c>
      <c r="L104" s="101">
        <v>49</v>
      </c>
      <c r="M104" s="112"/>
    </row>
    <row r="105" spans="1:13" ht="15.75">
      <c r="A105" s="83">
        <v>674</v>
      </c>
      <c r="B105" s="18" t="s">
        <v>5</v>
      </c>
      <c r="C105" s="116" t="s">
        <v>170</v>
      </c>
      <c r="D105" s="21" t="s">
        <v>166</v>
      </c>
      <c r="E105" s="20" t="s">
        <v>193</v>
      </c>
      <c r="F105" s="18" t="str">
        <f>B105</f>
        <v>ECE</v>
      </c>
      <c r="G105" s="86">
        <v>2000</v>
      </c>
      <c r="H105" s="92">
        <v>45365</v>
      </c>
      <c r="I105" s="87" t="s">
        <v>12</v>
      </c>
      <c r="J105" s="34"/>
      <c r="K105" s="92">
        <v>45415</v>
      </c>
      <c r="L105" s="101">
        <v>49</v>
      </c>
      <c r="M105" s="120"/>
    </row>
    <row r="106" spans="1:13" ht="15.75">
      <c r="A106" s="83">
        <v>675</v>
      </c>
      <c r="B106" s="18" t="s">
        <v>5</v>
      </c>
      <c r="C106" s="116" t="s">
        <v>170</v>
      </c>
      <c r="D106" s="21" t="s">
        <v>239</v>
      </c>
      <c r="E106" s="20" t="s">
        <v>193</v>
      </c>
      <c r="F106" s="18" t="str">
        <f>B106</f>
        <v>ECE</v>
      </c>
      <c r="G106" s="86">
        <v>6000</v>
      </c>
      <c r="H106" s="92">
        <v>45365</v>
      </c>
      <c r="I106" s="87" t="s">
        <v>12</v>
      </c>
      <c r="J106" s="34"/>
      <c r="K106" s="92" t="s">
        <v>1318</v>
      </c>
      <c r="L106" s="101">
        <v>49</v>
      </c>
      <c r="M106" s="112"/>
    </row>
    <row r="107" spans="1:13" ht="31.5">
      <c r="A107" s="83">
        <v>676</v>
      </c>
      <c r="B107" s="18" t="s">
        <v>5</v>
      </c>
      <c r="C107" s="116" t="s">
        <v>831</v>
      </c>
      <c r="D107" s="21" t="s">
        <v>1335</v>
      </c>
      <c r="E107" s="20" t="s">
        <v>23</v>
      </c>
      <c r="F107" s="18" t="str">
        <f>B107</f>
        <v>ECE</v>
      </c>
      <c r="G107" s="86">
        <v>6000</v>
      </c>
      <c r="H107" s="92" t="s">
        <v>1264</v>
      </c>
      <c r="I107" s="87" t="s">
        <v>12</v>
      </c>
      <c r="J107" s="34"/>
      <c r="K107" s="92">
        <v>45292</v>
      </c>
      <c r="L107" s="101">
        <v>49</v>
      </c>
      <c r="M107" s="122"/>
    </row>
    <row r="108" spans="1:13" ht="31.5">
      <c r="A108" s="83">
        <v>677</v>
      </c>
      <c r="B108" s="18" t="s">
        <v>5</v>
      </c>
      <c r="C108" s="116" t="s">
        <v>831</v>
      </c>
      <c r="D108" s="21" t="s">
        <v>1334</v>
      </c>
      <c r="E108" s="20" t="s">
        <v>187</v>
      </c>
      <c r="F108" s="18" t="str">
        <f>B108</f>
        <v>ECE</v>
      </c>
      <c r="G108" s="86">
        <v>1800</v>
      </c>
      <c r="H108" s="92" t="s">
        <v>1264</v>
      </c>
      <c r="I108" s="87" t="s">
        <v>12</v>
      </c>
      <c r="J108" s="34"/>
      <c r="K108" s="92">
        <v>45261</v>
      </c>
      <c r="L108" s="101">
        <v>49</v>
      </c>
      <c r="M108" s="122"/>
    </row>
    <row r="109" spans="1:13" ht="47.25">
      <c r="A109" s="83">
        <v>678</v>
      </c>
      <c r="B109" s="18" t="s">
        <v>5</v>
      </c>
      <c r="C109" s="116" t="s">
        <v>173</v>
      </c>
      <c r="D109" s="21" t="s">
        <v>1333</v>
      </c>
      <c r="E109" s="20" t="s">
        <v>23</v>
      </c>
      <c r="F109" s="18" t="str">
        <f>B109</f>
        <v>ECE</v>
      </c>
      <c r="G109" s="86">
        <v>10000</v>
      </c>
      <c r="H109" s="92" t="s">
        <v>1264</v>
      </c>
      <c r="I109" s="87" t="s">
        <v>12</v>
      </c>
      <c r="J109" s="34"/>
      <c r="K109" s="92" t="s">
        <v>1220</v>
      </c>
      <c r="L109" s="101">
        <v>49</v>
      </c>
      <c r="M109" s="112"/>
    </row>
    <row r="110" spans="1:13" ht="31.5">
      <c r="A110" s="83">
        <v>679</v>
      </c>
      <c r="B110" s="18" t="s">
        <v>5</v>
      </c>
      <c r="C110" s="116" t="s">
        <v>173</v>
      </c>
      <c r="D110" s="21" t="s">
        <v>1332</v>
      </c>
      <c r="E110" s="20" t="s">
        <v>23</v>
      </c>
      <c r="F110" s="18" t="str">
        <f>B110</f>
        <v>ECE</v>
      </c>
      <c r="G110" s="86">
        <v>10000</v>
      </c>
      <c r="H110" s="92" t="s">
        <v>1264</v>
      </c>
      <c r="I110" s="87" t="s">
        <v>12</v>
      </c>
      <c r="J110" s="34"/>
      <c r="K110" s="92" t="s">
        <v>1311</v>
      </c>
      <c r="L110" s="101">
        <v>49</v>
      </c>
      <c r="M110" s="112"/>
    </row>
    <row r="111" spans="1:13" ht="31.5">
      <c r="A111" s="83">
        <v>680</v>
      </c>
      <c r="B111" s="18" t="s">
        <v>5</v>
      </c>
      <c r="C111" s="116" t="s">
        <v>173</v>
      </c>
      <c r="D111" s="21" t="s">
        <v>1331</v>
      </c>
      <c r="E111" s="20" t="s">
        <v>23</v>
      </c>
      <c r="F111" s="18" t="str">
        <f>B111</f>
        <v>ECE</v>
      </c>
      <c r="G111" s="86">
        <v>6000</v>
      </c>
      <c r="H111" s="92" t="s">
        <v>1264</v>
      </c>
      <c r="I111" s="87" t="s">
        <v>12</v>
      </c>
      <c r="J111" s="34"/>
      <c r="K111" s="92" t="s">
        <v>1330</v>
      </c>
      <c r="L111" s="101">
        <v>49</v>
      </c>
      <c r="M111" s="112"/>
    </row>
    <row r="112" spans="1:13" ht="31.5">
      <c r="A112" s="83">
        <v>681</v>
      </c>
      <c r="B112" s="18" t="s">
        <v>5</v>
      </c>
      <c r="C112" s="116" t="s">
        <v>296</v>
      </c>
      <c r="D112" s="21" t="s">
        <v>1329</v>
      </c>
      <c r="E112" s="20" t="s">
        <v>16</v>
      </c>
      <c r="F112" s="18" t="str">
        <f>B112</f>
        <v>ECE</v>
      </c>
      <c r="G112" s="86">
        <v>3000</v>
      </c>
      <c r="H112" s="92" t="s">
        <v>1264</v>
      </c>
      <c r="I112" s="87" t="s">
        <v>12</v>
      </c>
      <c r="J112" s="34"/>
      <c r="K112" s="92" t="s">
        <v>1328</v>
      </c>
      <c r="L112" s="101">
        <v>49</v>
      </c>
      <c r="M112" s="112"/>
    </row>
    <row r="113" spans="1:13" ht="15.75">
      <c r="A113" s="83">
        <v>682</v>
      </c>
      <c r="B113" s="18" t="s">
        <v>5</v>
      </c>
      <c r="C113" s="116" t="s">
        <v>175</v>
      </c>
      <c r="D113" s="21" t="s">
        <v>1327</v>
      </c>
      <c r="E113" s="20" t="s">
        <v>16</v>
      </c>
      <c r="F113" s="18" t="str">
        <f>B113</f>
        <v>ECE</v>
      </c>
      <c r="G113" s="86">
        <v>3000</v>
      </c>
      <c r="H113" s="92" t="s">
        <v>1264</v>
      </c>
      <c r="I113" s="87" t="s">
        <v>12</v>
      </c>
      <c r="J113" s="34"/>
      <c r="K113" s="92" t="s">
        <v>1315</v>
      </c>
      <c r="L113" s="101">
        <v>49</v>
      </c>
      <c r="M113" s="112"/>
    </row>
    <row r="114" spans="1:13" ht="15.75">
      <c r="A114" s="83">
        <v>683</v>
      </c>
      <c r="B114" s="18" t="s">
        <v>5</v>
      </c>
      <c r="C114" s="116" t="s">
        <v>178</v>
      </c>
      <c r="D114" s="21" t="s">
        <v>166</v>
      </c>
      <c r="E114" s="20" t="s">
        <v>193</v>
      </c>
      <c r="F114" s="18" t="str">
        <f>B114</f>
        <v>ECE</v>
      </c>
      <c r="G114" s="86">
        <v>2000</v>
      </c>
      <c r="H114" s="92" t="s">
        <v>1264</v>
      </c>
      <c r="I114" s="87" t="s">
        <v>12</v>
      </c>
      <c r="J114" s="34"/>
      <c r="K114" s="92">
        <v>45446</v>
      </c>
      <c r="L114" s="101">
        <v>49</v>
      </c>
      <c r="M114" s="120"/>
    </row>
    <row r="115" spans="1:13" ht="63">
      <c r="A115" s="83">
        <v>684</v>
      </c>
      <c r="B115" s="18" t="s">
        <v>2</v>
      </c>
      <c r="C115" s="116" t="s">
        <v>74</v>
      </c>
      <c r="D115" s="21" t="s">
        <v>1326</v>
      </c>
      <c r="E115" s="20" t="s">
        <v>23</v>
      </c>
      <c r="F115" s="18" t="str">
        <f>B115</f>
        <v>Mech</v>
      </c>
      <c r="G115" s="86">
        <v>6000</v>
      </c>
      <c r="H115" s="92" t="s">
        <v>1264</v>
      </c>
      <c r="I115" s="87" t="s">
        <v>12</v>
      </c>
      <c r="J115" s="34"/>
      <c r="K115" s="92" t="s">
        <v>1325</v>
      </c>
      <c r="L115" s="101">
        <v>49</v>
      </c>
      <c r="M115" s="112"/>
    </row>
    <row r="116" spans="1:13" ht="31.5">
      <c r="A116" s="83">
        <v>685</v>
      </c>
      <c r="B116" s="18" t="s">
        <v>2</v>
      </c>
      <c r="C116" s="116" t="s">
        <v>74</v>
      </c>
      <c r="D116" s="21" t="s">
        <v>1324</v>
      </c>
      <c r="E116" s="20" t="s">
        <v>23</v>
      </c>
      <c r="F116" s="18" t="str">
        <f>B116</f>
        <v>Mech</v>
      </c>
      <c r="G116" s="86">
        <v>6000</v>
      </c>
      <c r="H116" s="92" t="s">
        <v>1264</v>
      </c>
      <c r="I116" s="87" t="s">
        <v>12</v>
      </c>
      <c r="J116" s="34"/>
      <c r="K116" s="92" t="s">
        <v>1323</v>
      </c>
      <c r="L116" s="101">
        <v>49</v>
      </c>
      <c r="M116" s="112"/>
    </row>
    <row r="117" spans="1:13" ht="15.75">
      <c r="A117" s="83">
        <v>686</v>
      </c>
      <c r="B117" s="18" t="s">
        <v>2</v>
      </c>
      <c r="C117" s="116" t="s">
        <v>74</v>
      </c>
      <c r="D117" s="21" t="s">
        <v>319</v>
      </c>
      <c r="E117" s="20" t="s">
        <v>193</v>
      </c>
      <c r="F117" s="18" t="str">
        <f>B117</f>
        <v>Mech</v>
      </c>
      <c r="G117" s="86">
        <v>8000</v>
      </c>
      <c r="H117" s="92" t="s">
        <v>1264</v>
      </c>
      <c r="I117" s="87" t="s">
        <v>12</v>
      </c>
      <c r="J117" s="34"/>
      <c r="K117" s="92" t="s">
        <v>1318</v>
      </c>
      <c r="L117" s="101">
        <v>49</v>
      </c>
      <c r="M117" s="112"/>
    </row>
    <row r="118" spans="1:13" ht="15.75">
      <c r="A118" s="83">
        <v>687</v>
      </c>
      <c r="B118" s="18" t="s">
        <v>1</v>
      </c>
      <c r="C118" s="116" t="s">
        <v>167</v>
      </c>
      <c r="D118" s="21" t="s">
        <v>166</v>
      </c>
      <c r="E118" s="20" t="s">
        <v>193</v>
      </c>
      <c r="F118" s="18" t="str">
        <f>B118</f>
        <v>S&amp;H</v>
      </c>
      <c r="G118" s="86">
        <v>2000</v>
      </c>
      <c r="H118" s="92" t="s">
        <v>1264</v>
      </c>
      <c r="I118" s="87" t="s">
        <v>12</v>
      </c>
      <c r="J118" s="34"/>
      <c r="K118" s="92" t="s">
        <v>1281</v>
      </c>
      <c r="L118" s="101">
        <v>49</v>
      </c>
      <c r="M118" s="112"/>
    </row>
    <row r="119" spans="1:13" ht="47.25">
      <c r="A119" s="83">
        <v>688</v>
      </c>
      <c r="B119" s="18" t="s">
        <v>0</v>
      </c>
      <c r="C119" s="116" t="s">
        <v>249</v>
      </c>
      <c r="D119" s="21" t="s">
        <v>1322</v>
      </c>
      <c r="E119" s="20" t="s">
        <v>324</v>
      </c>
      <c r="F119" s="18" t="str">
        <f>B119</f>
        <v>Maths</v>
      </c>
      <c r="G119" s="86">
        <v>3000</v>
      </c>
      <c r="H119" s="92" t="s">
        <v>1264</v>
      </c>
      <c r="I119" s="87" t="s">
        <v>12</v>
      </c>
      <c r="J119" s="34"/>
      <c r="K119" s="92">
        <v>45475</v>
      </c>
      <c r="L119" s="101">
        <v>49</v>
      </c>
      <c r="M119" s="120"/>
    </row>
    <row r="120" spans="1:13" ht="47.25">
      <c r="A120" s="83">
        <v>689</v>
      </c>
      <c r="B120" s="18" t="s">
        <v>0</v>
      </c>
      <c r="C120" s="116" t="s">
        <v>886</v>
      </c>
      <c r="D120" s="21" t="s">
        <v>1321</v>
      </c>
      <c r="E120" s="20" t="s">
        <v>324</v>
      </c>
      <c r="F120" s="18" t="str">
        <f>B120</f>
        <v>Maths</v>
      </c>
      <c r="G120" s="86">
        <v>3000</v>
      </c>
      <c r="H120" s="92" t="s">
        <v>1264</v>
      </c>
      <c r="I120" s="87"/>
      <c r="J120" s="34"/>
      <c r="K120" s="92">
        <v>45293</v>
      </c>
      <c r="L120" s="101">
        <v>49</v>
      </c>
      <c r="M120" s="120"/>
    </row>
    <row r="121" spans="1:13" ht="15.75">
      <c r="A121" s="46"/>
      <c r="B121" s="46"/>
      <c r="C121" s="46"/>
      <c r="D121" s="46" t="s">
        <v>11</v>
      </c>
      <c r="E121" s="42"/>
      <c r="F121" s="90"/>
      <c r="G121" s="45">
        <f>SUM(G99:G120)</f>
        <v>102100</v>
      </c>
      <c r="H121" s="114"/>
      <c r="I121" s="42"/>
      <c r="J121" s="45">
        <f>G121</f>
        <v>102100</v>
      </c>
      <c r="K121" s="114"/>
      <c r="L121" s="46">
        <v>49</v>
      </c>
      <c r="M121" s="88"/>
    </row>
    <row r="122" spans="1:13" ht="31.5">
      <c r="A122" s="83">
        <v>690</v>
      </c>
      <c r="B122" s="18" t="s">
        <v>8</v>
      </c>
      <c r="C122" s="116" t="s">
        <v>278</v>
      </c>
      <c r="D122" s="21" t="s">
        <v>1320</v>
      </c>
      <c r="E122" s="20" t="s">
        <v>23</v>
      </c>
      <c r="F122" s="18" t="str">
        <f>B122</f>
        <v>CCE</v>
      </c>
      <c r="G122" s="86">
        <v>10000</v>
      </c>
      <c r="H122" s="92">
        <v>45387</v>
      </c>
      <c r="I122" s="87" t="s">
        <v>12</v>
      </c>
      <c r="J122" s="34"/>
      <c r="K122" s="92">
        <v>45566</v>
      </c>
      <c r="L122" s="101">
        <v>50</v>
      </c>
      <c r="M122" s="120"/>
    </row>
    <row r="123" spans="1:13" ht="47.25">
      <c r="A123" s="83">
        <v>691</v>
      </c>
      <c r="B123" s="18" t="s">
        <v>8</v>
      </c>
      <c r="C123" s="116" t="s">
        <v>279</v>
      </c>
      <c r="D123" s="21" t="s">
        <v>1319</v>
      </c>
      <c r="E123" s="20" t="s">
        <v>23</v>
      </c>
      <c r="F123" s="18" t="str">
        <f>B123</f>
        <v>CCE</v>
      </c>
      <c r="G123" s="86">
        <v>6000</v>
      </c>
      <c r="H123" s="92">
        <v>45387</v>
      </c>
      <c r="I123" s="87" t="s">
        <v>12</v>
      </c>
      <c r="J123" s="34"/>
      <c r="K123" s="92" t="s">
        <v>1318</v>
      </c>
      <c r="L123" s="101">
        <v>50</v>
      </c>
      <c r="M123" s="112"/>
    </row>
    <row r="124" spans="1:13" ht="31.5">
      <c r="A124" s="83">
        <v>692</v>
      </c>
      <c r="B124" s="18" t="s">
        <v>5</v>
      </c>
      <c r="C124" s="116" t="s">
        <v>115</v>
      </c>
      <c r="D124" s="21" t="s">
        <v>1317</v>
      </c>
      <c r="E124" s="20" t="s">
        <v>187</v>
      </c>
      <c r="F124" s="18" t="str">
        <f>B124</f>
        <v>ECE</v>
      </c>
      <c r="G124" s="86">
        <v>3000</v>
      </c>
      <c r="H124" s="92">
        <v>45387</v>
      </c>
      <c r="I124" s="87" t="s">
        <v>12</v>
      </c>
      <c r="J124" s="34"/>
      <c r="K124" s="92" t="s">
        <v>1003</v>
      </c>
      <c r="L124" s="101">
        <v>50</v>
      </c>
      <c r="M124" s="112"/>
    </row>
    <row r="125" spans="1:13" ht="31.5">
      <c r="A125" s="83">
        <v>693</v>
      </c>
      <c r="B125" s="18" t="s">
        <v>5</v>
      </c>
      <c r="C125" s="116" t="s">
        <v>115</v>
      </c>
      <c r="D125" s="21" t="s">
        <v>1316</v>
      </c>
      <c r="E125" s="20" t="s">
        <v>16</v>
      </c>
      <c r="F125" s="18" t="str">
        <f>B125</f>
        <v>ECE</v>
      </c>
      <c r="G125" s="86">
        <v>3000</v>
      </c>
      <c r="H125" s="92">
        <v>45387</v>
      </c>
      <c r="I125" s="87" t="s">
        <v>12</v>
      </c>
      <c r="J125" s="34"/>
      <c r="K125" s="92" t="s">
        <v>1315</v>
      </c>
      <c r="L125" s="101">
        <v>50</v>
      </c>
      <c r="M125" s="112"/>
    </row>
    <row r="126" spans="1:13" ht="15.75">
      <c r="A126" s="83">
        <v>694</v>
      </c>
      <c r="B126" s="18" t="s">
        <v>5</v>
      </c>
      <c r="C126" s="116" t="s">
        <v>170</v>
      </c>
      <c r="D126" s="21" t="s">
        <v>319</v>
      </c>
      <c r="E126" s="20" t="s">
        <v>193</v>
      </c>
      <c r="F126" s="18" t="str">
        <f>B126</f>
        <v>ECE</v>
      </c>
      <c r="G126" s="101">
        <v>8000</v>
      </c>
      <c r="H126" s="92">
        <v>45387</v>
      </c>
      <c r="I126" s="87" t="s">
        <v>12</v>
      </c>
      <c r="J126" s="34"/>
      <c r="K126" s="92" t="s">
        <v>1225</v>
      </c>
      <c r="L126" s="101">
        <v>50</v>
      </c>
      <c r="M126" s="112"/>
    </row>
    <row r="127" spans="1:13" ht="47.25">
      <c r="A127" s="83">
        <v>695</v>
      </c>
      <c r="B127" s="18" t="s">
        <v>5</v>
      </c>
      <c r="C127" s="116" t="s">
        <v>178</v>
      </c>
      <c r="D127" s="21" t="s">
        <v>1314</v>
      </c>
      <c r="E127" s="20" t="s">
        <v>23</v>
      </c>
      <c r="F127" s="18" t="str">
        <f>B127</f>
        <v>ECE</v>
      </c>
      <c r="G127" s="86">
        <v>10000</v>
      </c>
      <c r="H127" s="92">
        <v>45387</v>
      </c>
      <c r="I127" s="87" t="s">
        <v>12</v>
      </c>
      <c r="J127" s="34"/>
      <c r="K127" s="92">
        <v>45325</v>
      </c>
      <c r="L127" s="101">
        <v>50</v>
      </c>
      <c r="M127" s="120"/>
    </row>
    <row r="128" spans="1:13" ht="15.75">
      <c r="A128" s="83">
        <v>696</v>
      </c>
      <c r="B128" s="18" t="s">
        <v>5</v>
      </c>
      <c r="C128" s="116" t="s">
        <v>178</v>
      </c>
      <c r="D128" s="21" t="s">
        <v>166</v>
      </c>
      <c r="E128" s="20" t="s">
        <v>193</v>
      </c>
      <c r="F128" s="18" t="str">
        <f>B128</f>
        <v>ECE</v>
      </c>
      <c r="G128" s="86">
        <v>2000</v>
      </c>
      <c r="H128" s="92">
        <v>45387</v>
      </c>
      <c r="I128" s="87" t="s">
        <v>12</v>
      </c>
      <c r="J128" s="34"/>
      <c r="K128" s="92" t="s">
        <v>1313</v>
      </c>
      <c r="L128" s="101">
        <v>50</v>
      </c>
      <c r="M128" s="112"/>
    </row>
    <row r="129" spans="1:13" ht="31.5">
      <c r="A129" s="83">
        <v>697</v>
      </c>
      <c r="B129" s="18" t="s">
        <v>5</v>
      </c>
      <c r="C129" s="116" t="s">
        <v>26</v>
      </c>
      <c r="D129" s="21" t="s">
        <v>1312</v>
      </c>
      <c r="E129" s="20" t="s">
        <v>23</v>
      </c>
      <c r="F129" s="18" t="str">
        <f>B129</f>
        <v>ECE</v>
      </c>
      <c r="G129" s="86">
        <v>10000</v>
      </c>
      <c r="H129" s="92">
        <v>45387</v>
      </c>
      <c r="I129" s="87" t="s">
        <v>12</v>
      </c>
      <c r="J129" s="34"/>
      <c r="K129" s="92" t="s">
        <v>1311</v>
      </c>
      <c r="L129" s="101">
        <v>50</v>
      </c>
      <c r="M129" s="112"/>
    </row>
    <row r="130" spans="1:13" ht="15.75">
      <c r="A130" s="83">
        <v>698</v>
      </c>
      <c r="B130" s="18" t="s">
        <v>5</v>
      </c>
      <c r="C130" s="116" t="s">
        <v>26</v>
      </c>
      <c r="D130" s="21" t="s">
        <v>166</v>
      </c>
      <c r="E130" s="20" t="s">
        <v>193</v>
      </c>
      <c r="F130" s="18" t="str">
        <f>B130</f>
        <v>ECE</v>
      </c>
      <c r="G130" s="86">
        <v>2000</v>
      </c>
      <c r="H130" s="92">
        <v>45387</v>
      </c>
      <c r="I130" s="87" t="s">
        <v>12</v>
      </c>
      <c r="J130" s="34"/>
      <c r="K130" s="92">
        <v>45507</v>
      </c>
      <c r="L130" s="101">
        <v>50</v>
      </c>
      <c r="M130" s="120"/>
    </row>
    <row r="131" spans="1:13" ht="47.25">
      <c r="A131" s="83">
        <v>699</v>
      </c>
      <c r="B131" s="18" t="s">
        <v>5</v>
      </c>
      <c r="C131" s="116" t="s">
        <v>72</v>
      </c>
      <c r="D131" s="21" t="s">
        <v>1310</v>
      </c>
      <c r="E131" s="20" t="s">
        <v>187</v>
      </c>
      <c r="F131" s="18" t="str">
        <f>B131</f>
        <v>ECE</v>
      </c>
      <c r="G131" s="86">
        <v>3000</v>
      </c>
      <c r="H131" s="92">
        <v>45387</v>
      </c>
      <c r="I131" s="87" t="s">
        <v>12</v>
      </c>
      <c r="J131" s="34"/>
      <c r="K131" s="92" t="s">
        <v>1283</v>
      </c>
      <c r="L131" s="101">
        <v>50</v>
      </c>
      <c r="M131" s="112"/>
    </row>
    <row r="132" spans="1:13" ht="47.25">
      <c r="A132" s="83">
        <v>700</v>
      </c>
      <c r="B132" s="18" t="s">
        <v>5</v>
      </c>
      <c r="C132" s="116" t="s">
        <v>72</v>
      </c>
      <c r="D132" s="21" t="s">
        <v>1309</v>
      </c>
      <c r="E132" s="20" t="s">
        <v>187</v>
      </c>
      <c r="F132" s="18" t="str">
        <f>B132</f>
        <v>ECE</v>
      </c>
      <c r="G132" s="86">
        <v>1800</v>
      </c>
      <c r="H132" s="92">
        <v>45387</v>
      </c>
      <c r="I132" s="87" t="s">
        <v>12</v>
      </c>
      <c r="J132" s="34"/>
      <c r="K132" s="92" t="s">
        <v>1283</v>
      </c>
      <c r="L132" s="101">
        <v>50</v>
      </c>
      <c r="M132" s="112"/>
    </row>
    <row r="133" spans="1:13" ht="15.75">
      <c r="A133" s="83">
        <v>701</v>
      </c>
      <c r="B133" s="18" t="s">
        <v>5</v>
      </c>
      <c r="C133" s="116" t="s">
        <v>72</v>
      </c>
      <c r="D133" s="21" t="s">
        <v>198</v>
      </c>
      <c r="E133" s="20" t="s">
        <v>193</v>
      </c>
      <c r="F133" s="18" t="str">
        <f>B133</f>
        <v>ECE</v>
      </c>
      <c r="G133" s="86">
        <v>4000</v>
      </c>
      <c r="H133" s="92">
        <v>45387</v>
      </c>
      <c r="I133" s="87" t="s">
        <v>12</v>
      </c>
      <c r="J133" s="34"/>
      <c r="K133" s="92" t="s">
        <v>1244</v>
      </c>
      <c r="L133" s="101">
        <v>50</v>
      </c>
      <c r="M133" s="112"/>
    </row>
    <row r="134" spans="1:13" ht="47.25">
      <c r="A134" s="83">
        <v>702</v>
      </c>
      <c r="B134" s="18" t="s">
        <v>4</v>
      </c>
      <c r="C134" s="116" t="s">
        <v>136</v>
      </c>
      <c r="D134" s="21" t="s">
        <v>1308</v>
      </c>
      <c r="E134" s="20" t="s">
        <v>23</v>
      </c>
      <c r="F134" s="18" t="str">
        <f>B134</f>
        <v>EEE</v>
      </c>
      <c r="G134" s="86">
        <v>5000</v>
      </c>
      <c r="H134" s="92">
        <v>45387</v>
      </c>
      <c r="I134" s="87"/>
      <c r="J134" s="34"/>
      <c r="K134" s="92">
        <v>45293</v>
      </c>
      <c r="L134" s="101">
        <v>50</v>
      </c>
      <c r="M134" s="120"/>
    </row>
    <row r="135" spans="1:13" ht="31.5">
      <c r="A135" s="83">
        <v>703</v>
      </c>
      <c r="B135" s="18" t="s">
        <v>2</v>
      </c>
      <c r="C135" s="116" t="s">
        <v>48</v>
      </c>
      <c r="D135" s="21" t="s">
        <v>1307</v>
      </c>
      <c r="E135" s="20" t="s">
        <v>23</v>
      </c>
      <c r="F135" s="18" t="str">
        <f>B135</f>
        <v>Mech</v>
      </c>
      <c r="G135" s="86">
        <v>10000</v>
      </c>
      <c r="H135" s="92">
        <v>45387</v>
      </c>
      <c r="I135" s="87" t="s">
        <v>12</v>
      </c>
      <c r="J135" s="34"/>
      <c r="K135" s="92">
        <v>45415</v>
      </c>
      <c r="L135" s="101">
        <v>50</v>
      </c>
      <c r="M135" s="120"/>
    </row>
    <row r="136" spans="1:13" ht="47.25">
      <c r="A136" s="83">
        <v>704</v>
      </c>
      <c r="B136" s="18" t="s">
        <v>2</v>
      </c>
      <c r="C136" s="116" t="s">
        <v>1306</v>
      </c>
      <c r="D136" s="21" t="s">
        <v>1305</v>
      </c>
      <c r="E136" s="20" t="s">
        <v>16</v>
      </c>
      <c r="F136" s="18" t="str">
        <f>B136</f>
        <v>Mech</v>
      </c>
      <c r="G136" s="86">
        <v>1800</v>
      </c>
      <c r="H136" s="92">
        <v>45387</v>
      </c>
      <c r="I136" s="87"/>
      <c r="J136" s="34"/>
      <c r="K136" s="92" t="s">
        <v>1304</v>
      </c>
      <c r="L136" s="101">
        <v>50</v>
      </c>
      <c r="M136" s="112"/>
    </row>
    <row r="137" spans="1:13" ht="47.25">
      <c r="A137" s="83">
        <v>705</v>
      </c>
      <c r="B137" s="18" t="s">
        <v>3</v>
      </c>
      <c r="C137" s="116" t="s">
        <v>55</v>
      </c>
      <c r="D137" s="21" t="s">
        <v>1303</v>
      </c>
      <c r="E137" s="20" t="s">
        <v>16</v>
      </c>
      <c r="F137" s="18" t="str">
        <f>B137</f>
        <v>IT</v>
      </c>
      <c r="G137" s="86">
        <v>1800</v>
      </c>
      <c r="H137" s="92">
        <v>45387</v>
      </c>
      <c r="I137" s="87"/>
      <c r="J137" s="34"/>
      <c r="K137" s="92">
        <v>45026</v>
      </c>
      <c r="L137" s="101">
        <v>50</v>
      </c>
      <c r="M137" s="113"/>
    </row>
    <row r="138" spans="1:13" ht="31.5">
      <c r="A138" s="83">
        <v>706</v>
      </c>
      <c r="B138" s="18" t="s">
        <v>6</v>
      </c>
      <c r="C138" s="116" t="s">
        <v>1299</v>
      </c>
      <c r="D138" s="21" t="s">
        <v>1302</v>
      </c>
      <c r="E138" s="20" t="s">
        <v>16</v>
      </c>
      <c r="F138" s="18" t="str">
        <f>B138</f>
        <v>CSE</v>
      </c>
      <c r="G138" s="86">
        <v>3000</v>
      </c>
      <c r="H138" s="92">
        <v>45387</v>
      </c>
      <c r="I138" s="87"/>
      <c r="J138" s="34"/>
      <c r="K138" s="92"/>
      <c r="L138" s="101">
        <v>50</v>
      </c>
      <c r="M138" s="112"/>
    </row>
    <row r="139" spans="1:13" ht="31.5">
      <c r="A139" s="83">
        <v>707</v>
      </c>
      <c r="B139" s="18" t="s">
        <v>6</v>
      </c>
      <c r="C139" s="116" t="s">
        <v>1299</v>
      </c>
      <c r="D139" s="21" t="s">
        <v>1301</v>
      </c>
      <c r="E139" s="20" t="s">
        <v>16</v>
      </c>
      <c r="F139" s="18" t="str">
        <f>B139</f>
        <v>CSE</v>
      </c>
      <c r="G139" s="86">
        <v>3000</v>
      </c>
      <c r="H139" s="92">
        <v>45387</v>
      </c>
      <c r="I139" s="87"/>
      <c r="J139" s="34"/>
      <c r="K139" s="92"/>
      <c r="L139" s="101">
        <v>50</v>
      </c>
      <c r="M139" s="112"/>
    </row>
    <row r="140" spans="1:13" ht="47.25">
      <c r="A140" s="83">
        <v>708</v>
      </c>
      <c r="B140" s="18" t="s">
        <v>6</v>
      </c>
      <c r="C140" s="116" t="s">
        <v>1299</v>
      </c>
      <c r="D140" s="21" t="s">
        <v>1300</v>
      </c>
      <c r="E140" s="20" t="s">
        <v>16</v>
      </c>
      <c r="F140" s="18" t="str">
        <f>B140</f>
        <v>CSE</v>
      </c>
      <c r="G140" s="86">
        <v>1500</v>
      </c>
      <c r="H140" s="92">
        <v>45387</v>
      </c>
      <c r="I140" s="87"/>
      <c r="J140" s="34"/>
      <c r="K140" s="92"/>
      <c r="L140" s="101">
        <v>50</v>
      </c>
      <c r="M140" s="112"/>
    </row>
    <row r="141" spans="1:13" ht="31.5">
      <c r="A141" s="83">
        <v>709</v>
      </c>
      <c r="B141" s="18" t="s">
        <v>6</v>
      </c>
      <c r="C141" s="116" t="s">
        <v>1299</v>
      </c>
      <c r="D141" s="21" t="s">
        <v>1298</v>
      </c>
      <c r="E141" s="20" t="s">
        <v>16</v>
      </c>
      <c r="F141" s="18" t="str">
        <f>B141</f>
        <v>CSE</v>
      </c>
      <c r="G141" s="86">
        <v>1500</v>
      </c>
      <c r="H141" s="92">
        <v>45387</v>
      </c>
      <c r="I141" s="87"/>
      <c r="J141" s="34"/>
      <c r="K141" s="92"/>
      <c r="L141" s="101">
        <v>50</v>
      </c>
      <c r="M141" s="112"/>
    </row>
    <row r="142" spans="1:13" ht="15.75">
      <c r="A142" s="46"/>
      <c r="B142" s="46"/>
      <c r="C142" s="46"/>
      <c r="D142" s="46" t="s">
        <v>11</v>
      </c>
      <c r="E142" s="42"/>
      <c r="F142" s="90"/>
      <c r="G142" s="89">
        <f>SUM(G122:G141)</f>
        <v>90400</v>
      </c>
      <c r="H142" s="42"/>
      <c r="I142" s="42"/>
      <c r="J142" s="45">
        <f>G142</f>
        <v>90400</v>
      </c>
      <c r="K142" s="42"/>
      <c r="L142" s="46">
        <v>50</v>
      </c>
      <c r="M142" s="88"/>
    </row>
    <row r="143" spans="1:13" ht="47.25">
      <c r="A143" s="83">
        <v>710</v>
      </c>
      <c r="B143" s="18" t="s">
        <v>36</v>
      </c>
      <c r="C143" s="116" t="s">
        <v>1297</v>
      </c>
      <c r="D143" s="51" t="s">
        <v>1296</v>
      </c>
      <c r="E143" s="20" t="s">
        <v>23</v>
      </c>
      <c r="F143" s="18" t="str">
        <f>B143</f>
        <v>AIDS</v>
      </c>
      <c r="G143" s="86">
        <v>6000</v>
      </c>
      <c r="H143" s="92">
        <v>45387</v>
      </c>
      <c r="I143" s="87" t="s">
        <v>12</v>
      </c>
      <c r="J143" s="34"/>
      <c r="K143" s="92">
        <v>45566</v>
      </c>
      <c r="L143" s="101">
        <v>51</v>
      </c>
      <c r="M143" s="113"/>
    </row>
    <row r="144" spans="1:13" ht="31.5">
      <c r="A144" s="83">
        <v>711</v>
      </c>
      <c r="B144" s="18" t="s">
        <v>36</v>
      </c>
      <c r="C144" s="116" t="s">
        <v>1295</v>
      </c>
      <c r="D144" s="21" t="s">
        <v>1294</v>
      </c>
      <c r="E144" s="20" t="s">
        <v>16</v>
      </c>
      <c r="F144" s="18" t="str">
        <f>B144</f>
        <v>AIDS</v>
      </c>
      <c r="G144" s="86">
        <v>1800</v>
      </c>
      <c r="H144" s="92">
        <v>45387</v>
      </c>
      <c r="I144" s="87"/>
      <c r="J144" s="34"/>
      <c r="K144" s="92" t="s">
        <v>1003</v>
      </c>
      <c r="L144" s="101">
        <v>51</v>
      </c>
      <c r="M144" s="112"/>
    </row>
    <row r="145" spans="1:13" ht="15.75">
      <c r="A145" s="83">
        <v>712</v>
      </c>
      <c r="B145" s="18" t="s">
        <v>8</v>
      </c>
      <c r="C145" s="116" t="s">
        <v>1204</v>
      </c>
      <c r="D145" s="51" t="s">
        <v>1293</v>
      </c>
      <c r="E145" s="20" t="s">
        <v>16</v>
      </c>
      <c r="F145" s="18" t="str">
        <f>B145</f>
        <v>CCE</v>
      </c>
      <c r="G145" s="86">
        <v>1800</v>
      </c>
      <c r="H145" s="92">
        <v>45387</v>
      </c>
      <c r="I145" s="87"/>
      <c r="J145" s="34"/>
      <c r="K145" s="92">
        <v>45328</v>
      </c>
      <c r="L145" s="101">
        <v>51</v>
      </c>
      <c r="M145" s="113"/>
    </row>
    <row r="146" spans="1:13" ht="31.5">
      <c r="A146" s="83">
        <v>713</v>
      </c>
      <c r="B146" s="18" t="s">
        <v>8</v>
      </c>
      <c r="C146" s="116" t="s">
        <v>279</v>
      </c>
      <c r="D146" s="21" t="s">
        <v>1292</v>
      </c>
      <c r="E146" s="20" t="s">
        <v>324</v>
      </c>
      <c r="F146" s="18" t="str">
        <f>B146</f>
        <v>CCE</v>
      </c>
      <c r="G146" s="86">
        <v>5000</v>
      </c>
      <c r="H146" s="92">
        <v>45387</v>
      </c>
      <c r="I146" s="87" t="s">
        <v>12</v>
      </c>
      <c r="J146" s="34"/>
      <c r="K146" s="92">
        <v>45414</v>
      </c>
      <c r="L146" s="101">
        <v>51</v>
      </c>
      <c r="M146" s="113"/>
    </row>
    <row r="147" spans="1:13" ht="31.5">
      <c r="A147" s="83">
        <v>714</v>
      </c>
      <c r="B147" s="18" t="s">
        <v>6</v>
      </c>
      <c r="C147" s="116" t="s">
        <v>479</v>
      </c>
      <c r="D147" s="21" t="s">
        <v>1291</v>
      </c>
      <c r="E147" s="20" t="s">
        <v>16</v>
      </c>
      <c r="F147" s="18" t="str">
        <f>B147</f>
        <v>CSE</v>
      </c>
      <c r="G147" s="86">
        <v>3000</v>
      </c>
      <c r="H147" s="92">
        <v>45387</v>
      </c>
      <c r="I147" s="87" t="s">
        <v>12</v>
      </c>
      <c r="J147" s="34"/>
      <c r="K147" s="92">
        <v>44934</v>
      </c>
      <c r="L147" s="101">
        <v>51</v>
      </c>
      <c r="M147" s="113"/>
    </row>
    <row r="148" spans="1:13" ht="31.5">
      <c r="A148" s="83">
        <v>715</v>
      </c>
      <c r="B148" s="18" t="s">
        <v>6</v>
      </c>
      <c r="C148" s="116" t="s">
        <v>479</v>
      </c>
      <c r="D148" s="21" t="s">
        <v>1290</v>
      </c>
      <c r="E148" s="20" t="s">
        <v>16</v>
      </c>
      <c r="F148" s="18" t="str">
        <f>B148</f>
        <v>CSE</v>
      </c>
      <c r="G148" s="86">
        <v>1800</v>
      </c>
      <c r="H148" s="92">
        <v>45387</v>
      </c>
      <c r="I148" s="87" t="s">
        <v>12</v>
      </c>
      <c r="J148" s="34"/>
      <c r="K148" s="92">
        <v>45566</v>
      </c>
      <c r="L148" s="101">
        <v>51</v>
      </c>
      <c r="M148" s="113"/>
    </row>
    <row r="149" spans="1:13" ht="15.75">
      <c r="A149" s="83">
        <v>716</v>
      </c>
      <c r="B149" s="18" t="s">
        <v>6</v>
      </c>
      <c r="C149" s="116" t="s">
        <v>479</v>
      </c>
      <c r="D149" s="21" t="s">
        <v>166</v>
      </c>
      <c r="E149" s="20" t="s">
        <v>193</v>
      </c>
      <c r="F149" s="18" t="str">
        <f>B149</f>
        <v>CSE</v>
      </c>
      <c r="G149" s="86">
        <v>2000</v>
      </c>
      <c r="H149" s="92">
        <v>45387</v>
      </c>
      <c r="I149" s="87" t="s">
        <v>12</v>
      </c>
      <c r="J149" s="34"/>
      <c r="K149" s="92" t="s">
        <v>1267</v>
      </c>
      <c r="L149" s="101">
        <v>51</v>
      </c>
      <c r="M149" s="112"/>
    </row>
    <row r="150" spans="1:13" ht="31.5">
      <c r="A150" s="83">
        <v>717</v>
      </c>
      <c r="B150" s="18" t="s">
        <v>4</v>
      </c>
      <c r="C150" s="116" t="s">
        <v>199</v>
      </c>
      <c r="D150" s="21" t="s">
        <v>1289</v>
      </c>
      <c r="E150" s="20" t="s">
        <v>324</v>
      </c>
      <c r="F150" s="18" t="str">
        <f>B150</f>
        <v>EEE</v>
      </c>
      <c r="G150" s="86">
        <v>5000</v>
      </c>
      <c r="H150" s="92">
        <v>45387</v>
      </c>
      <c r="I150" s="87"/>
      <c r="J150" s="34"/>
      <c r="K150" s="92">
        <v>45446</v>
      </c>
      <c r="L150" s="101">
        <v>51</v>
      </c>
      <c r="M150" s="113"/>
    </row>
    <row r="151" spans="1:13" ht="31.5">
      <c r="A151" s="83">
        <v>718</v>
      </c>
      <c r="B151" s="18" t="s">
        <v>4</v>
      </c>
      <c r="C151" s="116" t="s">
        <v>199</v>
      </c>
      <c r="D151" s="21" t="s">
        <v>1288</v>
      </c>
      <c r="E151" s="20" t="s">
        <v>16</v>
      </c>
      <c r="F151" s="18" t="str">
        <f>B151</f>
        <v>EEE</v>
      </c>
      <c r="G151" s="86">
        <v>3000</v>
      </c>
      <c r="H151" s="92">
        <v>45387</v>
      </c>
      <c r="I151" s="87"/>
      <c r="J151" s="34"/>
      <c r="K151" s="92" t="s">
        <v>1281</v>
      </c>
      <c r="L151" s="101">
        <v>51</v>
      </c>
      <c r="M151" s="112"/>
    </row>
    <row r="152" spans="1:13" ht="15.75">
      <c r="A152" s="83">
        <v>719</v>
      </c>
      <c r="B152" s="18" t="s">
        <v>4</v>
      </c>
      <c r="C152" s="116" t="s">
        <v>199</v>
      </c>
      <c r="D152" s="21" t="s">
        <v>737</v>
      </c>
      <c r="E152" s="20" t="s">
        <v>193</v>
      </c>
      <c r="F152" s="18" t="str">
        <f>B152</f>
        <v>EEE</v>
      </c>
      <c r="G152" s="86">
        <v>10000</v>
      </c>
      <c r="H152" s="92">
        <v>45387</v>
      </c>
      <c r="I152" s="87"/>
      <c r="J152" s="34"/>
      <c r="K152" s="92" t="s">
        <v>1267</v>
      </c>
      <c r="L152" s="101">
        <v>51</v>
      </c>
      <c r="M152" s="112"/>
    </row>
    <row r="153" spans="1:13" ht="47.25">
      <c r="A153" s="83">
        <v>720</v>
      </c>
      <c r="B153" s="18" t="s">
        <v>1</v>
      </c>
      <c r="C153" s="116" t="s">
        <v>140</v>
      </c>
      <c r="D153" s="21" t="s">
        <v>1287</v>
      </c>
      <c r="E153" s="20" t="s">
        <v>324</v>
      </c>
      <c r="F153" s="18" t="str">
        <f>B153</f>
        <v>S&amp;H</v>
      </c>
      <c r="G153" s="86">
        <v>3000</v>
      </c>
      <c r="H153" s="92">
        <v>45387</v>
      </c>
      <c r="I153" s="87" t="s">
        <v>12</v>
      </c>
      <c r="J153" s="34"/>
      <c r="K153" s="92">
        <v>45599</v>
      </c>
      <c r="L153" s="101">
        <v>51</v>
      </c>
      <c r="M153" s="113"/>
    </row>
    <row r="154" spans="1:13" ht="47.25">
      <c r="A154" s="83">
        <v>721</v>
      </c>
      <c r="B154" s="18" t="s">
        <v>2</v>
      </c>
      <c r="C154" s="116" t="s">
        <v>99</v>
      </c>
      <c r="D154" s="21" t="s">
        <v>1286</v>
      </c>
      <c r="E154" s="20" t="s">
        <v>324</v>
      </c>
      <c r="F154" s="18" t="str">
        <f>B154</f>
        <v>Mech</v>
      </c>
      <c r="G154" s="86">
        <v>10000</v>
      </c>
      <c r="H154" s="92">
        <v>45387</v>
      </c>
      <c r="I154" s="87" t="s">
        <v>12</v>
      </c>
      <c r="J154" s="34"/>
      <c r="K154" s="92" t="s">
        <v>1285</v>
      </c>
      <c r="L154" s="101">
        <v>51</v>
      </c>
      <c r="M154" s="112"/>
    </row>
    <row r="155" spans="1:13" ht="47.25">
      <c r="A155" s="83">
        <v>722</v>
      </c>
      <c r="B155" s="18" t="s">
        <v>2</v>
      </c>
      <c r="C155" s="116" t="s">
        <v>99</v>
      </c>
      <c r="D155" s="21" t="s">
        <v>1284</v>
      </c>
      <c r="E155" s="20" t="s">
        <v>324</v>
      </c>
      <c r="F155" s="18" t="str">
        <f>B155</f>
        <v>Mech</v>
      </c>
      <c r="G155" s="86">
        <v>10000</v>
      </c>
      <c r="H155" s="92">
        <v>45387</v>
      </c>
      <c r="I155" s="87" t="s">
        <v>12</v>
      </c>
      <c r="J155" s="34"/>
      <c r="K155" s="92" t="s">
        <v>1283</v>
      </c>
      <c r="L155" s="101">
        <v>51</v>
      </c>
      <c r="M155" s="112"/>
    </row>
    <row r="156" spans="1:13" ht="31.5">
      <c r="A156" s="83">
        <v>723</v>
      </c>
      <c r="B156" s="18" t="s">
        <v>2</v>
      </c>
      <c r="C156" s="116" t="s">
        <v>209</v>
      </c>
      <c r="D156" s="21" t="s">
        <v>1282</v>
      </c>
      <c r="E156" s="20" t="s">
        <v>324</v>
      </c>
      <c r="F156" s="18" t="str">
        <f>B156</f>
        <v>Mech</v>
      </c>
      <c r="G156" s="86">
        <v>10000</v>
      </c>
      <c r="H156" s="92">
        <v>45387</v>
      </c>
      <c r="I156" s="87" t="s">
        <v>12</v>
      </c>
      <c r="J156" s="34"/>
      <c r="K156" s="92" t="s">
        <v>1281</v>
      </c>
      <c r="L156" s="101">
        <v>51</v>
      </c>
      <c r="M156" s="112"/>
    </row>
    <row r="157" spans="1:13" ht="15.75">
      <c r="A157" s="46"/>
      <c r="B157" s="46"/>
      <c r="C157" s="46"/>
      <c r="D157" s="46" t="s">
        <v>11</v>
      </c>
      <c r="E157" s="42"/>
      <c r="F157" s="90"/>
      <c r="G157" s="89">
        <f>SUM(G143:G156)</f>
        <v>72400</v>
      </c>
      <c r="H157" s="114"/>
      <c r="I157" s="42"/>
      <c r="J157" s="45">
        <f>G157</f>
        <v>72400</v>
      </c>
      <c r="K157" s="114"/>
      <c r="L157" s="46">
        <v>51</v>
      </c>
      <c r="M157" s="88"/>
    </row>
    <row r="158" spans="1:13" ht="47.25">
      <c r="A158" s="83">
        <v>724</v>
      </c>
      <c r="B158" s="18" t="s">
        <v>36</v>
      </c>
      <c r="C158" s="116" t="s">
        <v>275</v>
      </c>
      <c r="D158" s="21" t="s">
        <v>1280</v>
      </c>
      <c r="E158" s="20" t="s">
        <v>16</v>
      </c>
      <c r="F158" s="18" t="str">
        <f>B158</f>
        <v>AIDS</v>
      </c>
      <c r="G158" s="86">
        <v>3000</v>
      </c>
      <c r="H158" s="92">
        <v>45399</v>
      </c>
      <c r="I158" s="87" t="s">
        <v>12</v>
      </c>
      <c r="J158" s="34"/>
      <c r="K158" s="92" t="s">
        <v>1279</v>
      </c>
      <c r="L158" s="101">
        <v>52</v>
      </c>
      <c r="M158" s="112"/>
    </row>
    <row r="159" spans="1:13" ht="31.5">
      <c r="A159" s="83">
        <v>725</v>
      </c>
      <c r="B159" s="18" t="s">
        <v>8</v>
      </c>
      <c r="C159" s="116" t="s">
        <v>34</v>
      </c>
      <c r="D159" s="21" t="s">
        <v>1278</v>
      </c>
      <c r="E159" s="20" t="s">
        <v>1277</v>
      </c>
      <c r="F159" s="18" t="str">
        <f>B159</f>
        <v>CCE</v>
      </c>
      <c r="G159" s="86">
        <v>5800</v>
      </c>
      <c r="H159" s="92">
        <v>45399</v>
      </c>
      <c r="I159" s="87" t="s">
        <v>12</v>
      </c>
      <c r="J159" s="34"/>
      <c r="K159" s="92" t="s">
        <v>884</v>
      </c>
      <c r="L159" s="101">
        <v>52</v>
      </c>
      <c r="M159" s="112"/>
    </row>
    <row r="160" spans="1:13" ht="31.5">
      <c r="A160" s="83">
        <v>726</v>
      </c>
      <c r="B160" s="18" t="s">
        <v>8</v>
      </c>
      <c r="C160" s="116" t="s">
        <v>1276</v>
      </c>
      <c r="D160" s="21" t="s">
        <v>1275</v>
      </c>
      <c r="E160" s="20" t="s">
        <v>16</v>
      </c>
      <c r="F160" s="18" t="str">
        <f>B160</f>
        <v>CCE</v>
      </c>
      <c r="G160" s="86">
        <v>1800</v>
      </c>
      <c r="H160" s="92">
        <v>45399</v>
      </c>
      <c r="I160" s="87"/>
      <c r="J160" s="34"/>
      <c r="K160" s="92"/>
      <c r="L160" s="101">
        <v>52</v>
      </c>
      <c r="M160" s="112"/>
    </row>
    <row r="161" spans="1:13" ht="31.5">
      <c r="A161" s="83">
        <v>727</v>
      </c>
      <c r="B161" s="18" t="s">
        <v>6</v>
      </c>
      <c r="C161" s="116" t="s">
        <v>247</v>
      </c>
      <c r="D161" s="21" t="s">
        <v>1274</v>
      </c>
      <c r="E161" s="20" t="s">
        <v>16</v>
      </c>
      <c r="F161" s="18" t="str">
        <f>B161</f>
        <v>CSE</v>
      </c>
      <c r="G161" s="86">
        <v>1800</v>
      </c>
      <c r="H161" s="92">
        <v>45399</v>
      </c>
      <c r="I161" s="87"/>
      <c r="J161" s="34"/>
      <c r="K161" s="92">
        <v>45355</v>
      </c>
      <c r="L161" s="101">
        <v>52</v>
      </c>
      <c r="M161" s="120"/>
    </row>
    <row r="162" spans="1:13" ht="15.75">
      <c r="A162" s="83">
        <v>728</v>
      </c>
      <c r="B162" s="18" t="s">
        <v>5</v>
      </c>
      <c r="C162" s="116" t="s">
        <v>267</v>
      </c>
      <c r="D162" s="21" t="s">
        <v>1273</v>
      </c>
      <c r="E162" s="20" t="s">
        <v>16</v>
      </c>
      <c r="F162" s="18" t="str">
        <f>B162</f>
        <v>ECE</v>
      </c>
      <c r="G162" s="86">
        <v>1800</v>
      </c>
      <c r="H162" s="92">
        <v>45399</v>
      </c>
      <c r="I162" s="87" t="s">
        <v>12</v>
      </c>
      <c r="J162" s="34"/>
      <c r="K162" s="92" t="s">
        <v>1000</v>
      </c>
      <c r="L162" s="101">
        <v>52</v>
      </c>
      <c r="M162" s="112"/>
    </row>
    <row r="163" spans="1:13" ht="31.5">
      <c r="A163" s="83">
        <v>729</v>
      </c>
      <c r="B163" s="18" t="s">
        <v>5</v>
      </c>
      <c r="C163" s="116" t="s">
        <v>21</v>
      </c>
      <c r="D163" s="21" t="s">
        <v>1272</v>
      </c>
      <c r="E163" s="20" t="s">
        <v>23</v>
      </c>
      <c r="F163" s="18" t="str">
        <f>B163</f>
        <v>ECE</v>
      </c>
      <c r="G163" s="86">
        <v>3000</v>
      </c>
      <c r="H163" s="92">
        <v>45399</v>
      </c>
      <c r="I163" s="87" t="s">
        <v>12</v>
      </c>
      <c r="J163" s="121"/>
      <c r="K163" s="92" t="s">
        <v>1220</v>
      </c>
      <c r="L163" s="101">
        <v>52</v>
      </c>
      <c r="M163" s="112"/>
    </row>
    <row r="164" spans="1:13" ht="31.5">
      <c r="A164" s="83">
        <v>730</v>
      </c>
      <c r="B164" s="18" t="s">
        <v>5</v>
      </c>
      <c r="C164" s="116" t="s">
        <v>21</v>
      </c>
      <c r="D164" s="21" t="s">
        <v>1271</v>
      </c>
      <c r="E164" s="20" t="s">
        <v>16</v>
      </c>
      <c r="F164" s="18" t="str">
        <f>B164</f>
        <v>ECE</v>
      </c>
      <c r="G164" s="86">
        <v>3000</v>
      </c>
      <c r="H164" s="92">
        <v>45399</v>
      </c>
      <c r="I164" s="87" t="s">
        <v>12</v>
      </c>
      <c r="J164" s="34"/>
      <c r="K164" s="92" t="s">
        <v>1270</v>
      </c>
      <c r="L164" s="101">
        <v>52</v>
      </c>
      <c r="M164" s="88"/>
    </row>
    <row r="165" spans="1:13" ht="31.5">
      <c r="A165" s="83">
        <v>731</v>
      </c>
      <c r="B165" s="18" t="s">
        <v>5</v>
      </c>
      <c r="C165" s="116" t="s">
        <v>21</v>
      </c>
      <c r="D165" s="21" t="s">
        <v>1269</v>
      </c>
      <c r="E165" s="20" t="s">
        <v>16</v>
      </c>
      <c r="F165" s="18" t="str">
        <f>B165</f>
        <v>ECE</v>
      </c>
      <c r="G165" s="86">
        <v>3000</v>
      </c>
      <c r="H165" s="92">
        <v>45399</v>
      </c>
      <c r="I165" s="87" t="s">
        <v>12</v>
      </c>
      <c r="J165" s="34"/>
      <c r="K165" s="92">
        <v>45385</v>
      </c>
      <c r="L165" s="101">
        <v>52</v>
      </c>
      <c r="M165" s="120"/>
    </row>
    <row r="166" spans="1:13" ht="15.75">
      <c r="A166" s="83">
        <v>732</v>
      </c>
      <c r="B166" s="18" t="s">
        <v>5</v>
      </c>
      <c r="C166" s="116" t="s">
        <v>21</v>
      </c>
      <c r="D166" s="21" t="s">
        <v>198</v>
      </c>
      <c r="E166" s="20" t="s">
        <v>193</v>
      </c>
      <c r="F166" s="18" t="str">
        <f>B166</f>
        <v>ECE</v>
      </c>
      <c r="G166" s="86">
        <v>4000</v>
      </c>
      <c r="H166" s="92">
        <v>45399</v>
      </c>
      <c r="I166" s="87" t="s">
        <v>12</v>
      </c>
      <c r="J166" s="34"/>
      <c r="K166" s="92" t="s">
        <v>1225</v>
      </c>
      <c r="L166" s="101">
        <v>52</v>
      </c>
      <c r="M166" s="112"/>
    </row>
    <row r="167" spans="1:13" ht="31.5">
      <c r="A167" s="83">
        <v>733</v>
      </c>
      <c r="B167" s="18" t="s">
        <v>5</v>
      </c>
      <c r="C167" s="116" t="s">
        <v>175</v>
      </c>
      <c r="D167" s="21" t="s">
        <v>1268</v>
      </c>
      <c r="E167" s="20" t="s">
        <v>23</v>
      </c>
      <c r="F167" s="18" t="str">
        <f>B167</f>
        <v>ECE</v>
      </c>
      <c r="G167" s="86">
        <v>10000</v>
      </c>
      <c r="H167" s="92">
        <v>45399</v>
      </c>
      <c r="I167" s="87" t="s">
        <v>12</v>
      </c>
      <c r="J167" s="34"/>
      <c r="K167" s="92" t="s">
        <v>1267</v>
      </c>
      <c r="L167" s="101">
        <v>52</v>
      </c>
      <c r="M167" s="112"/>
    </row>
    <row r="168" spans="1:13" ht="15.75">
      <c r="A168" s="83">
        <v>734</v>
      </c>
      <c r="B168" s="18" t="s">
        <v>5</v>
      </c>
      <c r="C168" s="116" t="s">
        <v>66</v>
      </c>
      <c r="D168" s="21" t="s">
        <v>737</v>
      </c>
      <c r="E168" s="20" t="s">
        <v>193</v>
      </c>
      <c r="F168" s="18" t="str">
        <f>B168</f>
        <v>ECE</v>
      </c>
      <c r="G168" s="86">
        <v>10000</v>
      </c>
      <c r="H168" s="92">
        <v>45399</v>
      </c>
      <c r="I168" s="87"/>
      <c r="J168" s="34"/>
      <c r="K168" s="92">
        <v>45508</v>
      </c>
      <c r="L168" s="101">
        <v>52</v>
      </c>
      <c r="M168" s="120"/>
    </row>
    <row r="169" spans="1:13" ht="15.75">
      <c r="A169" s="83">
        <v>735</v>
      </c>
      <c r="B169" s="18" t="s">
        <v>0</v>
      </c>
      <c r="C169" s="116" t="s">
        <v>126</v>
      </c>
      <c r="D169" s="21" t="s">
        <v>198</v>
      </c>
      <c r="E169" s="20" t="s">
        <v>193</v>
      </c>
      <c r="F169" s="18" t="str">
        <f>B169</f>
        <v>Maths</v>
      </c>
      <c r="G169" s="86">
        <v>4000</v>
      </c>
      <c r="H169" s="92">
        <v>45399</v>
      </c>
      <c r="I169" s="87" t="s">
        <v>12</v>
      </c>
      <c r="J169" s="34"/>
      <c r="K169" s="92">
        <v>45355</v>
      </c>
      <c r="L169" s="101">
        <v>52</v>
      </c>
      <c r="M169" s="120"/>
    </row>
    <row r="170" spans="1:13" ht="31.5">
      <c r="A170" s="83">
        <v>736</v>
      </c>
      <c r="B170" s="18" t="s">
        <v>2</v>
      </c>
      <c r="C170" s="116" t="s">
        <v>209</v>
      </c>
      <c r="D170" s="21" t="s">
        <v>1266</v>
      </c>
      <c r="E170" s="20" t="s">
        <v>16</v>
      </c>
      <c r="F170" s="18" t="str">
        <f>B170</f>
        <v>Mech</v>
      </c>
      <c r="G170" s="86">
        <v>3000</v>
      </c>
      <c r="H170" s="92">
        <v>45399</v>
      </c>
      <c r="I170" s="87" t="s">
        <v>12</v>
      </c>
      <c r="J170" s="34"/>
      <c r="K170" s="92" t="s">
        <v>1264</v>
      </c>
      <c r="L170" s="101">
        <v>52</v>
      </c>
      <c r="M170" s="112"/>
    </row>
    <row r="171" spans="1:13" ht="15.75">
      <c r="A171" s="83">
        <v>737</v>
      </c>
      <c r="B171" s="18" t="s">
        <v>2</v>
      </c>
      <c r="C171" s="116" t="s">
        <v>209</v>
      </c>
      <c r="D171" s="21" t="s">
        <v>1265</v>
      </c>
      <c r="E171" s="20" t="s">
        <v>16</v>
      </c>
      <c r="F171" s="18" t="str">
        <f>B171</f>
        <v>Mech</v>
      </c>
      <c r="G171" s="86">
        <v>3000</v>
      </c>
      <c r="H171" s="92">
        <v>45399</v>
      </c>
      <c r="I171" s="87" t="s">
        <v>12</v>
      </c>
      <c r="J171" s="34"/>
      <c r="K171" s="92" t="s">
        <v>1264</v>
      </c>
      <c r="L171" s="101">
        <v>52</v>
      </c>
      <c r="M171" s="112"/>
    </row>
    <row r="172" spans="1:13" ht="31.5">
      <c r="A172" s="83">
        <v>738</v>
      </c>
      <c r="B172" s="18" t="s">
        <v>2</v>
      </c>
      <c r="C172" s="116" t="s">
        <v>97</v>
      </c>
      <c r="D172" s="21" t="s">
        <v>1263</v>
      </c>
      <c r="E172" s="20" t="s">
        <v>23</v>
      </c>
      <c r="F172" s="18" t="str">
        <f>B172</f>
        <v>Mech</v>
      </c>
      <c r="G172" s="86">
        <v>3000</v>
      </c>
      <c r="H172" s="92">
        <v>45399</v>
      </c>
      <c r="I172" s="87" t="s">
        <v>12</v>
      </c>
      <c r="J172" s="34"/>
      <c r="K172" s="92" t="s">
        <v>1261</v>
      </c>
      <c r="L172" s="101">
        <v>52</v>
      </c>
      <c r="M172" s="112"/>
    </row>
    <row r="173" spans="1:13" ht="31.5">
      <c r="A173" s="83">
        <v>739</v>
      </c>
      <c r="B173" s="18" t="s">
        <v>2</v>
      </c>
      <c r="C173" s="116" t="s">
        <v>97</v>
      </c>
      <c r="D173" s="21" t="s">
        <v>1262</v>
      </c>
      <c r="E173" s="20" t="s">
        <v>23</v>
      </c>
      <c r="F173" s="18" t="str">
        <f>B173</f>
        <v>Mech</v>
      </c>
      <c r="G173" s="86">
        <v>3000</v>
      </c>
      <c r="H173" s="92">
        <v>45399</v>
      </c>
      <c r="I173" s="87" t="s">
        <v>12</v>
      </c>
      <c r="J173" s="34"/>
      <c r="K173" s="92" t="s">
        <v>1261</v>
      </c>
      <c r="L173" s="101">
        <v>52</v>
      </c>
      <c r="M173" s="112"/>
    </row>
    <row r="174" spans="1:13" ht="15.75">
      <c r="A174" s="46"/>
      <c r="B174" s="46"/>
      <c r="C174" s="46"/>
      <c r="D174" s="46" t="s">
        <v>11</v>
      </c>
      <c r="E174" s="42"/>
      <c r="F174" s="90"/>
      <c r="G174" s="89">
        <f>SUM(G158:G173)</f>
        <v>63200</v>
      </c>
      <c r="H174" s="114"/>
      <c r="I174" s="42"/>
      <c r="J174" s="45">
        <f>G174</f>
        <v>63200</v>
      </c>
      <c r="K174" s="114"/>
      <c r="L174" s="46">
        <v>52</v>
      </c>
      <c r="M174" s="88"/>
    </row>
    <row r="175" spans="1:13" ht="31.5">
      <c r="A175" s="83">
        <v>740</v>
      </c>
      <c r="B175" s="18" t="s">
        <v>8</v>
      </c>
      <c r="C175" s="116" t="s">
        <v>405</v>
      </c>
      <c r="D175" s="21" t="s">
        <v>1260</v>
      </c>
      <c r="E175" s="20" t="s">
        <v>23</v>
      </c>
      <c r="F175" s="18" t="str">
        <f>B175</f>
        <v>CCE</v>
      </c>
      <c r="G175" s="86">
        <v>6000</v>
      </c>
      <c r="H175" s="92">
        <v>45414</v>
      </c>
      <c r="I175" s="87" t="s">
        <v>12</v>
      </c>
      <c r="J175" s="34"/>
      <c r="K175" s="92">
        <v>45261</v>
      </c>
      <c r="L175" s="101">
        <v>53</v>
      </c>
      <c r="M175" s="117"/>
    </row>
    <row r="176" spans="1:13" ht="31.5">
      <c r="A176" s="83">
        <v>741</v>
      </c>
      <c r="B176" s="18" t="s">
        <v>8</v>
      </c>
      <c r="C176" s="116" t="s">
        <v>405</v>
      </c>
      <c r="D176" s="21" t="s">
        <v>1259</v>
      </c>
      <c r="E176" s="20" t="s">
        <v>324</v>
      </c>
      <c r="F176" s="18" t="str">
        <f>B176</f>
        <v>CCE</v>
      </c>
      <c r="G176" s="86">
        <v>5000</v>
      </c>
      <c r="H176" s="92">
        <v>45414</v>
      </c>
      <c r="I176" s="87" t="s">
        <v>12</v>
      </c>
      <c r="J176" s="34"/>
      <c r="K176" s="92">
        <v>45292</v>
      </c>
      <c r="L176" s="101">
        <v>53</v>
      </c>
      <c r="M176" s="117"/>
    </row>
    <row r="177" spans="1:13" ht="15.75">
      <c r="A177" s="83">
        <v>742</v>
      </c>
      <c r="B177" s="18" t="s">
        <v>8</v>
      </c>
      <c r="C177" s="116" t="s">
        <v>405</v>
      </c>
      <c r="D177" s="21" t="s">
        <v>1258</v>
      </c>
      <c r="E177" s="20" t="s">
        <v>324</v>
      </c>
      <c r="F177" s="18" t="str">
        <f>B177</f>
        <v>CCE</v>
      </c>
      <c r="G177" s="86">
        <v>3000</v>
      </c>
      <c r="H177" s="92">
        <v>45414</v>
      </c>
      <c r="I177" s="87" t="s">
        <v>12</v>
      </c>
      <c r="J177" s="34"/>
      <c r="K177" s="92">
        <v>45323</v>
      </c>
      <c r="L177" s="101">
        <v>53</v>
      </c>
      <c r="M177" s="117"/>
    </row>
    <row r="178" spans="1:13" ht="31.5">
      <c r="A178" s="83">
        <v>743</v>
      </c>
      <c r="B178" s="18" t="s">
        <v>8</v>
      </c>
      <c r="C178" s="116" t="s">
        <v>405</v>
      </c>
      <c r="D178" s="21" t="s">
        <v>1257</v>
      </c>
      <c r="E178" s="20" t="s">
        <v>324</v>
      </c>
      <c r="F178" s="18" t="str">
        <f>B178</f>
        <v>CCE</v>
      </c>
      <c r="G178" s="86">
        <v>3000</v>
      </c>
      <c r="H178" s="92">
        <v>45414</v>
      </c>
      <c r="I178" s="87" t="s">
        <v>12</v>
      </c>
      <c r="J178" s="34"/>
      <c r="K178" s="92">
        <v>45323</v>
      </c>
      <c r="L178" s="101">
        <v>53</v>
      </c>
      <c r="M178" s="117"/>
    </row>
    <row r="179" spans="1:13" ht="31.5">
      <c r="A179" s="83">
        <v>744</v>
      </c>
      <c r="B179" s="18" t="s">
        <v>8</v>
      </c>
      <c r="C179" s="116" t="s">
        <v>405</v>
      </c>
      <c r="D179" s="21" t="s">
        <v>1256</v>
      </c>
      <c r="E179" s="20" t="s">
        <v>16</v>
      </c>
      <c r="F179" s="18" t="str">
        <f>B179</f>
        <v>CCE</v>
      </c>
      <c r="G179" s="86">
        <v>3000</v>
      </c>
      <c r="H179" s="92">
        <v>45414</v>
      </c>
      <c r="I179" s="87" t="s">
        <v>12</v>
      </c>
      <c r="J179" s="34"/>
      <c r="K179" s="92">
        <v>45108</v>
      </c>
      <c r="L179" s="101">
        <v>53</v>
      </c>
      <c r="M179" s="119"/>
    </row>
    <row r="180" spans="1:13" ht="31.5">
      <c r="A180" s="83">
        <v>745</v>
      </c>
      <c r="B180" s="18" t="s">
        <v>8</v>
      </c>
      <c r="C180" s="116" t="s">
        <v>405</v>
      </c>
      <c r="D180" s="21" t="s">
        <v>1255</v>
      </c>
      <c r="E180" s="20" t="s">
        <v>16</v>
      </c>
      <c r="F180" s="18" t="str">
        <f>B180</f>
        <v>CCE</v>
      </c>
      <c r="G180" s="86">
        <v>900</v>
      </c>
      <c r="H180" s="92">
        <v>45414</v>
      </c>
      <c r="I180" s="87" t="s">
        <v>12</v>
      </c>
      <c r="J180" s="34"/>
      <c r="K180" s="92">
        <v>45108</v>
      </c>
      <c r="L180" s="101">
        <v>53</v>
      </c>
      <c r="M180" s="119"/>
    </row>
    <row r="181" spans="1:13" ht="31.5">
      <c r="A181" s="83">
        <v>746</v>
      </c>
      <c r="B181" s="18" t="s">
        <v>8</v>
      </c>
      <c r="C181" s="116" t="s">
        <v>405</v>
      </c>
      <c r="D181" s="21" t="s">
        <v>1254</v>
      </c>
      <c r="E181" s="20" t="s">
        <v>16</v>
      </c>
      <c r="F181" s="18" t="str">
        <f>B181</f>
        <v>CCE</v>
      </c>
      <c r="G181" s="86">
        <v>3000</v>
      </c>
      <c r="H181" s="92">
        <v>45414</v>
      </c>
      <c r="I181" s="87" t="s">
        <v>12</v>
      </c>
      <c r="J181" s="34"/>
      <c r="K181" s="92">
        <v>45200</v>
      </c>
      <c r="L181" s="101">
        <v>53</v>
      </c>
      <c r="M181" s="117"/>
    </row>
    <row r="182" spans="1:13" ht="15.75">
      <c r="A182" s="83">
        <v>747</v>
      </c>
      <c r="B182" s="18" t="s">
        <v>8</v>
      </c>
      <c r="C182" s="116" t="s">
        <v>405</v>
      </c>
      <c r="D182" s="21" t="s">
        <v>198</v>
      </c>
      <c r="E182" s="20" t="s">
        <v>193</v>
      </c>
      <c r="F182" s="18" t="str">
        <f>B182</f>
        <v>CCE</v>
      </c>
      <c r="G182" s="86">
        <v>4000</v>
      </c>
      <c r="H182" s="92">
        <v>45414</v>
      </c>
      <c r="I182" s="87" t="s">
        <v>12</v>
      </c>
      <c r="J182" s="34"/>
      <c r="K182" s="92" t="s">
        <v>1253</v>
      </c>
      <c r="L182" s="101">
        <v>53</v>
      </c>
      <c r="M182" s="112"/>
    </row>
    <row r="183" spans="1:13" ht="31.5">
      <c r="A183" s="83">
        <v>748</v>
      </c>
      <c r="B183" s="18" t="s">
        <v>6</v>
      </c>
      <c r="C183" s="116" t="s">
        <v>230</v>
      </c>
      <c r="D183" s="21" t="s">
        <v>1252</v>
      </c>
      <c r="E183" s="20" t="s">
        <v>324</v>
      </c>
      <c r="F183" s="18" t="str">
        <f>B183</f>
        <v>CSE</v>
      </c>
      <c r="G183" s="86">
        <v>3000</v>
      </c>
      <c r="H183" s="92">
        <v>45414</v>
      </c>
      <c r="I183" s="87" t="s">
        <v>12</v>
      </c>
      <c r="J183" s="34"/>
      <c r="K183" s="92" t="s">
        <v>1053</v>
      </c>
      <c r="L183" s="101">
        <v>53</v>
      </c>
      <c r="M183" s="112"/>
    </row>
    <row r="184" spans="1:13" ht="31.5">
      <c r="A184" s="83">
        <v>749</v>
      </c>
      <c r="B184" s="18" t="s">
        <v>6</v>
      </c>
      <c r="C184" s="116" t="s">
        <v>230</v>
      </c>
      <c r="D184" s="21" t="s">
        <v>1251</v>
      </c>
      <c r="E184" s="20" t="s">
        <v>324</v>
      </c>
      <c r="F184" s="18" t="str">
        <f>B184</f>
        <v>CSE</v>
      </c>
      <c r="G184" s="86">
        <v>3000</v>
      </c>
      <c r="H184" s="92">
        <v>45414</v>
      </c>
      <c r="I184" s="87" t="s">
        <v>12</v>
      </c>
      <c r="J184" s="34"/>
      <c r="K184" s="92" t="s">
        <v>1053</v>
      </c>
      <c r="L184" s="101">
        <v>53</v>
      </c>
      <c r="M184" s="112"/>
    </row>
    <row r="185" spans="1:13" ht="31.5">
      <c r="A185" s="83">
        <v>750</v>
      </c>
      <c r="B185" s="18" t="s">
        <v>6</v>
      </c>
      <c r="C185" s="116" t="s">
        <v>230</v>
      </c>
      <c r="D185" s="21" t="s">
        <v>1250</v>
      </c>
      <c r="E185" s="20" t="s">
        <v>324</v>
      </c>
      <c r="F185" s="18" t="str">
        <f>B185</f>
        <v>CSE</v>
      </c>
      <c r="G185" s="86">
        <v>3000</v>
      </c>
      <c r="H185" s="92">
        <v>45414</v>
      </c>
      <c r="I185" s="87" t="s">
        <v>12</v>
      </c>
      <c r="J185" s="34"/>
      <c r="K185" s="92">
        <v>45537</v>
      </c>
      <c r="L185" s="101">
        <v>53</v>
      </c>
      <c r="M185" s="113"/>
    </row>
    <row r="186" spans="1:13" ht="31.5">
      <c r="A186" s="83">
        <v>751</v>
      </c>
      <c r="B186" s="18" t="s">
        <v>6</v>
      </c>
      <c r="C186" s="116" t="s">
        <v>181</v>
      </c>
      <c r="D186" s="21" t="s">
        <v>1249</v>
      </c>
      <c r="E186" s="20" t="s">
        <v>16</v>
      </c>
      <c r="F186" s="18" t="str">
        <f>B186</f>
        <v>CSE</v>
      </c>
      <c r="G186" s="86">
        <v>1800</v>
      </c>
      <c r="H186" s="92">
        <v>45414</v>
      </c>
      <c r="I186" s="87"/>
      <c r="J186" s="34"/>
      <c r="K186" s="92" t="s">
        <v>829</v>
      </c>
      <c r="L186" s="101">
        <v>53</v>
      </c>
      <c r="M186" s="112"/>
    </row>
    <row r="187" spans="1:13" ht="31.5">
      <c r="A187" s="83">
        <v>752</v>
      </c>
      <c r="B187" s="18" t="s">
        <v>5</v>
      </c>
      <c r="C187" s="116" t="s">
        <v>173</v>
      </c>
      <c r="D187" s="21" t="s">
        <v>1248</v>
      </c>
      <c r="E187" s="20" t="s">
        <v>23</v>
      </c>
      <c r="F187" s="18" t="str">
        <f>B187</f>
        <v>ECE</v>
      </c>
      <c r="G187" s="86">
        <v>10000</v>
      </c>
      <c r="H187" s="92">
        <v>45414</v>
      </c>
      <c r="I187" s="87" t="s">
        <v>12</v>
      </c>
      <c r="J187" s="34"/>
      <c r="K187" s="92">
        <v>45568</v>
      </c>
      <c r="L187" s="101">
        <v>53</v>
      </c>
      <c r="M187" s="113"/>
    </row>
    <row r="188" spans="1:13" ht="31.5">
      <c r="A188" s="83">
        <v>753</v>
      </c>
      <c r="B188" s="18" t="s">
        <v>5</v>
      </c>
      <c r="C188" s="116" t="s">
        <v>173</v>
      </c>
      <c r="D188" s="21" t="s">
        <v>1247</v>
      </c>
      <c r="E188" s="20" t="s">
        <v>23</v>
      </c>
      <c r="F188" s="18" t="str">
        <f>B188</f>
        <v>ECE</v>
      </c>
      <c r="G188" s="86">
        <v>10000</v>
      </c>
      <c r="H188" s="92">
        <v>45414</v>
      </c>
      <c r="I188" s="87" t="s">
        <v>12</v>
      </c>
      <c r="J188" s="34"/>
      <c r="K188" s="92" t="s">
        <v>981</v>
      </c>
      <c r="L188" s="101">
        <v>53</v>
      </c>
      <c r="M188" s="112"/>
    </row>
    <row r="189" spans="1:13" ht="31.5">
      <c r="A189" s="83">
        <v>754</v>
      </c>
      <c r="B189" s="18" t="s">
        <v>5</v>
      </c>
      <c r="C189" s="116" t="s">
        <v>173</v>
      </c>
      <c r="D189" s="21" t="s">
        <v>1246</v>
      </c>
      <c r="E189" s="20" t="s">
        <v>23</v>
      </c>
      <c r="F189" s="18" t="str">
        <f>B189</f>
        <v>ECE</v>
      </c>
      <c r="G189" s="86">
        <v>10000</v>
      </c>
      <c r="H189" s="92">
        <v>45414</v>
      </c>
      <c r="I189" s="87" t="s">
        <v>12</v>
      </c>
      <c r="J189" s="34"/>
      <c r="K189" s="92">
        <v>45508</v>
      </c>
      <c r="L189" s="101">
        <v>53</v>
      </c>
      <c r="M189" s="113"/>
    </row>
    <row r="190" spans="1:13" ht="47.25">
      <c r="A190" s="83">
        <v>755</v>
      </c>
      <c r="B190" s="18" t="s">
        <v>5</v>
      </c>
      <c r="C190" s="116" t="s">
        <v>72</v>
      </c>
      <c r="D190" s="21" t="s">
        <v>1245</v>
      </c>
      <c r="E190" s="20" t="s">
        <v>23</v>
      </c>
      <c r="F190" s="18" t="str">
        <f>B190</f>
        <v>ECE</v>
      </c>
      <c r="G190" s="86">
        <v>12000</v>
      </c>
      <c r="H190" s="92">
        <v>45414</v>
      </c>
      <c r="I190" s="87" t="s">
        <v>12</v>
      </c>
      <c r="J190" s="34"/>
      <c r="K190" s="92" t="s">
        <v>1244</v>
      </c>
      <c r="L190" s="101">
        <v>53</v>
      </c>
      <c r="M190" s="112"/>
    </row>
    <row r="191" spans="1:13" ht="47.25">
      <c r="A191" s="83">
        <v>756</v>
      </c>
      <c r="B191" s="18" t="s">
        <v>5</v>
      </c>
      <c r="C191" s="116" t="s">
        <v>72</v>
      </c>
      <c r="D191" s="21" t="s">
        <v>1243</v>
      </c>
      <c r="E191" s="20" t="s">
        <v>23</v>
      </c>
      <c r="F191" s="18" t="str">
        <f>B191</f>
        <v>ECE</v>
      </c>
      <c r="G191" s="86">
        <v>12000</v>
      </c>
      <c r="H191" s="92">
        <v>45414</v>
      </c>
      <c r="I191" s="87" t="s">
        <v>12</v>
      </c>
      <c r="J191" s="34"/>
      <c r="K191" s="92">
        <v>45326</v>
      </c>
      <c r="L191" s="101">
        <v>53</v>
      </c>
      <c r="M191" s="113"/>
    </row>
    <row r="192" spans="1:13" ht="15.75">
      <c r="A192" s="83">
        <v>757</v>
      </c>
      <c r="B192" s="18" t="s">
        <v>5</v>
      </c>
      <c r="C192" s="116" t="s">
        <v>72</v>
      </c>
      <c r="D192" s="21" t="s">
        <v>166</v>
      </c>
      <c r="E192" s="20" t="s">
        <v>193</v>
      </c>
      <c r="F192" s="18" t="str">
        <f>B192</f>
        <v>ECE</v>
      </c>
      <c r="G192" s="86">
        <v>2000</v>
      </c>
      <c r="H192" s="92">
        <v>45414</v>
      </c>
      <c r="I192" s="87" t="s">
        <v>12</v>
      </c>
      <c r="J192" s="34"/>
      <c r="K192" s="92" t="s">
        <v>1237</v>
      </c>
      <c r="L192" s="101">
        <v>53</v>
      </c>
      <c r="M192" s="112"/>
    </row>
    <row r="193" spans="1:13" ht="31.5">
      <c r="A193" s="83">
        <v>758</v>
      </c>
      <c r="B193" s="18" t="s">
        <v>5</v>
      </c>
      <c r="C193" s="118" t="s">
        <v>18</v>
      </c>
      <c r="D193" s="21" t="s">
        <v>1242</v>
      </c>
      <c r="E193" s="20" t="s">
        <v>16</v>
      </c>
      <c r="F193" s="18" t="str">
        <f>B193</f>
        <v>ECE</v>
      </c>
      <c r="G193" s="86">
        <v>1800</v>
      </c>
      <c r="H193" s="92">
        <v>45414</v>
      </c>
      <c r="I193" s="87" t="s">
        <v>12</v>
      </c>
      <c r="J193" s="34"/>
      <c r="K193" s="92">
        <v>45383</v>
      </c>
      <c r="L193" s="101">
        <v>53</v>
      </c>
      <c r="M193" s="117"/>
    </row>
    <row r="194" spans="1:13" ht="15.75">
      <c r="A194" s="83">
        <v>759</v>
      </c>
      <c r="B194" s="18" t="s">
        <v>5</v>
      </c>
      <c r="C194" s="116" t="s">
        <v>112</v>
      </c>
      <c r="D194" s="21" t="s">
        <v>198</v>
      </c>
      <c r="E194" s="20" t="s">
        <v>193</v>
      </c>
      <c r="F194" s="18" t="str">
        <f>B194</f>
        <v>ECE</v>
      </c>
      <c r="G194" s="86">
        <v>4000</v>
      </c>
      <c r="H194" s="92">
        <v>45414</v>
      </c>
      <c r="I194" s="87"/>
      <c r="J194" s="34"/>
      <c r="K194" s="92" t="s">
        <v>804</v>
      </c>
      <c r="L194" s="101">
        <v>53</v>
      </c>
      <c r="M194" s="112"/>
    </row>
    <row r="195" spans="1:13" ht="15.75">
      <c r="A195" s="83">
        <v>760</v>
      </c>
      <c r="B195" s="18" t="s">
        <v>5</v>
      </c>
      <c r="C195" s="116" t="s">
        <v>178</v>
      </c>
      <c r="D195" s="21" t="s">
        <v>239</v>
      </c>
      <c r="E195" s="20" t="s">
        <v>193</v>
      </c>
      <c r="F195" s="18" t="str">
        <f>B195</f>
        <v>ECE</v>
      </c>
      <c r="G195" s="86">
        <v>6000</v>
      </c>
      <c r="H195" s="92">
        <v>45414</v>
      </c>
      <c r="I195" s="87" t="s">
        <v>12</v>
      </c>
      <c r="J195" s="34"/>
      <c r="K195" s="92" t="s">
        <v>1237</v>
      </c>
      <c r="L195" s="101">
        <v>53</v>
      </c>
      <c r="M195" s="112"/>
    </row>
    <row r="196" spans="1:13" ht="47.25">
      <c r="A196" s="83">
        <v>761</v>
      </c>
      <c r="B196" s="18" t="s">
        <v>2</v>
      </c>
      <c r="C196" s="116" t="s">
        <v>243</v>
      </c>
      <c r="D196" s="21" t="s">
        <v>1241</v>
      </c>
      <c r="E196" s="20" t="s">
        <v>23</v>
      </c>
      <c r="F196" s="18" t="str">
        <f>B196</f>
        <v>Mech</v>
      </c>
      <c r="G196" s="86">
        <v>3000</v>
      </c>
      <c r="H196" s="92">
        <v>45414</v>
      </c>
      <c r="I196" s="87" t="s">
        <v>12</v>
      </c>
      <c r="J196" s="34"/>
      <c r="K196" s="92" t="s">
        <v>1148</v>
      </c>
      <c r="L196" s="101">
        <v>53</v>
      </c>
      <c r="M196" s="112"/>
    </row>
    <row r="197" spans="1:13" ht="47.25">
      <c r="A197" s="83">
        <v>762</v>
      </c>
      <c r="B197" s="18" t="s">
        <v>2</v>
      </c>
      <c r="C197" s="116" t="s">
        <v>99</v>
      </c>
      <c r="D197" s="21" t="s">
        <v>1240</v>
      </c>
      <c r="E197" s="20" t="s">
        <v>23</v>
      </c>
      <c r="F197" s="18" t="str">
        <f>B197</f>
        <v>Mech</v>
      </c>
      <c r="G197" s="86">
        <v>10000</v>
      </c>
      <c r="H197" s="92">
        <v>45414</v>
      </c>
      <c r="I197" s="87" t="s">
        <v>12</v>
      </c>
      <c r="J197" s="34"/>
      <c r="K197" s="92" t="s">
        <v>1239</v>
      </c>
      <c r="L197" s="101">
        <v>53</v>
      </c>
      <c r="M197" s="112"/>
    </row>
    <row r="198" spans="1:13" ht="31.5">
      <c r="A198" s="83">
        <v>763</v>
      </c>
      <c r="B198" s="18" t="s">
        <v>2</v>
      </c>
      <c r="C198" s="116" t="s">
        <v>99</v>
      </c>
      <c r="D198" s="21" t="s">
        <v>1238</v>
      </c>
      <c r="E198" s="20" t="s">
        <v>187</v>
      </c>
      <c r="F198" s="18" t="str">
        <f>B198</f>
        <v>Mech</v>
      </c>
      <c r="G198" s="86">
        <v>1800</v>
      </c>
      <c r="H198" s="92">
        <v>45414</v>
      </c>
      <c r="I198" s="87" t="s">
        <v>12</v>
      </c>
      <c r="J198" s="34"/>
      <c r="K198" s="92">
        <v>45326</v>
      </c>
      <c r="L198" s="101">
        <v>53</v>
      </c>
      <c r="M198" s="113"/>
    </row>
    <row r="199" spans="1:13" ht="15.75">
      <c r="A199" s="83">
        <v>764</v>
      </c>
      <c r="B199" s="18" t="s">
        <v>2</v>
      </c>
      <c r="C199" s="116" t="s">
        <v>48</v>
      </c>
      <c r="D199" s="21" t="s">
        <v>319</v>
      </c>
      <c r="E199" s="20" t="s">
        <v>193</v>
      </c>
      <c r="F199" s="18" t="str">
        <f>B199</f>
        <v>Mech</v>
      </c>
      <c r="G199" s="86">
        <v>8000</v>
      </c>
      <c r="H199" s="92">
        <v>45414</v>
      </c>
      <c r="I199" s="87" t="s">
        <v>12</v>
      </c>
      <c r="J199" s="34"/>
      <c r="K199" s="92" t="s">
        <v>1237</v>
      </c>
      <c r="L199" s="101">
        <v>53</v>
      </c>
      <c r="M199" s="112"/>
    </row>
    <row r="200" spans="1:13" ht="15.75">
      <c r="A200" s="83">
        <v>765</v>
      </c>
      <c r="B200" s="18" t="s">
        <v>0</v>
      </c>
      <c r="C200" s="116" t="s">
        <v>886</v>
      </c>
      <c r="D200" s="21" t="s">
        <v>1236</v>
      </c>
      <c r="E200" s="20" t="s">
        <v>16</v>
      </c>
      <c r="F200" s="18" t="str">
        <f>B200</f>
        <v>Maths</v>
      </c>
      <c r="G200" s="86">
        <v>5000</v>
      </c>
      <c r="H200" s="92">
        <v>45414</v>
      </c>
      <c r="I200" s="87"/>
      <c r="J200" s="34"/>
      <c r="K200" s="92" t="s">
        <v>1235</v>
      </c>
      <c r="L200" s="101">
        <v>53</v>
      </c>
      <c r="M200" s="112"/>
    </row>
    <row r="201" spans="1:13" ht="15.75">
      <c r="A201" s="46"/>
      <c r="B201" s="46"/>
      <c r="C201" s="46"/>
      <c r="D201" s="46" t="s">
        <v>11</v>
      </c>
      <c r="E201" s="42"/>
      <c r="F201" s="90"/>
      <c r="G201" s="89">
        <f>SUM(G175:G200)</f>
        <v>134300</v>
      </c>
      <c r="H201" s="114"/>
      <c r="I201" s="42"/>
      <c r="J201" s="45">
        <f>G201</f>
        <v>134300</v>
      </c>
      <c r="K201" s="114"/>
      <c r="L201" s="46">
        <v>53</v>
      </c>
      <c r="M201" s="88"/>
    </row>
    <row r="202" spans="1:13" ht="31.5">
      <c r="A202" s="83">
        <v>766</v>
      </c>
      <c r="B202" s="18" t="s">
        <v>36</v>
      </c>
      <c r="C202" s="21" t="s">
        <v>837</v>
      </c>
      <c r="D202" s="21" t="s">
        <v>1234</v>
      </c>
      <c r="E202" s="20" t="s">
        <v>324</v>
      </c>
      <c r="F202" s="18" t="str">
        <f>B202</f>
        <v>AIDS</v>
      </c>
      <c r="G202" s="86">
        <v>3000</v>
      </c>
      <c r="H202" s="92">
        <v>45425</v>
      </c>
      <c r="I202" s="87" t="s">
        <v>12</v>
      </c>
      <c r="J202" s="34"/>
      <c r="K202" s="92">
        <v>45386</v>
      </c>
      <c r="L202" s="101">
        <v>54</v>
      </c>
      <c r="M202" s="113"/>
    </row>
    <row r="203" spans="1:13" ht="15.75">
      <c r="A203" s="83">
        <v>767</v>
      </c>
      <c r="B203" s="18" t="s">
        <v>8</v>
      </c>
      <c r="C203" s="21" t="s">
        <v>405</v>
      </c>
      <c r="D203" s="21" t="s">
        <v>1233</v>
      </c>
      <c r="E203" s="20" t="s">
        <v>324</v>
      </c>
      <c r="F203" s="18" t="str">
        <f>B203</f>
        <v>CCE</v>
      </c>
      <c r="G203" s="86">
        <v>3000</v>
      </c>
      <c r="H203" s="92">
        <v>45425</v>
      </c>
      <c r="I203" s="87" t="s">
        <v>12</v>
      </c>
      <c r="J203" s="34"/>
      <c r="K203" s="92">
        <v>44936</v>
      </c>
      <c r="L203" s="101">
        <v>54</v>
      </c>
      <c r="M203" s="113"/>
    </row>
    <row r="204" spans="1:13" ht="31.5">
      <c r="A204" s="83">
        <v>768</v>
      </c>
      <c r="B204" s="18" t="s">
        <v>8</v>
      </c>
      <c r="C204" s="21" t="s">
        <v>405</v>
      </c>
      <c r="D204" s="21" t="s">
        <v>1232</v>
      </c>
      <c r="E204" s="20" t="s">
        <v>16</v>
      </c>
      <c r="F204" s="18" t="str">
        <f>B204</f>
        <v>CCE</v>
      </c>
      <c r="G204" s="86">
        <v>3000</v>
      </c>
      <c r="H204" s="92">
        <v>45425</v>
      </c>
      <c r="I204" s="87" t="s">
        <v>12</v>
      </c>
      <c r="J204" s="34"/>
      <c r="K204" s="92">
        <v>45293</v>
      </c>
      <c r="L204" s="101">
        <v>54</v>
      </c>
      <c r="M204" s="113"/>
    </row>
    <row r="205" spans="1:13" ht="15.75">
      <c r="A205" s="83">
        <v>769</v>
      </c>
      <c r="B205" s="18" t="s">
        <v>8</v>
      </c>
      <c r="C205" s="21" t="s">
        <v>405</v>
      </c>
      <c r="D205" s="21" t="s">
        <v>166</v>
      </c>
      <c r="E205" s="20" t="s">
        <v>193</v>
      </c>
      <c r="F205" s="18" t="str">
        <f>B205</f>
        <v>CCE</v>
      </c>
      <c r="G205" s="86">
        <v>2000</v>
      </c>
      <c r="H205" s="92">
        <v>45425</v>
      </c>
      <c r="I205" s="87" t="s">
        <v>12</v>
      </c>
      <c r="J205" s="34"/>
      <c r="K205" s="92">
        <v>45509</v>
      </c>
      <c r="L205" s="101">
        <v>54</v>
      </c>
      <c r="M205" s="113"/>
    </row>
    <row r="206" spans="1:13" ht="47.25">
      <c r="A206" s="83">
        <v>770</v>
      </c>
      <c r="B206" s="18" t="s">
        <v>8</v>
      </c>
      <c r="C206" s="21" t="s">
        <v>307</v>
      </c>
      <c r="D206" s="21" t="s">
        <v>1231</v>
      </c>
      <c r="E206" s="20" t="s">
        <v>23</v>
      </c>
      <c r="F206" s="18" t="str">
        <f>B206</f>
        <v>CCE</v>
      </c>
      <c r="G206" s="86">
        <v>10000</v>
      </c>
      <c r="H206" s="92">
        <v>45425</v>
      </c>
      <c r="I206" s="87" t="s">
        <v>12</v>
      </c>
      <c r="J206" s="34"/>
      <c r="K206" s="92" t="s">
        <v>1000</v>
      </c>
      <c r="L206" s="101">
        <v>54</v>
      </c>
      <c r="M206" s="112"/>
    </row>
    <row r="207" spans="1:13" ht="15.75">
      <c r="A207" s="83">
        <v>771</v>
      </c>
      <c r="B207" s="18" t="s">
        <v>8</v>
      </c>
      <c r="C207" s="21" t="s">
        <v>307</v>
      </c>
      <c r="D207" s="21" t="s">
        <v>166</v>
      </c>
      <c r="E207" s="20" t="s">
        <v>193</v>
      </c>
      <c r="F207" s="18" t="str">
        <f>B207</f>
        <v>CCE</v>
      </c>
      <c r="G207" s="86">
        <v>2000</v>
      </c>
      <c r="H207" s="92">
        <v>45425</v>
      </c>
      <c r="I207" s="87" t="s">
        <v>12</v>
      </c>
      <c r="J207" s="34"/>
      <c r="K207" s="92" t="s">
        <v>1230</v>
      </c>
      <c r="L207" s="101">
        <v>54</v>
      </c>
      <c r="M207" s="112"/>
    </row>
    <row r="208" spans="1:13" ht="31.5">
      <c r="A208" s="83">
        <v>772</v>
      </c>
      <c r="B208" s="18" t="s">
        <v>8</v>
      </c>
      <c r="C208" s="21" t="s">
        <v>279</v>
      </c>
      <c r="D208" s="21" t="s">
        <v>1229</v>
      </c>
      <c r="E208" s="20" t="s">
        <v>16</v>
      </c>
      <c r="F208" s="18" t="str">
        <f>B208</f>
        <v>CCE</v>
      </c>
      <c r="G208" s="86">
        <v>3000</v>
      </c>
      <c r="H208" s="92">
        <v>45425</v>
      </c>
      <c r="I208" s="87" t="s">
        <v>12</v>
      </c>
      <c r="J208" s="34"/>
      <c r="K208" s="92" t="s">
        <v>1228</v>
      </c>
      <c r="L208" s="101">
        <v>54</v>
      </c>
      <c r="M208" s="112"/>
    </row>
    <row r="209" spans="1:13" ht="15.75">
      <c r="A209" s="83">
        <v>773</v>
      </c>
      <c r="B209" s="18" t="s">
        <v>6</v>
      </c>
      <c r="C209" s="21" t="s">
        <v>181</v>
      </c>
      <c r="D209" s="21" t="s">
        <v>1227</v>
      </c>
      <c r="E209" s="20" t="s">
        <v>324</v>
      </c>
      <c r="F209" s="18" t="str">
        <f>B209</f>
        <v>CSE</v>
      </c>
      <c r="G209" s="86">
        <v>5000</v>
      </c>
      <c r="H209" s="92">
        <v>45425</v>
      </c>
      <c r="I209" s="87"/>
      <c r="J209" s="34"/>
      <c r="K209" s="92">
        <v>45356</v>
      </c>
      <c r="L209" s="101">
        <v>54</v>
      </c>
      <c r="M209" s="113"/>
    </row>
    <row r="210" spans="1:13" ht="31.5">
      <c r="A210" s="83">
        <v>774</v>
      </c>
      <c r="B210" s="18" t="s">
        <v>6</v>
      </c>
      <c r="C210" s="21" t="s">
        <v>369</v>
      </c>
      <c r="D210" s="21" t="s">
        <v>1226</v>
      </c>
      <c r="E210" s="20" t="s">
        <v>16</v>
      </c>
      <c r="F210" s="18" t="str">
        <f>B210</f>
        <v>CSE</v>
      </c>
      <c r="G210" s="86">
        <v>900</v>
      </c>
      <c r="H210" s="92">
        <v>45425</v>
      </c>
      <c r="I210" s="87"/>
      <c r="J210" s="34"/>
      <c r="K210" s="92" t="s">
        <v>1225</v>
      </c>
      <c r="L210" s="101">
        <v>54</v>
      </c>
      <c r="M210" s="112"/>
    </row>
    <row r="211" spans="1:13" ht="15.75">
      <c r="A211" s="83">
        <v>775</v>
      </c>
      <c r="B211" s="18" t="s">
        <v>6</v>
      </c>
      <c r="C211" s="21" t="s">
        <v>369</v>
      </c>
      <c r="D211" s="21" t="s">
        <v>166</v>
      </c>
      <c r="E211" s="20" t="s">
        <v>193</v>
      </c>
      <c r="F211" s="18" t="str">
        <f>B211</f>
        <v>CSE</v>
      </c>
      <c r="G211" s="86">
        <v>2000</v>
      </c>
      <c r="H211" s="92">
        <v>45425</v>
      </c>
      <c r="I211" s="87"/>
      <c r="J211" s="34"/>
      <c r="K211" s="92">
        <v>45509</v>
      </c>
      <c r="L211" s="101">
        <v>54</v>
      </c>
      <c r="M211" s="113"/>
    </row>
    <row r="212" spans="1:13" ht="31.5">
      <c r="A212" s="83">
        <v>776</v>
      </c>
      <c r="B212" s="18" t="s">
        <v>5</v>
      </c>
      <c r="C212" s="21" t="s">
        <v>18</v>
      </c>
      <c r="D212" s="21" t="s">
        <v>1224</v>
      </c>
      <c r="E212" s="20" t="s">
        <v>23</v>
      </c>
      <c r="F212" s="18" t="str">
        <f>B212</f>
        <v>ECE</v>
      </c>
      <c r="G212" s="86">
        <v>10000</v>
      </c>
      <c r="H212" s="92">
        <v>45425</v>
      </c>
      <c r="I212" s="87" t="s">
        <v>12</v>
      </c>
      <c r="J212" s="34"/>
      <c r="K212" s="92">
        <v>45296</v>
      </c>
      <c r="L212" s="101">
        <v>54</v>
      </c>
      <c r="M212" s="113"/>
    </row>
    <row r="213" spans="1:13" ht="47.25">
      <c r="A213" s="83">
        <v>777</v>
      </c>
      <c r="B213" s="18" t="s">
        <v>5</v>
      </c>
      <c r="C213" s="21" t="s">
        <v>66</v>
      </c>
      <c r="D213" s="21" t="s">
        <v>1223</v>
      </c>
      <c r="E213" s="20" t="s">
        <v>23</v>
      </c>
      <c r="F213" s="18" t="str">
        <f>B213</f>
        <v>ECE</v>
      </c>
      <c r="G213" s="86">
        <v>10000</v>
      </c>
      <c r="H213" s="92">
        <v>45425</v>
      </c>
      <c r="I213" s="115"/>
      <c r="J213" s="34"/>
      <c r="K213" s="92" t="s">
        <v>1222</v>
      </c>
      <c r="L213" s="101">
        <v>54</v>
      </c>
      <c r="M213" s="112"/>
    </row>
    <row r="214" spans="1:13" ht="47.25">
      <c r="A214" s="83">
        <v>778</v>
      </c>
      <c r="B214" s="18" t="s">
        <v>5</v>
      </c>
      <c r="C214" s="21" t="s">
        <v>214</v>
      </c>
      <c r="D214" s="21" t="s">
        <v>1221</v>
      </c>
      <c r="E214" s="20" t="s">
        <v>23</v>
      </c>
      <c r="F214" s="18" t="str">
        <f>B214</f>
        <v>ECE</v>
      </c>
      <c r="G214" s="86">
        <v>10000</v>
      </c>
      <c r="H214" s="92">
        <v>45425</v>
      </c>
      <c r="I214" s="87" t="s">
        <v>12</v>
      </c>
      <c r="J214" s="34"/>
      <c r="K214" s="92" t="s">
        <v>1220</v>
      </c>
      <c r="L214" s="101">
        <v>54</v>
      </c>
      <c r="M214" s="112"/>
    </row>
    <row r="215" spans="1:13" ht="47.25">
      <c r="A215" s="83">
        <v>779</v>
      </c>
      <c r="B215" s="18" t="s">
        <v>5</v>
      </c>
      <c r="C215" s="21" t="s">
        <v>214</v>
      </c>
      <c r="D215" s="21" t="s">
        <v>1219</v>
      </c>
      <c r="E215" s="20" t="s">
        <v>23</v>
      </c>
      <c r="F215" s="18" t="str">
        <f>B215</f>
        <v>ECE</v>
      </c>
      <c r="G215" s="86">
        <v>6000</v>
      </c>
      <c r="H215" s="92">
        <v>45425</v>
      </c>
      <c r="I215" s="87" t="s">
        <v>12</v>
      </c>
      <c r="J215" s="34"/>
      <c r="K215" s="92" t="s">
        <v>1218</v>
      </c>
      <c r="L215" s="101">
        <v>54</v>
      </c>
      <c r="M215" s="112"/>
    </row>
    <row r="216" spans="1:13" ht="31.5">
      <c r="A216" s="83">
        <v>780</v>
      </c>
      <c r="B216" s="18" t="s">
        <v>5</v>
      </c>
      <c r="C216" s="21" t="s">
        <v>214</v>
      </c>
      <c r="D216" s="21" t="s">
        <v>1217</v>
      </c>
      <c r="E216" s="20" t="s">
        <v>16</v>
      </c>
      <c r="F216" s="18" t="str">
        <f>B216</f>
        <v>ECE</v>
      </c>
      <c r="G216" s="86">
        <v>3000</v>
      </c>
      <c r="H216" s="92">
        <v>45425</v>
      </c>
      <c r="I216" s="87" t="s">
        <v>12</v>
      </c>
      <c r="J216" s="34"/>
      <c r="K216" s="92" t="s">
        <v>1216</v>
      </c>
      <c r="L216" s="101">
        <v>54</v>
      </c>
      <c r="M216" s="112"/>
    </row>
    <row r="217" spans="1:13" ht="31.5">
      <c r="A217" s="83">
        <v>781</v>
      </c>
      <c r="B217" s="18" t="s">
        <v>5</v>
      </c>
      <c r="C217" s="21" t="s">
        <v>52</v>
      </c>
      <c r="D217" s="21" t="s">
        <v>1215</v>
      </c>
      <c r="E217" s="20" t="s">
        <v>16</v>
      </c>
      <c r="F217" s="18" t="str">
        <f>B217</f>
        <v>ECE</v>
      </c>
      <c r="G217" s="86">
        <v>3000</v>
      </c>
      <c r="H217" s="92">
        <v>45425</v>
      </c>
      <c r="I217" s="87"/>
      <c r="J217" s="34"/>
      <c r="K217" s="92">
        <v>45630</v>
      </c>
      <c r="L217" s="101">
        <v>54</v>
      </c>
      <c r="M217" s="113"/>
    </row>
    <row r="218" spans="1:13" ht="31.5">
      <c r="A218" s="83">
        <v>782</v>
      </c>
      <c r="B218" s="18" t="s">
        <v>5</v>
      </c>
      <c r="C218" s="21" t="s">
        <v>52</v>
      </c>
      <c r="D218" s="21" t="s">
        <v>1214</v>
      </c>
      <c r="E218" s="20" t="s">
        <v>16</v>
      </c>
      <c r="F218" s="18" t="str">
        <f>B218</f>
        <v>ECE</v>
      </c>
      <c r="G218" s="86">
        <v>3000</v>
      </c>
      <c r="H218" s="92">
        <v>45425</v>
      </c>
      <c r="I218" s="87"/>
      <c r="J218" s="34"/>
      <c r="K218" s="92">
        <v>45630</v>
      </c>
      <c r="L218" s="101">
        <v>54</v>
      </c>
      <c r="M218" s="113"/>
    </row>
    <row r="219" spans="1:13" ht="31.5">
      <c r="A219" s="83">
        <v>783</v>
      </c>
      <c r="B219" s="18" t="s">
        <v>5</v>
      </c>
      <c r="C219" s="21" t="s">
        <v>52</v>
      </c>
      <c r="D219" s="21" t="s">
        <v>1213</v>
      </c>
      <c r="E219" s="20" t="s">
        <v>16</v>
      </c>
      <c r="F219" s="18" t="str">
        <f>B219</f>
        <v>ECE</v>
      </c>
      <c r="G219" s="86">
        <v>3000</v>
      </c>
      <c r="H219" s="92">
        <v>45425</v>
      </c>
      <c r="I219" s="87"/>
      <c r="J219" s="34"/>
      <c r="K219" s="92">
        <v>45630</v>
      </c>
      <c r="L219" s="101">
        <v>54</v>
      </c>
      <c r="M219" s="113"/>
    </row>
    <row r="220" spans="1:13" ht="15.75">
      <c r="A220" s="83">
        <v>784</v>
      </c>
      <c r="B220" s="18" t="s">
        <v>5</v>
      </c>
      <c r="C220" s="21" t="s">
        <v>52</v>
      </c>
      <c r="D220" s="21" t="s">
        <v>198</v>
      </c>
      <c r="E220" s="20" t="s">
        <v>193</v>
      </c>
      <c r="F220" s="18" t="str">
        <f>B220</f>
        <v>ECE</v>
      </c>
      <c r="G220" s="86">
        <v>4000</v>
      </c>
      <c r="H220" s="92">
        <v>45425</v>
      </c>
      <c r="I220" s="87"/>
      <c r="J220" s="34"/>
      <c r="K220" s="92">
        <v>45448</v>
      </c>
      <c r="L220" s="101">
        <v>54</v>
      </c>
      <c r="M220" s="113"/>
    </row>
    <row r="221" spans="1:13" ht="31.5">
      <c r="A221" s="83">
        <v>785</v>
      </c>
      <c r="B221" s="18" t="s">
        <v>5</v>
      </c>
      <c r="C221" s="21" t="s">
        <v>178</v>
      </c>
      <c r="D221" s="21" t="s">
        <v>1212</v>
      </c>
      <c r="E221" s="20" t="s">
        <v>16</v>
      </c>
      <c r="F221" s="18" t="str">
        <f>B221</f>
        <v>ECE</v>
      </c>
      <c r="G221" s="86">
        <v>3000</v>
      </c>
      <c r="H221" s="92">
        <v>45425</v>
      </c>
      <c r="I221" s="87" t="s">
        <v>12</v>
      </c>
      <c r="J221" s="34"/>
      <c r="K221" s="92">
        <v>45630</v>
      </c>
      <c r="L221" s="101">
        <v>54</v>
      </c>
      <c r="M221" s="113"/>
    </row>
    <row r="222" spans="1:13" ht="31.5">
      <c r="A222" s="83">
        <v>786</v>
      </c>
      <c r="B222" s="18" t="s">
        <v>5</v>
      </c>
      <c r="C222" s="21" t="s">
        <v>178</v>
      </c>
      <c r="D222" s="21" t="s">
        <v>1211</v>
      </c>
      <c r="E222" s="20" t="s">
        <v>16</v>
      </c>
      <c r="F222" s="18" t="str">
        <f>B222</f>
        <v>ECE</v>
      </c>
      <c r="G222" s="86">
        <v>3000</v>
      </c>
      <c r="H222" s="92">
        <v>45425</v>
      </c>
      <c r="I222" s="87" t="s">
        <v>12</v>
      </c>
      <c r="J222" s="34"/>
      <c r="K222" s="92">
        <v>45630</v>
      </c>
      <c r="L222" s="101">
        <v>54</v>
      </c>
      <c r="M222" s="113"/>
    </row>
    <row r="223" spans="1:13" ht="31.5">
      <c r="A223" s="83">
        <v>787</v>
      </c>
      <c r="B223" s="18" t="s">
        <v>5</v>
      </c>
      <c r="C223" s="21" t="s">
        <v>178</v>
      </c>
      <c r="D223" s="21" t="s">
        <v>1210</v>
      </c>
      <c r="E223" s="20" t="s">
        <v>16</v>
      </c>
      <c r="F223" s="18" t="str">
        <f>B223</f>
        <v>ECE</v>
      </c>
      <c r="G223" s="86">
        <v>3000</v>
      </c>
      <c r="H223" s="92">
        <v>45425</v>
      </c>
      <c r="I223" s="87" t="s">
        <v>12</v>
      </c>
      <c r="J223" s="34"/>
      <c r="K223" s="92">
        <v>45630</v>
      </c>
      <c r="L223" s="101">
        <v>54</v>
      </c>
      <c r="M223" s="113"/>
    </row>
    <row r="224" spans="1:13" ht="31.5">
      <c r="A224" s="83">
        <v>788</v>
      </c>
      <c r="B224" s="18" t="s">
        <v>5</v>
      </c>
      <c r="C224" s="21" t="s">
        <v>403</v>
      </c>
      <c r="D224" s="21" t="s">
        <v>1209</v>
      </c>
      <c r="E224" s="20" t="s">
        <v>23</v>
      </c>
      <c r="F224" s="18" t="str">
        <f>B224</f>
        <v>ECE</v>
      </c>
      <c r="G224" s="86">
        <v>10000</v>
      </c>
      <c r="H224" s="92">
        <v>45425</v>
      </c>
      <c r="I224" s="87" t="s">
        <v>12</v>
      </c>
      <c r="J224" s="34"/>
      <c r="K224" s="92" t="s">
        <v>1014</v>
      </c>
      <c r="L224" s="101">
        <v>54</v>
      </c>
      <c r="M224" s="112"/>
    </row>
    <row r="225" spans="1:13" ht="15.75">
      <c r="A225" s="83">
        <v>789</v>
      </c>
      <c r="B225" s="18" t="s">
        <v>5</v>
      </c>
      <c r="C225" s="21" t="s">
        <v>403</v>
      </c>
      <c r="D225" s="21" t="s">
        <v>198</v>
      </c>
      <c r="E225" s="20" t="s">
        <v>193</v>
      </c>
      <c r="F225" s="18" t="str">
        <f>B225</f>
        <v>ECE</v>
      </c>
      <c r="G225" s="86">
        <v>4000</v>
      </c>
      <c r="H225" s="92">
        <v>45425</v>
      </c>
      <c r="I225" s="87" t="s">
        <v>12</v>
      </c>
      <c r="J225" s="34"/>
      <c r="K225" s="92">
        <v>45477</v>
      </c>
      <c r="L225" s="101">
        <v>54</v>
      </c>
      <c r="M225" s="113"/>
    </row>
    <row r="226" spans="1:13" ht="31.5">
      <c r="A226" s="83">
        <v>790</v>
      </c>
      <c r="B226" s="18" t="s">
        <v>5</v>
      </c>
      <c r="C226" s="21" t="s">
        <v>1208</v>
      </c>
      <c r="D226" s="21" t="s">
        <v>1207</v>
      </c>
      <c r="E226" s="20" t="s">
        <v>23</v>
      </c>
      <c r="F226" s="18" t="str">
        <f>B226</f>
        <v>ECE</v>
      </c>
      <c r="G226" s="86">
        <v>6000</v>
      </c>
      <c r="H226" s="92">
        <v>45425</v>
      </c>
      <c r="I226" s="87" t="s">
        <v>12</v>
      </c>
      <c r="J226" s="34"/>
      <c r="K226" s="92">
        <v>45327</v>
      </c>
      <c r="L226" s="101">
        <v>54</v>
      </c>
      <c r="M226" s="113"/>
    </row>
    <row r="227" spans="1:13" ht="31.5">
      <c r="A227" s="83">
        <v>791</v>
      </c>
      <c r="B227" s="18" t="s">
        <v>5</v>
      </c>
      <c r="C227" s="21" t="s">
        <v>420</v>
      </c>
      <c r="D227" s="21" t="s">
        <v>1206</v>
      </c>
      <c r="E227" s="20" t="s">
        <v>16</v>
      </c>
      <c r="F227" s="18" t="str">
        <f>B227</f>
        <v>ECE</v>
      </c>
      <c r="G227" s="86">
        <v>3000</v>
      </c>
      <c r="H227" s="92">
        <v>45425</v>
      </c>
      <c r="I227" s="87"/>
      <c r="J227" s="34"/>
      <c r="K227" s="92">
        <v>45600</v>
      </c>
      <c r="L227" s="101">
        <v>54</v>
      </c>
      <c r="M227" s="113"/>
    </row>
    <row r="228" spans="1:13" ht="15.75">
      <c r="A228" s="83">
        <v>792</v>
      </c>
      <c r="B228" s="18" t="s">
        <v>1</v>
      </c>
      <c r="C228" s="21" t="s">
        <v>722</v>
      </c>
      <c r="D228" s="21" t="s">
        <v>1205</v>
      </c>
      <c r="E228" s="20" t="s">
        <v>23</v>
      </c>
      <c r="F228" s="18" t="str">
        <f>B228</f>
        <v>S&amp;H</v>
      </c>
      <c r="G228" s="86">
        <v>10000</v>
      </c>
      <c r="H228" s="92">
        <v>45425</v>
      </c>
      <c r="I228" s="87" t="s">
        <v>12</v>
      </c>
      <c r="J228" s="34"/>
      <c r="K228" s="92">
        <v>45568</v>
      </c>
      <c r="L228" s="101">
        <v>54</v>
      </c>
      <c r="M228" s="113"/>
    </row>
    <row r="229" spans="1:13" ht="15.75">
      <c r="A229" s="83">
        <v>793</v>
      </c>
      <c r="B229" s="18" t="s">
        <v>2</v>
      </c>
      <c r="C229" s="21" t="s">
        <v>99</v>
      </c>
      <c r="D229" s="21" t="s">
        <v>725</v>
      </c>
      <c r="E229" s="20" t="s">
        <v>193</v>
      </c>
      <c r="F229" s="18" t="str">
        <f>B229</f>
        <v>Mech</v>
      </c>
      <c r="G229" s="86">
        <v>12000</v>
      </c>
      <c r="H229" s="92">
        <v>45425</v>
      </c>
      <c r="I229" s="87" t="s">
        <v>12</v>
      </c>
      <c r="J229" s="34"/>
      <c r="K229" s="92">
        <v>45540</v>
      </c>
      <c r="L229" s="101">
        <v>54</v>
      </c>
      <c r="M229" s="113"/>
    </row>
    <row r="230" spans="1:13" ht="15.75">
      <c r="A230" s="46"/>
      <c r="B230" s="46"/>
      <c r="C230" s="46"/>
      <c r="D230" s="46" t="s">
        <v>11</v>
      </c>
      <c r="E230" s="42"/>
      <c r="F230" s="90"/>
      <c r="G230" s="89">
        <f>SUM(G202:G229)</f>
        <v>139900</v>
      </c>
      <c r="H230" s="114"/>
      <c r="I230" s="42"/>
      <c r="J230" s="45">
        <f>G230</f>
        <v>139900</v>
      </c>
      <c r="K230" s="114"/>
      <c r="L230" s="46">
        <v>54</v>
      </c>
      <c r="M230" s="88"/>
    </row>
    <row r="231" spans="1:13" ht="31.5">
      <c r="A231" s="83">
        <v>793</v>
      </c>
      <c r="B231" s="18" t="s">
        <v>8</v>
      </c>
      <c r="C231" s="21" t="s">
        <v>1204</v>
      </c>
      <c r="D231" s="21" t="s">
        <v>1203</v>
      </c>
      <c r="E231" s="20" t="s">
        <v>16</v>
      </c>
      <c r="F231" s="18" t="str">
        <f>B231</f>
        <v>CCE</v>
      </c>
      <c r="G231" s="86">
        <v>3000</v>
      </c>
      <c r="H231" s="92">
        <v>45442</v>
      </c>
      <c r="I231" s="87"/>
      <c r="J231" s="57"/>
      <c r="K231" s="92">
        <v>45296</v>
      </c>
      <c r="L231" s="101">
        <v>55</v>
      </c>
      <c r="M231" s="113"/>
    </row>
    <row r="232" spans="1:13" ht="47.25">
      <c r="A232" s="83">
        <v>794</v>
      </c>
      <c r="B232" s="18" t="s">
        <v>8</v>
      </c>
      <c r="C232" s="21" t="s">
        <v>279</v>
      </c>
      <c r="D232" s="21" t="s">
        <v>1202</v>
      </c>
      <c r="E232" s="20" t="s">
        <v>324</v>
      </c>
      <c r="F232" s="18" t="str">
        <f>B232</f>
        <v>CCE</v>
      </c>
      <c r="G232" s="86">
        <v>5000</v>
      </c>
      <c r="H232" s="92">
        <v>45442</v>
      </c>
      <c r="I232" s="87" t="s">
        <v>12</v>
      </c>
      <c r="J232" s="57"/>
      <c r="K232" s="92" t="s">
        <v>981</v>
      </c>
      <c r="L232" s="101">
        <v>55</v>
      </c>
      <c r="M232" s="112"/>
    </row>
    <row r="233" spans="1:13" ht="31.5">
      <c r="A233" s="83">
        <v>795</v>
      </c>
      <c r="B233" s="18" t="s">
        <v>6</v>
      </c>
      <c r="C233" s="21" t="s">
        <v>181</v>
      </c>
      <c r="D233" s="21" t="s">
        <v>1201</v>
      </c>
      <c r="E233" s="20" t="s">
        <v>187</v>
      </c>
      <c r="F233" s="18" t="str">
        <f>B233</f>
        <v>CSE</v>
      </c>
      <c r="G233" s="86">
        <v>1500</v>
      </c>
      <c r="H233" s="92">
        <v>45442</v>
      </c>
      <c r="I233" s="87"/>
      <c r="J233" s="57"/>
      <c r="K233" s="92">
        <v>2024</v>
      </c>
      <c r="L233" s="101">
        <v>55</v>
      </c>
      <c r="M233" s="112"/>
    </row>
    <row r="234" spans="1:13" ht="15.75">
      <c r="A234" s="83">
        <v>796</v>
      </c>
      <c r="B234" s="18" t="s">
        <v>6</v>
      </c>
      <c r="C234" s="21" t="s">
        <v>181</v>
      </c>
      <c r="D234" s="21" t="s">
        <v>1200</v>
      </c>
      <c r="E234" s="20" t="s">
        <v>187</v>
      </c>
      <c r="F234" s="18" t="str">
        <f>B234</f>
        <v>CSE</v>
      </c>
      <c r="G234" s="86">
        <v>1500</v>
      </c>
      <c r="H234" s="92">
        <v>45442</v>
      </c>
      <c r="I234" s="87"/>
      <c r="J234" s="57"/>
      <c r="K234" s="92">
        <v>2024</v>
      </c>
      <c r="L234" s="101">
        <v>55</v>
      </c>
      <c r="M234" s="112"/>
    </row>
    <row r="235" spans="1:13" ht="15.75">
      <c r="A235" s="83">
        <v>797</v>
      </c>
      <c r="B235" s="18" t="s">
        <v>6</v>
      </c>
      <c r="C235" s="21" t="s">
        <v>181</v>
      </c>
      <c r="D235" s="21" t="s">
        <v>1199</v>
      </c>
      <c r="E235" s="20" t="s">
        <v>187</v>
      </c>
      <c r="F235" s="18" t="str">
        <f>B235</f>
        <v>CSE</v>
      </c>
      <c r="G235" s="86">
        <v>1500</v>
      </c>
      <c r="H235" s="92">
        <v>45442</v>
      </c>
      <c r="I235" s="87"/>
      <c r="J235" s="57"/>
      <c r="K235" s="92">
        <v>2024</v>
      </c>
      <c r="L235" s="101">
        <v>55</v>
      </c>
      <c r="M235" s="112"/>
    </row>
    <row r="236" spans="1:13" ht="31.5">
      <c r="A236" s="83">
        <v>798</v>
      </c>
      <c r="B236" s="18" t="s">
        <v>6</v>
      </c>
      <c r="C236" s="21" t="s">
        <v>340</v>
      </c>
      <c r="D236" s="21" t="s">
        <v>1198</v>
      </c>
      <c r="E236" s="20" t="s">
        <v>324</v>
      </c>
      <c r="F236" s="18" t="str">
        <f>B236</f>
        <v>CSE</v>
      </c>
      <c r="G236" s="86">
        <v>5000</v>
      </c>
      <c r="H236" s="92">
        <v>45442</v>
      </c>
      <c r="I236" s="87" t="s">
        <v>12</v>
      </c>
      <c r="J236" s="57"/>
      <c r="K236" s="92">
        <v>45416</v>
      </c>
      <c r="L236" s="101">
        <v>55</v>
      </c>
      <c r="M236" s="113"/>
    </row>
    <row r="237" spans="1:13" ht="31.5">
      <c r="A237" s="83">
        <v>799</v>
      </c>
      <c r="B237" s="18" t="s">
        <v>6</v>
      </c>
      <c r="C237" s="21" t="s">
        <v>340</v>
      </c>
      <c r="D237" s="21" t="s">
        <v>1197</v>
      </c>
      <c r="E237" s="20" t="s">
        <v>16</v>
      </c>
      <c r="F237" s="18" t="str">
        <f>B237</f>
        <v>CSE</v>
      </c>
      <c r="G237" s="86">
        <v>3000</v>
      </c>
      <c r="H237" s="92">
        <v>45442</v>
      </c>
      <c r="I237" s="87" t="s">
        <v>12</v>
      </c>
      <c r="J237" s="57"/>
      <c r="K237" s="92">
        <v>45292</v>
      </c>
      <c r="L237" s="101">
        <v>55</v>
      </c>
      <c r="M237" s="113"/>
    </row>
    <row r="238" spans="1:13" ht="31.5">
      <c r="A238" s="83">
        <v>800</v>
      </c>
      <c r="B238" s="18" t="s">
        <v>5</v>
      </c>
      <c r="C238" s="21" t="s">
        <v>1002</v>
      </c>
      <c r="D238" s="21" t="s">
        <v>1196</v>
      </c>
      <c r="E238" s="20" t="s">
        <v>23</v>
      </c>
      <c r="F238" s="18" t="str">
        <f>B238</f>
        <v>ECE</v>
      </c>
      <c r="G238" s="86">
        <v>6000</v>
      </c>
      <c r="H238" s="92">
        <v>45442</v>
      </c>
      <c r="I238" s="87"/>
      <c r="J238" s="57"/>
      <c r="K238" s="92">
        <v>45600</v>
      </c>
      <c r="L238" s="101">
        <v>55</v>
      </c>
      <c r="M238" s="113"/>
    </row>
    <row r="239" spans="1:13" ht="15.75">
      <c r="A239" s="83">
        <v>801</v>
      </c>
      <c r="B239" s="18" t="s">
        <v>5</v>
      </c>
      <c r="C239" s="21" t="s">
        <v>178</v>
      </c>
      <c r="D239" s="21" t="s">
        <v>1195</v>
      </c>
      <c r="E239" s="20" t="s">
        <v>324</v>
      </c>
      <c r="F239" s="18" t="str">
        <f>B239</f>
        <v>ECE</v>
      </c>
      <c r="G239" s="86">
        <v>3000</v>
      </c>
      <c r="H239" s="92">
        <v>45442</v>
      </c>
      <c r="I239" s="87" t="s">
        <v>12</v>
      </c>
      <c r="J239" s="57"/>
      <c r="K239" s="92">
        <v>45448</v>
      </c>
      <c r="L239" s="101">
        <v>55</v>
      </c>
      <c r="M239" s="113"/>
    </row>
    <row r="240" spans="1:13" ht="15.75">
      <c r="A240" s="83">
        <v>802</v>
      </c>
      <c r="B240" s="18" t="s">
        <v>5</v>
      </c>
      <c r="C240" s="21" t="s">
        <v>178</v>
      </c>
      <c r="D240" s="21" t="s">
        <v>737</v>
      </c>
      <c r="E240" s="20" t="s">
        <v>193</v>
      </c>
      <c r="F240" s="18" t="str">
        <f>B240</f>
        <v>ECE</v>
      </c>
      <c r="G240" s="86">
        <v>10000</v>
      </c>
      <c r="H240" s="92">
        <v>45442</v>
      </c>
      <c r="I240" s="87" t="s">
        <v>12</v>
      </c>
      <c r="J240" s="57"/>
      <c r="K240" s="92" t="s">
        <v>1169</v>
      </c>
      <c r="L240" s="101">
        <v>55</v>
      </c>
      <c r="M240" s="112"/>
    </row>
    <row r="241" spans="1:13" ht="31.5">
      <c r="A241" s="83">
        <v>803</v>
      </c>
      <c r="B241" s="18" t="s">
        <v>5</v>
      </c>
      <c r="C241" s="21" t="s">
        <v>26</v>
      </c>
      <c r="D241" s="21" t="s">
        <v>1194</v>
      </c>
      <c r="E241" s="20" t="s">
        <v>324</v>
      </c>
      <c r="F241" s="18" t="str">
        <f>B241</f>
        <v>ECE</v>
      </c>
      <c r="G241" s="86">
        <v>3000</v>
      </c>
      <c r="H241" s="92">
        <v>45442</v>
      </c>
      <c r="I241" s="87" t="s">
        <v>12</v>
      </c>
      <c r="J241" s="57"/>
      <c r="K241" s="92" t="s">
        <v>1193</v>
      </c>
      <c r="L241" s="101">
        <v>55</v>
      </c>
      <c r="M241" s="112"/>
    </row>
    <row r="242" spans="1:13" ht="15.75">
      <c r="A242" s="83">
        <v>804</v>
      </c>
      <c r="B242" s="18" t="s">
        <v>5</v>
      </c>
      <c r="C242" s="21" t="s">
        <v>26</v>
      </c>
      <c r="D242" s="21" t="s">
        <v>166</v>
      </c>
      <c r="E242" s="20" t="s">
        <v>193</v>
      </c>
      <c r="F242" s="18" t="str">
        <f>B242</f>
        <v>ECE</v>
      </c>
      <c r="G242" s="86">
        <v>2000</v>
      </c>
      <c r="H242" s="92">
        <v>45442</v>
      </c>
      <c r="I242" s="87" t="s">
        <v>12</v>
      </c>
      <c r="J242" s="57"/>
      <c r="K242" s="92" t="s">
        <v>1169</v>
      </c>
      <c r="L242" s="101">
        <v>55</v>
      </c>
      <c r="M242" s="112"/>
    </row>
    <row r="243" spans="1:13" ht="47.25">
      <c r="A243" s="83">
        <v>805</v>
      </c>
      <c r="B243" s="18" t="s">
        <v>5</v>
      </c>
      <c r="C243" s="21" t="s">
        <v>173</v>
      </c>
      <c r="D243" s="21" t="s">
        <v>1192</v>
      </c>
      <c r="E243" s="20" t="s">
        <v>23</v>
      </c>
      <c r="F243" s="18" t="str">
        <f>B243</f>
        <v>ECE</v>
      </c>
      <c r="G243" s="86">
        <v>10000</v>
      </c>
      <c r="H243" s="92">
        <v>45442</v>
      </c>
      <c r="I243" s="87" t="s">
        <v>12</v>
      </c>
      <c r="J243" s="57"/>
      <c r="K243" s="92">
        <v>45295</v>
      </c>
      <c r="L243" s="101">
        <v>55</v>
      </c>
      <c r="M243" s="113"/>
    </row>
    <row r="244" spans="1:13" ht="31.5">
      <c r="A244" s="83">
        <v>806</v>
      </c>
      <c r="B244" s="18" t="s">
        <v>5</v>
      </c>
      <c r="C244" s="21" t="s">
        <v>173</v>
      </c>
      <c r="D244" s="21" t="s">
        <v>1191</v>
      </c>
      <c r="E244" s="20" t="s">
        <v>23</v>
      </c>
      <c r="F244" s="18" t="str">
        <f>B244</f>
        <v>ECE</v>
      </c>
      <c r="G244" s="86">
        <v>10000</v>
      </c>
      <c r="H244" s="92">
        <v>45442</v>
      </c>
      <c r="I244" s="87" t="s">
        <v>12</v>
      </c>
      <c r="J244" s="57"/>
      <c r="K244" s="92">
        <v>45295</v>
      </c>
      <c r="L244" s="101">
        <v>55</v>
      </c>
      <c r="M244" s="113"/>
    </row>
    <row r="245" spans="1:13" ht="31.5">
      <c r="A245" s="83">
        <v>807</v>
      </c>
      <c r="B245" s="18" t="s">
        <v>5</v>
      </c>
      <c r="C245" s="21" t="s">
        <v>173</v>
      </c>
      <c r="D245" s="21" t="s">
        <v>1190</v>
      </c>
      <c r="E245" s="20" t="s">
        <v>16</v>
      </c>
      <c r="F245" s="18" t="str">
        <f>B245</f>
        <v>ECE</v>
      </c>
      <c r="G245" s="86">
        <v>3000</v>
      </c>
      <c r="H245" s="92">
        <v>45442</v>
      </c>
      <c r="I245" s="87" t="s">
        <v>12</v>
      </c>
      <c r="J245" s="57"/>
      <c r="K245" s="92">
        <v>45295</v>
      </c>
      <c r="L245" s="101">
        <v>55</v>
      </c>
      <c r="M245" s="113"/>
    </row>
    <row r="246" spans="1:13" ht="31.5">
      <c r="A246" s="83">
        <v>808</v>
      </c>
      <c r="B246" s="18" t="s">
        <v>5</v>
      </c>
      <c r="C246" s="21" t="s">
        <v>1189</v>
      </c>
      <c r="D246" s="21" t="s">
        <v>1188</v>
      </c>
      <c r="E246" s="20" t="s">
        <v>324</v>
      </c>
      <c r="F246" s="18" t="str">
        <f>B246</f>
        <v>ECE</v>
      </c>
      <c r="G246" s="86">
        <v>3000</v>
      </c>
      <c r="H246" s="92">
        <v>45442</v>
      </c>
      <c r="I246" s="87" t="s">
        <v>12</v>
      </c>
      <c r="J246" s="57"/>
      <c r="K246" s="92">
        <v>45326</v>
      </c>
      <c r="L246" s="101">
        <v>55</v>
      </c>
      <c r="M246" s="113"/>
    </row>
    <row r="247" spans="1:13" ht="15.75">
      <c r="A247" s="83">
        <v>809</v>
      </c>
      <c r="B247" s="18" t="s">
        <v>5</v>
      </c>
      <c r="C247" s="21" t="s">
        <v>650</v>
      </c>
      <c r="D247" s="21" t="s">
        <v>239</v>
      </c>
      <c r="E247" s="20" t="s">
        <v>193</v>
      </c>
      <c r="F247" s="18" t="str">
        <f>B247</f>
        <v>ECE</v>
      </c>
      <c r="G247" s="86">
        <v>6000</v>
      </c>
      <c r="H247" s="92">
        <v>45442</v>
      </c>
      <c r="I247" s="87"/>
      <c r="J247" s="57"/>
      <c r="K247" s="92" t="s">
        <v>1175</v>
      </c>
      <c r="L247" s="101">
        <v>55</v>
      </c>
      <c r="M247" s="112"/>
    </row>
    <row r="248" spans="1:13" ht="15.75">
      <c r="A248" s="83">
        <v>810</v>
      </c>
      <c r="B248" s="18" t="s">
        <v>5</v>
      </c>
      <c r="C248" s="21" t="s">
        <v>170</v>
      </c>
      <c r="D248" s="21" t="s">
        <v>239</v>
      </c>
      <c r="E248" s="20" t="s">
        <v>193</v>
      </c>
      <c r="F248" s="18" t="str">
        <f>B248</f>
        <v>ECE</v>
      </c>
      <c r="G248" s="86">
        <v>6000</v>
      </c>
      <c r="H248" s="92">
        <v>45442</v>
      </c>
      <c r="I248" s="87" t="s">
        <v>12</v>
      </c>
      <c r="J248" s="57"/>
      <c r="K248" s="92" t="s">
        <v>963</v>
      </c>
      <c r="L248" s="101">
        <v>55</v>
      </c>
      <c r="M248" s="112"/>
    </row>
    <row r="249" spans="1:13" ht="31.5">
      <c r="A249" s="83">
        <v>811</v>
      </c>
      <c r="B249" s="18" t="s">
        <v>5</v>
      </c>
      <c r="C249" s="21" t="s">
        <v>52</v>
      </c>
      <c r="D249" s="21" t="s">
        <v>1187</v>
      </c>
      <c r="E249" s="20" t="s">
        <v>23</v>
      </c>
      <c r="F249" s="18" t="str">
        <f>B249</f>
        <v>ECE</v>
      </c>
      <c r="G249" s="86">
        <v>6000</v>
      </c>
      <c r="H249" s="92">
        <v>45442</v>
      </c>
      <c r="I249" s="87"/>
      <c r="J249" s="57"/>
      <c r="K249" s="92" t="s">
        <v>804</v>
      </c>
      <c r="L249" s="101">
        <v>55</v>
      </c>
      <c r="M249" s="112"/>
    </row>
    <row r="250" spans="1:13" ht="47.25">
      <c r="A250" s="83">
        <v>812</v>
      </c>
      <c r="B250" s="18" t="s">
        <v>1</v>
      </c>
      <c r="C250" s="21" t="s">
        <v>140</v>
      </c>
      <c r="D250" s="21" t="s">
        <v>1186</v>
      </c>
      <c r="E250" s="20" t="s">
        <v>23</v>
      </c>
      <c r="F250" s="18" t="str">
        <f>B250</f>
        <v>S&amp;H</v>
      </c>
      <c r="G250" s="86">
        <v>6000</v>
      </c>
      <c r="H250" s="92">
        <v>45442</v>
      </c>
      <c r="I250" s="87" t="s">
        <v>12</v>
      </c>
      <c r="J250" s="57"/>
      <c r="K250" s="92" t="s">
        <v>1185</v>
      </c>
      <c r="L250" s="101">
        <v>55</v>
      </c>
      <c r="M250" s="112"/>
    </row>
    <row r="251" spans="1:13" ht="15.75">
      <c r="A251" s="83">
        <v>813</v>
      </c>
      <c r="B251" s="18" t="s">
        <v>1</v>
      </c>
      <c r="C251" s="21" t="s">
        <v>140</v>
      </c>
      <c r="D251" s="21" t="s">
        <v>166</v>
      </c>
      <c r="E251" s="20" t="s">
        <v>193</v>
      </c>
      <c r="F251" s="18" t="str">
        <f>B251</f>
        <v>S&amp;H</v>
      </c>
      <c r="G251" s="86">
        <v>2000</v>
      </c>
      <c r="H251" s="92">
        <v>45442</v>
      </c>
      <c r="I251" s="87" t="s">
        <v>12</v>
      </c>
      <c r="J251" s="57"/>
      <c r="K251" s="92" t="s">
        <v>1184</v>
      </c>
      <c r="L251" s="101">
        <v>55</v>
      </c>
      <c r="M251" s="112"/>
    </row>
    <row r="252" spans="1:13" ht="31.5">
      <c r="A252" s="83">
        <v>814</v>
      </c>
      <c r="B252" s="18" t="s">
        <v>1</v>
      </c>
      <c r="C252" s="21" t="s">
        <v>388</v>
      </c>
      <c r="D252" s="21" t="s">
        <v>1183</v>
      </c>
      <c r="E252" s="20" t="s">
        <v>23</v>
      </c>
      <c r="F252" s="18" t="str">
        <f>B252</f>
        <v>S&amp;H</v>
      </c>
      <c r="G252" s="86">
        <v>5000</v>
      </c>
      <c r="H252" s="92">
        <v>45442</v>
      </c>
      <c r="I252" s="87" t="s">
        <v>12</v>
      </c>
      <c r="J252" s="57"/>
      <c r="K252" s="92">
        <v>2023</v>
      </c>
      <c r="L252" s="101">
        <v>55</v>
      </c>
      <c r="M252" s="112"/>
    </row>
    <row r="253" spans="1:13" ht="47.25">
      <c r="A253" s="83">
        <v>815</v>
      </c>
      <c r="B253" s="18" t="s">
        <v>1</v>
      </c>
      <c r="C253" s="21" t="s">
        <v>388</v>
      </c>
      <c r="D253" s="21" t="s">
        <v>1182</v>
      </c>
      <c r="E253" s="20" t="s">
        <v>324</v>
      </c>
      <c r="F253" s="18" t="str">
        <f>B253</f>
        <v>S&amp;H</v>
      </c>
      <c r="G253" s="86">
        <v>5000</v>
      </c>
      <c r="H253" s="92">
        <v>45442</v>
      </c>
      <c r="I253" s="87" t="s">
        <v>12</v>
      </c>
      <c r="J253" s="57"/>
      <c r="K253" s="92">
        <v>2023</v>
      </c>
      <c r="L253" s="101">
        <v>55</v>
      </c>
      <c r="M253" s="112"/>
    </row>
    <row r="254" spans="1:13" ht="47.25">
      <c r="A254" s="83">
        <v>816</v>
      </c>
      <c r="B254" s="18" t="s">
        <v>1</v>
      </c>
      <c r="C254" s="21" t="s">
        <v>388</v>
      </c>
      <c r="D254" s="21" t="s">
        <v>1181</v>
      </c>
      <c r="E254" s="20" t="s">
        <v>16</v>
      </c>
      <c r="F254" s="18" t="str">
        <f>B254</f>
        <v>S&amp;H</v>
      </c>
      <c r="G254" s="86">
        <v>1800</v>
      </c>
      <c r="H254" s="92">
        <v>45442</v>
      </c>
      <c r="I254" s="87" t="s">
        <v>12</v>
      </c>
      <c r="J254" s="57"/>
      <c r="K254" s="92">
        <v>2023</v>
      </c>
      <c r="L254" s="101">
        <v>55</v>
      </c>
      <c r="M254" s="112"/>
    </row>
    <row r="255" spans="1:13" ht="47.25">
      <c r="A255" s="83">
        <v>817</v>
      </c>
      <c r="B255" s="18" t="s">
        <v>1</v>
      </c>
      <c r="C255" s="21" t="s">
        <v>388</v>
      </c>
      <c r="D255" s="21" t="s">
        <v>1180</v>
      </c>
      <c r="E255" s="20" t="s">
        <v>16</v>
      </c>
      <c r="F255" s="18" t="str">
        <f>B255</f>
        <v>S&amp;H</v>
      </c>
      <c r="G255" s="86">
        <v>1800</v>
      </c>
      <c r="H255" s="92">
        <v>45442</v>
      </c>
      <c r="I255" s="87" t="s">
        <v>12</v>
      </c>
      <c r="J255" s="57"/>
      <c r="K255" s="92">
        <v>2023</v>
      </c>
      <c r="L255" s="101">
        <v>55</v>
      </c>
      <c r="M255" s="112"/>
    </row>
    <row r="256" spans="1:13" ht="47.25">
      <c r="A256" s="83">
        <v>818</v>
      </c>
      <c r="B256" s="18" t="s">
        <v>1</v>
      </c>
      <c r="C256" s="21" t="s">
        <v>388</v>
      </c>
      <c r="D256" s="21" t="s">
        <v>1179</v>
      </c>
      <c r="E256" s="20" t="s">
        <v>187</v>
      </c>
      <c r="F256" s="18" t="str">
        <f>B256</f>
        <v>S&amp;H</v>
      </c>
      <c r="G256" s="86">
        <v>1800</v>
      </c>
      <c r="H256" s="92">
        <v>45442</v>
      </c>
      <c r="I256" s="87" t="s">
        <v>12</v>
      </c>
      <c r="J256" s="57"/>
      <c r="K256" s="92">
        <v>2023</v>
      </c>
      <c r="L256" s="101">
        <v>55</v>
      </c>
      <c r="M256" s="112"/>
    </row>
    <row r="257" spans="1:13" ht="15.75">
      <c r="A257" s="83">
        <v>819</v>
      </c>
      <c r="B257" s="18" t="s">
        <v>1</v>
      </c>
      <c r="C257" s="21" t="s">
        <v>167</v>
      </c>
      <c r="D257" s="21" t="s">
        <v>166</v>
      </c>
      <c r="E257" s="20" t="s">
        <v>193</v>
      </c>
      <c r="F257" s="18" t="str">
        <f>B257</f>
        <v>S&amp;H</v>
      </c>
      <c r="G257" s="86">
        <v>2000</v>
      </c>
      <c r="H257" s="92">
        <v>45442</v>
      </c>
      <c r="I257" s="87" t="s">
        <v>12</v>
      </c>
      <c r="J257" s="57"/>
      <c r="K257" s="92" t="s">
        <v>1163</v>
      </c>
      <c r="L257" s="101">
        <v>55</v>
      </c>
      <c r="M257" s="112"/>
    </row>
    <row r="258" spans="1:13" ht="15.75">
      <c r="A258" s="46"/>
      <c r="B258" s="46"/>
      <c r="C258" s="46"/>
      <c r="D258" s="46" t="s">
        <v>11</v>
      </c>
      <c r="E258" s="42"/>
      <c r="F258" s="90"/>
      <c r="G258" s="89">
        <f>SUM(G231:G257)</f>
        <v>113900</v>
      </c>
      <c r="H258" s="42" t="s">
        <v>718</v>
      </c>
      <c r="I258" s="42"/>
      <c r="J258" s="45">
        <f>G258</f>
        <v>113900</v>
      </c>
      <c r="K258" s="42"/>
      <c r="L258" s="46">
        <v>55</v>
      </c>
      <c r="M258" s="88"/>
    </row>
    <row r="259" spans="1:13" ht="31.5">
      <c r="A259" s="83">
        <v>820</v>
      </c>
      <c r="B259" s="18" t="s">
        <v>36</v>
      </c>
      <c r="C259" s="21" t="s">
        <v>837</v>
      </c>
      <c r="D259" s="21" t="s">
        <v>1178</v>
      </c>
      <c r="E259" s="20" t="s">
        <v>187</v>
      </c>
      <c r="F259" s="18" t="str">
        <f>B259</f>
        <v>AIDS</v>
      </c>
      <c r="G259" s="86">
        <v>1800</v>
      </c>
      <c r="H259" s="92">
        <v>45449</v>
      </c>
      <c r="I259" s="87" t="s">
        <v>12</v>
      </c>
      <c r="J259" s="57"/>
      <c r="K259" s="92" t="s">
        <v>1177</v>
      </c>
      <c r="L259" s="101">
        <v>56</v>
      </c>
      <c r="M259" s="112"/>
    </row>
    <row r="260" spans="1:13" ht="47.25">
      <c r="A260" s="83">
        <v>821</v>
      </c>
      <c r="B260" s="18" t="s">
        <v>5</v>
      </c>
      <c r="C260" s="21" t="s">
        <v>115</v>
      </c>
      <c r="D260" s="21" t="s">
        <v>1176</v>
      </c>
      <c r="E260" s="20" t="s">
        <v>23</v>
      </c>
      <c r="F260" s="18" t="str">
        <f>B260</f>
        <v>ECE</v>
      </c>
      <c r="G260" s="86">
        <v>10000</v>
      </c>
      <c r="H260" s="92">
        <v>45448</v>
      </c>
      <c r="I260" s="87" t="s">
        <v>12</v>
      </c>
      <c r="J260" s="57"/>
      <c r="K260" s="92" t="s">
        <v>1175</v>
      </c>
      <c r="L260" s="101">
        <v>56</v>
      </c>
      <c r="M260" s="85"/>
    </row>
    <row r="261" spans="1:13" ht="15.75">
      <c r="A261" s="83">
        <v>822</v>
      </c>
      <c r="B261" s="18" t="s">
        <v>5</v>
      </c>
      <c r="C261" s="21" t="s">
        <v>115</v>
      </c>
      <c r="D261" s="21" t="s">
        <v>319</v>
      </c>
      <c r="E261" s="20" t="s">
        <v>193</v>
      </c>
      <c r="F261" s="18" t="str">
        <f>B261</f>
        <v>ECE</v>
      </c>
      <c r="G261" s="86">
        <v>8000</v>
      </c>
      <c r="H261" s="92">
        <v>45448</v>
      </c>
      <c r="I261" s="87" t="s">
        <v>12</v>
      </c>
      <c r="J261" s="57"/>
      <c r="K261" s="92" t="s">
        <v>1174</v>
      </c>
      <c r="L261" s="101">
        <v>56</v>
      </c>
      <c r="M261" s="85"/>
    </row>
    <row r="262" spans="1:13" ht="63">
      <c r="A262" s="83">
        <v>823</v>
      </c>
      <c r="B262" s="18" t="s">
        <v>5</v>
      </c>
      <c r="C262" s="21" t="s">
        <v>26</v>
      </c>
      <c r="D262" s="21" t="s">
        <v>1173</v>
      </c>
      <c r="E262" s="20" t="s">
        <v>23</v>
      </c>
      <c r="F262" s="18" t="str">
        <f>B262</f>
        <v>ECE</v>
      </c>
      <c r="G262" s="86">
        <v>10000</v>
      </c>
      <c r="H262" s="92">
        <v>45448</v>
      </c>
      <c r="I262" s="87" t="s">
        <v>12</v>
      </c>
      <c r="J262" s="57"/>
      <c r="K262" s="92" t="s">
        <v>1172</v>
      </c>
      <c r="L262" s="101">
        <v>56</v>
      </c>
      <c r="M262" s="85"/>
    </row>
    <row r="263" spans="1:13" ht="47.25">
      <c r="A263" s="83">
        <v>824</v>
      </c>
      <c r="B263" s="18" t="s">
        <v>5</v>
      </c>
      <c r="C263" s="21" t="s">
        <v>26</v>
      </c>
      <c r="D263" s="21" t="s">
        <v>1171</v>
      </c>
      <c r="E263" s="20" t="s">
        <v>23</v>
      </c>
      <c r="F263" s="18" t="str">
        <f>B263</f>
        <v>ECE</v>
      </c>
      <c r="G263" s="86">
        <v>6000</v>
      </c>
      <c r="H263" s="92">
        <v>45448</v>
      </c>
      <c r="I263" s="87" t="s">
        <v>12</v>
      </c>
      <c r="J263" s="57"/>
      <c r="K263" s="92" t="s">
        <v>1169</v>
      </c>
      <c r="L263" s="101">
        <v>56</v>
      </c>
      <c r="M263" s="85"/>
    </row>
    <row r="264" spans="1:13" ht="31.5">
      <c r="A264" s="83">
        <v>825</v>
      </c>
      <c r="B264" s="18" t="s">
        <v>5</v>
      </c>
      <c r="C264" s="21" t="s">
        <v>26</v>
      </c>
      <c r="D264" s="21" t="s">
        <v>1170</v>
      </c>
      <c r="E264" s="20" t="s">
        <v>187</v>
      </c>
      <c r="F264" s="18" t="str">
        <f>B264</f>
        <v>ECE</v>
      </c>
      <c r="G264" s="86">
        <v>1800</v>
      </c>
      <c r="H264" s="92">
        <v>45448</v>
      </c>
      <c r="I264" s="87" t="s">
        <v>12</v>
      </c>
      <c r="J264" s="57"/>
      <c r="K264" s="92" t="s">
        <v>1169</v>
      </c>
      <c r="L264" s="101">
        <v>56</v>
      </c>
      <c r="M264" s="85"/>
    </row>
    <row r="265" spans="1:13" ht="31.5">
      <c r="A265" s="83">
        <v>826</v>
      </c>
      <c r="B265" s="18" t="s">
        <v>5</v>
      </c>
      <c r="C265" s="21" t="s">
        <v>178</v>
      </c>
      <c r="D265" s="21" t="s">
        <v>1168</v>
      </c>
      <c r="E265" s="20" t="s">
        <v>23</v>
      </c>
      <c r="F265" s="18" t="str">
        <f>B265</f>
        <v>ECE</v>
      </c>
      <c r="G265" s="86">
        <v>10000</v>
      </c>
      <c r="H265" s="92">
        <v>45448</v>
      </c>
      <c r="I265" s="87" t="s">
        <v>12</v>
      </c>
      <c r="J265" s="57"/>
      <c r="K265" s="92" t="s">
        <v>1167</v>
      </c>
      <c r="L265" s="101">
        <v>56</v>
      </c>
      <c r="M265" s="85"/>
    </row>
    <row r="266" spans="1:13" ht="31.5">
      <c r="A266" s="83">
        <v>827</v>
      </c>
      <c r="B266" s="18" t="s">
        <v>5</v>
      </c>
      <c r="C266" s="21" t="s">
        <v>269</v>
      </c>
      <c r="D266" s="21" t="s">
        <v>1166</v>
      </c>
      <c r="E266" s="20" t="s">
        <v>16</v>
      </c>
      <c r="F266" s="18" t="str">
        <f>B266</f>
        <v>ECE</v>
      </c>
      <c r="G266" s="86">
        <v>1500</v>
      </c>
      <c r="H266" s="92">
        <v>45448</v>
      </c>
      <c r="I266" s="87" t="s">
        <v>12</v>
      </c>
      <c r="J266" s="57"/>
      <c r="K266" s="92" t="s">
        <v>1165</v>
      </c>
      <c r="L266" s="101">
        <v>56</v>
      </c>
      <c r="M266" s="85"/>
    </row>
    <row r="267" spans="1:13" ht="47.25">
      <c r="A267" s="83">
        <v>828</v>
      </c>
      <c r="B267" s="18" t="s">
        <v>5</v>
      </c>
      <c r="C267" s="21" t="s">
        <v>269</v>
      </c>
      <c r="D267" s="21" t="s">
        <v>1164</v>
      </c>
      <c r="E267" s="20" t="s">
        <v>16</v>
      </c>
      <c r="F267" s="18" t="str">
        <f>B267</f>
        <v>ECE</v>
      </c>
      <c r="G267" s="86">
        <v>1800</v>
      </c>
      <c r="H267" s="92">
        <v>45448</v>
      </c>
      <c r="I267" s="87" t="s">
        <v>12</v>
      </c>
      <c r="J267" s="57"/>
      <c r="K267" s="92" t="s">
        <v>1163</v>
      </c>
      <c r="L267" s="101">
        <v>56</v>
      </c>
      <c r="M267" s="85"/>
    </row>
    <row r="268" spans="1:13" ht="47.25">
      <c r="A268" s="83">
        <v>829</v>
      </c>
      <c r="B268" s="18" t="s">
        <v>4</v>
      </c>
      <c r="C268" s="21" t="s">
        <v>63</v>
      </c>
      <c r="D268" s="21" t="s">
        <v>1162</v>
      </c>
      <c r="E268" s="20" t="s">
        <v>23</v>
      </c>
      <c r="F268" s="18" t="str">
        <f>B268</f>
        <v>EEE</v>
      </c>
      <c r="G268" s="86">
        <v>10000</v>
      </c>
      <c r="H268" s="92">
        <v>45448</v>
      </c>
      <c r="I268" s="87" t="s">
        <v>12</v>
      </c>
      <c r="J268" s="57"/>
      <c r="K268" s="92">
        <v>45324</v>
      </c>
      <c r="L268" s="101">
        <v>56</v>
      </c>
      <c r="M268" s="111"/>
    </row>
    <row r="269" spans="1:13" ht="31.5">
      <c r="A269" s="83">
        <v>830</v>
      </c>
      <c r="B269" s="18" t="s">
        <v>4</v>
      </c>
      <c r="C269" s="21" t="s">
        <v>63</v>
      </c>
      <c r="D269" s="21" t="s">
        <v>1161</v>
      </c>
      <c r="E269" s="20" t="s">
        <v>16</v>
      </c>
      <c r="F269" s="18" t="str">
        <f>B269</f>
        <v>EEE</v>
      </c>
      <c r="G269" s="86">
        <v>900</v>
      </c>
      <c r="H269" s="92">
        <v>45448</v>
      </c>
      <c r="I269" s="87" t="s">
        <v>12</v>
      </c>
      <c r="J269" s="57"/>
      <c r="K269" s="92" t="s">
        <v>1160</v>
      </c>
      <c r="L269" s="101">
        <v>56</v>
      </c>
      <c r="M269" s="85"/>
    </row>
    <row r="270" spans="1:13" ht="15.75">
      <c r="A270" s="83">
        <v>831</v>
      </c>
      <c r="B270" s="18" t="s">
        <v>4</v>
      </c>
      <c r="C270" s="21" t="s">
        <v>63</v>
      </c>
      <c r="D270" s="21" t="s">
        <v>737</v>
      </c>
      <c r="E270" s="20" t="s">
        <v>193</v>
      </c>
      <c r="F270" s="18" t="str">
        <f>B270</f>
        <v>EEE</v>
      </c>
      <c r="G270" s="86">
        <v>10000</v>
      </c>
      <c r="H270" s="92">
        <v>45448</v>
      </c>
      <c r="I270" s="87" t="s">
        <v>12</v>
      </c>
      <c r="J270" s="57"/>
      <c r="K270" s="92" t="s">
        <v>1159</v>
      </c>
      <c r="L270" s="101">
        <v>56</v>
      </c>
      <c r="M270" s="85"/>
    </row>
    <row r="271" spans="1:13" ht="47.25">
      <c r="A271" s="83">
        <v>832</v>
      </c>
      <c r="B271" s="18" t="s">
        <v>4</v>
      </c>
      <c r="C271" s="21" t="s">
        <v>199</v>
      </c>
      <c r="D271" s="21" t="s">
        <v>1158</v>
      </c>
      <c r="E271" s="20" t="s">
        <v>23</v>
      </c>
      <c r="F271" s="18" t="str">
        <f>B271</f>
        <v>EEE</v>
      </c>
      <c r="G271" s="86">
        <v>10000</v>
      </c>
      <c r="H271" s="92">
        <v>45448</v>
      </c>
      <c r="I271" s="87"/>
      <c r="J271" s="57"/>
      <c r="K271" s="92" t="s">
        <v>1157</v>
      </c>
      <c r="L271" s="101">
        <v>56</v>
      </c>
      <c r="M271" s="85"/>
    </row>
    <row r="272" spans="1:13" ht="15.75">
      <c r="A272" s="83">
        <v>833</v>
      </c>
      <c r="B272" s="18" t="s">
        <v>3</v>
      </c>
      <c r="C272" s="21" t="s">
        <v>450</v>
      </c>
      <c r="D272" s="21" t="s">
        <v>1156</v>
      </c>
      <c r="E272" s="20" t="s">
        <v>16</v>
      </c>
      <c r="F272" s="18" t="str">
        <f>B272</f>
        <v>IT</v>
      </c>
      <c r="G272" s="86">
        <v>3000</v>
      </c>
      <c r="H272" s="92">
        <v>45448</v>
      </c>
      <c r="I272" s="87"/>
      <c r="J272" s="57"/>
      <c r="K272" s="92" t="s">
        <v>1155</v>
      </c>
      <c r="L272" s="101">
        <v>56</v>
      </c>
      <c r="M272" s="85"/>
    </row>
    <row r="273" spans="1:13" ht="31.5">
      <c r="A273" s="83">
        <v>834</v>
      </c>
      <c r="B273" s="18" t="s">
        <v>3</v>
      </c>
      <c r="C273" s="21" t="s">
        <v>677</v>
      </c>
      <c r="D273" s="21" t="s">
        <v>1154</v>
      </c>
      <c r="E273" s="20" t="s">
        <v>23</v>
      </c>
      <c r="F273" s="18" t="str">
        <f>B273</f>
        <v>IT</v>
      </c>
      <c r="G273" s="86">
        <v>6000</v>
      </c>
      <c r="H273" s="92">
        <v>45448</v>
      </c>
      <c r="I273" s="87"/>
      <c r="J273" s="57"/>
      <c r="K273" s="92">
        <v>45566</v>
      </c>
      <c r="L273" s="101">
        <v>56</v>
      </c>
      <c r="M273" s="111"/>
    </row>
    <row r="274" spans="1:13" ht="31.5">
      <c r="A274" s="83">
        <v>835</v>
      </c>
      <c r="B274" s="18" t="s">
        <v>3</v>
      </c>
      <c r="C274" s="21" t="s">
        <v>677</v>
      </c>
      <c r="D274" s="21" t="s">
        <v>1153</v>
      </c>
      <c r="E274" s="20" t="s">
        <v>23</v>
      </c>
      <c r="F274" s="18" t="str">
        <f>B274</f>
        <v>IT</v>
      </c>
      <c r="G274" s="86">
        <v>6000</v>
      </c>
      <c r="H274" s="92">
        <v>45448</v>
      </c>
      <c r="I274" s="87"/>
      <c r="J274" s="57"/>
      <c r="K274" s="92">
        <v>45566</v>
      </c>
      <c r="L274" s="101">
        <v>56</v>
      </c>
      <c r="M274" s="111"/>
    </row>
    <row r="275" spans="1:13" ht="31.5">
      <c r="A275" s="83">
        <v>836</v>
      </c>
      <c r="B275" s="18" t="s">
        <v>3</v>
      </c>
      <c r="C275" s="21" t="s">
        <v>677</v>
      </c>
      <c r="D275" s="21" t="s">
        <v>1152</v>
      </c>
      <c r="E275" s="20" t="s">
        <v>16</v>
      </c>
      <c r="F275" s="18" t="str">
        <f>B275</f>
        <v>IT</v>
      </c>
      <c r="G275" s="86">
        <v>1800</v>
      </c>
      <c r="H275" s="92">
        <v>45448</v>
      </c>
      <c r="I275" s="87"/>
      <c r="J275" s="57"/>
      <c r="K275" s="92" t="s">
        <v>1151</v>
      </c>
      <c r="L275" s="101">
        <v>56</v>
      </c>
      <c r="M275" s="85"/>
    </row>
    <row r="276" spans="1:13" ht="31.5">
      <c r="A276" s="83">
        <v>837</v>
      </c>
      <c r="B276" s="18" t="s">
        <v>3</v>
      </c>
      <c r="C276" s="21" t="s">
        <v>677</v>
      </c>
      <c r="D276" s="21" t="s">
        <v>1150</v>
      </c>
      <c r="E276" s="20" t="s">
        <v>16</v>
      </c>
      <c r="F276" s="18" t="str">
        <f>B276</f>
        <v>IT</v>
      </c>
      <c r="G276" s="86">
        <v>1800</v>
      </c>
      <c r="H276" s="92">
        <v>45448</v>
      </c>
      <c r="I276" s="87"/>
      <c r="J276" s="57"/>
      <c r="K276" s="92" t="s">
        <v>1003</v>
      </c>
      <c r="L276" s="101">
        <v>56</v>
      </c>
      <c r="M276" s="85"/>
    </row>
    <row r="277" spans="1:13" ht="31.5">
      <c r="A277" s="83">
        <v>838</v>
      </c>
      <c r="B277" s="18" t="s">
        <v>0</v>
      </c>
      <c r="C277" s="21" t="s">
        <v>720</v>
      </c>
      <c r="D277" s="21" t="s">
        <v>1149</v>
      </c>
      <c r="E277" s="20" t="s">
        <v>16</v>
      </c>
      <c r="F277" s="18" t="str">
        <f>B277</f>
        <v>Maths</v>
      </c>
      <c r="G277" s="86">
        <v>1800</v>
      </c>
      <c r="H277" s="92">
        <v>45448</v>
      </c>
      <c r="I277" s="87" t="s">
        <v>12</v>
      </c>
      <c r="J277" s="57"/>
      <c r="K277" s="92" t="s">
        <v>1148</v>
      </c>
      <c r="L277" s="101">
        <v>56</v>
      </c>
      <c r="M277" s="85"/>
    </row>
    <row r="278" spans="1:13" ht="15.75">
      <c r="A278" s="46"/>
      <c r="B278" s="46"/>
      <c r="C278" s="46"/>
      <c r="D278" s="46" t="s">
        <v>11</v>
      </c>
      <c r="E278" s="42"/>
      <c r="F278" s="90"/>
      <c r="G278" s="89">
        <f>SUM(G259:G277)</f>
        <v>102200</v>
      </c>
      <c r="H278" s="42" t="s">
        <v>718</v>
      </c>
      <c r="I278" s="42"/>
      <c r="J278" s="45">
        <f>G278</f>
        <v>102200</v>
      </c>
      <c r="K278" s="42"/>
      <c r="L278" s="46">
        <v>56</v>
      </c>
      <c r="M278" s="88"/>
    </row>
    <row r="279" spans="1:13" ht="31.5">
      <c r="A279" s="83">
        <v>839</v>
      </c>
      <c r="B279" s="18" t="s">
        <v>36</v>
      </c>
      <c r="C279" s="21" t="s">
        <v>275</v>
      </c>
      <c r="D279" s="21" t="s">
        <v>1147</v>
      </c>
      <c r="E279" s="20" t="s">
        <v>23</v>
      </c>
      <c r="F279" s="18" t="str">
        <f>B279</f>
        <v>AIDS</v>
      </c>
      <c r="G279" s="86">
        <v>10000</v>
      </c>
      <c r="H279" s="92">
        <v>45464</v>
      </c>
      <c r="I279" s="87" t="s">
        <v>12</v>
      </c>
      <c r="J279" s="57"/>
      <c r="K279" s="92" t="s">
        <v>1146</v>
      </c>
      <c r="L279" s="101">
        <v>57</v>
      </c>
      <c r="M279" s="85"/>
    </row>
    <row r="280" spans="1:13" ht="31.5">
      <c r="A280" s="83">
        <v>840</v>
      </c>
      <c r="B280" s="18" t="s">
        <v>5</v>
      </c>
      <c r="C280" s="21" t="s">
        <v>296</v>
      </c>
      <c r="D280" s="21" t="s">
        <v>1145</v>
      </c>
      <c r="E280" s="20" t="s">
        <v>23</v>
      </c>
      <c r="F280" s="18" t="str">
        <f>B280</f>
        <v>ECE</v>
      </c>
      <c r="G280" s="86">
        <v>6000</v>
      </c>
      <c r="H280" s="92">
        <v>45464</v>
      </c>
      <c r="I280" s="87" t="s">
        <v>12</v>
      </c>
      <c r="J280" s="57"/>
      <c r="K280" s="92" t="s">
        <v>1144</v>
      </c>
      <c r="L280" s="101">
        <v>57</v>
      </c>
      <c r="M280" s="85"/>
    </row>
    <row r="281" spans="1:13" ht="31.5">
      <c r="A281" s="83">
        <v>841</v>
      </c>
      <c r="B281" s="18" t="s">
        <v>5</v>
      </c>
      <c r="C281" s="21" t="s">
        <v>269</v>
      </c>
      <c r="D281" s="21" t="s">
        <v>1143</v>
      </c>
      <c r="E281" s="20" t="s">
        <v>16</v>
      </c>
      <c r="F281" s="18" t="str">
        <f>B281</f>
        <v>ECE</v>
      </c>
      <c r="G281" s="86">
        <v>1800</v>
      </c>
      <c r="H281" s="92">
        <v>45464</v>
      </c>
      <c r="I281" s="87" t="s">
        <v>12</v>
      </c>
      <c r="J281" s="57"/>
      <c r="K281" s="92" t="s">
        <v>1142</v>
      </c>
      <c r="L281" s="101">
        <v>57</v>
      </c>
      <c r="M281" s="85"/>
    </row>
    <row r="282" spans="1:13" ht="47.25">
      <c r="A282" s="83">
        <v>842</v>
      </c>
      <c r="B282" s="18" t="s">
        <v>5</v>
      </c>
      <c r="C282" s="21" t="s">
        <v>72</v>
      </c>
      <c r="D282" s="21" t="s">
        <v>1141</v>
      </c>
      <c r="E282" s="20" t="s">
        <v>23</v>
      </c>
      <c r="F282" s="18" t="str">
        <f>B282</f>
        <v>ECE</v>
      </c>
      <c r="G282" s="86">
        <v>16000</v>
      </c>
      <c r="H282" s="92">
        <v>45464</v>
      </c>
      <c r="I282" s="87" t="s">
        <v>12</v>
      </c>
      <c r="J282" s="57"/>
      <c r="K282" s="92">
        <v>45479</v>
      </c>
      <c r="L282" s="101">
        <v>57</v>
      </c>
      <c r="M282" s="102"/>
    </row>
    <row r="283" spans="1:13" ht="31.5">
      <c r="A283" s="83">
        <v>843</v>
      </c>
      <c r="B283" s="18" t="s">
        <v>5</v>
      </c>
      <c r="C283" s="21" t="s">
        <v>211</v>
      </c>
      <c r="D283" s="21" t="s">
        <v>1140</v>
      </c>
      <c r="E283" s="20" t="s">
        <v>16</v>
      </c>
      <c r="F283" s="18" t="str">
        <f>B283</f>
        <v>ECE</v>
      </c>
      <c r="G283" s="86">
        <v>3000</v>
      </c>
      <c r="H283" s="92">
        <v>45464</v>
      </c>
      <c r="I283" s="87"/>
      <c r="J283" s="57"/>
      <c r="K283" s="92" t="s">
        <v>1138</v>
      </c>
      <c r="L283" s="101">
        <v>57</v>
      </c>
      <c r="M283" s="85"/>
    </row>
    <row r="284" spans="1:13" ht="15.75">
      <c r="A284" s="83">
        <v>844</v>
      </c>
      <c r="B284" s="18" t="s">
        <v>5</v>
      </c>
      <c r="C284" s="21" t="s">
        <v>650</v>
      </c>
      <c r="D284" s="21" t="s">
        <v>1139</v>
      </c>
      <c r="E284" s="20" t="s">
        <v>16</v>
      </c>
      <c r="F284" s="18" t="str">
        <f>B284</f>
        <v>ECE</v>
      </c>
      <c r="G284" s="86">
        <v>3000</v>
      </c>
      <c r="H284" s="92">
        <v>45464</v>
      </c>
      <c r="I284" s="87"/>
      <c r="J284" s="57"/>
      <c r="K284" s="92" t="s">
        <v>1138</v>
      </c>
      <c r="L284" s="101">
        <v>57</v>
      </c>
      <c r="M284" s="85"/>
    </row>
    <row r="285" spans="1:13" ht="31.5">
      <c r="A285" s="83">
        <v>845</v>
      </c>
      <c r="B285" s="18" t="s">
        <v>5</v>
      </c>
      <c r="C285" s="21" t="s">
        <v>262</v>
      </c>
      <c r="D285" s="21" t="s">
        <v>1137</v>
      </c>
      <c r="E285" s="20" t="s">
        <v>324</v>
      </c>
      <c r="F285" s="18" t="str">
        <f>B285</f>
        <v>ECE</v>
      </c>
      <c r="G285" s="86">
        <v>5000</v>
      </c>
      <c r="H285" s="92">
        <v>45464</v>
      </c>
      <c r="I285" s="87"/>
      <c r="J285" s="57"/>
      <c r="K285" s="92" t="s">
        <v>1136</v>
      </c>
      <c r="L285" s="101">
        <v>57</v>
      </c>
      <c r="M285" s="85"/>
    </row>
    <row r="286" spans="1:13" ht="31.5">
      <c r="A286" s="83">
        <v>846</v>
      </c>
      <c r="B286" s="18" t="s">
        <v>5</v>
      </c>
      <c r="C286" s="21" t="s">
        <v>262</v>
      </c>
      <c r="D286" s="21" t="s">
        <v>1135</v>
      </c>
      <c r="E286" s="20" t="s">
        <v>324</v>
      </c>
      <c r="F286" s="18" t="str">
        <f>B286</f>
        <v>ECE</v>
      </c>
      <c r="G286" s="86">
        <v>3000</v>
      </c>
      <c r="H286" s="92">
        <v>45464</v>
      </c>
      <c r="I286" s="87"/>
      <c r="J286" s="57"/>
      <c r="K286" s="92" t="s">
        <v>1134</v>
      </c>
      <c r="L286" s="101">
        <v>57</v>
      </c>
      <c r="M286" s="85"/>
    </row>
    <row r="287" spans="1:13" ht="31.5">
      <c r="A287" s="83">
        <v>847</v>
      </c>
      <c r="B287" s="18" t="s">
        <v>5</v>
      </c>
      <c r="C287" s="21" t="s">
        <v>26</v>
      </c>
      <c r="D287" s="21" t="s">
        <v>1133</v>
      </c>
      <c r="E287" s="20" t="s">
        <v>16</v>
      </c>
      <c r="F287" s="18" t="str">
        <f>B287</f>
        <v>ECE</v>
      </c>
      <c r="G287" s="86">
        <v>1800</v>
      </c>
      <c r="H287" s="92">
        <v>45464</v>
      </c>
      <c r="I287" s="87" t="s">
        <v>12</v>
      </c>
      <c r="J287" s="57"/>
      <c r="K287" s="92" t="s">
        <v>1128</v>
      </c>
      <c r="L287" s="101">
        <v>57</v>
      </c>
      <c r="M287" s="85"/>
    </row>
    <row r="288" spans="1:13" ht="31.5">
      <c r="A288" s="83">
        <v>848</v>
      </c>
      <c r="B288" s="18" t="s">
        <v>5</v>
      </c>
      <c r="C288" s="21" t="s">
        <v>26</v>
      </c>
      <c r="D288" s="21" t="s">
        <v>1132</v>
      </c>
      <c r="E288" s="20" t="s">
        <v>16</v>
      </c>
      <c r="F288" s="18" t="str">
        <f>B288</f>
        <v>ECE</v>
      </c>
      <c r="G288" s="86">
        <v>1800</v>
      </c>
      <c r="H288" s="92">
        <v>45464</v>
      </c>
      <c r="I288" s="87" t="s">
        <v>12</v>
      </c>
      <c r="J288" s="57"/>
      <c r="K288" s="92" t="s">
        <v>1128</v>
      </c>
      <c r="L288" s="101">
        <v>57</v>
      </c>
      <c r="M288" s="85"/>
    </row>
    <row r="289" spans="1:13" ht="47.25">
      <c r="A289" s="83">
        <v>849</v>
      </c>
      <c r="B289" s="18" t="s">
        <v>5</v>
      </c>
      <c r="C289" s="21" t="s">
        <v>21</v>
      </c>
      <c r="D289" s="21" t="s">
        <v>1131</v>
      </c>
      <c r="E289" s="20" t="s">
        <v>23</v>
      </c>
      <c r="F289" s="18" t="str">
        <f>B289</f>
        <v>ECE</v>
      </c>
      <c r="G289" s="86">
        <v>6000</v>
      </c>
      <c r="H289" s="92">
        <v>45464</v>
      </c>
      <c r="I289" s="87"/>
      <c r="J289" s="57"/>
      <c r="K289" s="92" t="s">
        <v>1130</v>
      </c>
      <c r="L289" s="101">
        <v>57</v>
      </c>
      <c r="M289" s="85"/>
    </row>
    <row r="290" spans="1:13" ht="31.5">
      <c r="A290" s="83">
        <v>850</v>
      </c>
      <c r="B290" s="18" t="s">
        <v>5</v>
      </c>
      <c r="C290" s="21" t="s">
        <v>21</v>
      </c>
      <c r="D290" s="21" t="s">
        <v>1129</v>
      </c>
      <c r="E290" s="20" t="s">
        <v>324</v>
      </c>
      <c r="F290" s="18" t="str">
        <f>B290</f>
        <v>ECE</v>
      </c>
      <c r="G290" s="86">
        <v>3000</v>
      </c>
      <c r="H290" s="92">
        <v>45464</v>
      </c>
      <c r="I290" s="87"/>
      <c r="J290" s="57"/>
      <c r="K290" s="92" t="s">
        <v>1128</v>
      </c>
      <c r="L290" s="101">
        <v>57</v>
      </c>
      <c r="M290" s="85"/>
    </row>
    <row r="291" spans="1:13" ht="31.5">
      <c r="A291" s="83">
        <v>851</v>
      </c>
      <c r="B291" s="18" t="s">
        <v>5</v>
      </c>
      <c r="C291" s="21" t="s">
        <v>175</v>
      </c>
      <c r="D291" s="21" t="s">
        <v>1127</v>
      </c>
      <c r="E291" s="20" t="s">
        <v>23</v>
      </c>
      <c r="F291" s="18" t="str">
        <f>B291</f>
        <v>ECE</v>
      </c>
      <c r="G291" s="86">
        <v>10000</v>
      </c>
      <c r="H291" s="92">
        <v>45464</v>
      </c>
      <c r="I291" s="87"/>
      <c r="J291" s="57"/>
      <c r="K291" s="92" t="s">
        <v>1121</v>
      </c>
      <c r="L291" s="101">
        <v>57</v>
      </c>
      <c r="M291" s="85"/>
    </row>
    <row r="292" spans="1:13" ht="31.5">
      <c r="A292" s="83">
        <v>852</v>
      </c>
      <c r="B292" s="18" t="s">
        <v>5</v>
      </c>
      <c r="C292" s="21" t="s">
        <v>901</v>
      </c>
      <c r="D292" s="21" t="s">
        <v>1126</v>
      </c>
      <c r="E292" s="20" t="s">
        <v>23</v>
      </c>
      <c r="F292" s="18" t="str">
        <f>B292</f>
        <v>ECE</v>
      </c>
      <c r="G292" s="86">
        <v>6000</v>
      </c>
      <c r="H292" s="92">
        <v>45464</v>
      </c>
      <c r="I292" s="87"/>
      <c r="J292" s="57"/>
      <c r="K292" s="92" t="s">
        <v>1125</v>
      </c>
      <c r="L292" s="101">
        <v>57</v>
      </c>
      <c r="M292" s="85"/>
    </row>
    <row r="293" spans="1:13" ht="31.5">
      <c r="A293" s="83">
        <v>853</v>
      </c>
      <c r="B293" s="18" t="s">
        <v>5</v>
      </c>
      <c r="C293" s="21" t="s">
        <v>901</v>
      </c>
      <c r="D293" s="21" t="s">
        <v>1124</v>
      </c>
      <c r="E293" s="20" t="s">
        <v>23</v>
      </c>
      <c r="F293" s="18" t="str">
        <f>B293</f>
        <v>ECE</v>
      </c>
      <c r="G293" s="86">
        <v>6000</v>
      </c>
      <c r="H293" s="92">
        <v>45464</v>
      </c>
      <c r="I293" s="87"/>
      <c r="J293" s="57"/>
      <c r="K293" s="92" t="s">
        <v>1123</v>
      </c>
      <c r="L293" s="101">
        <v>57</v>
      </c>
      <c r="M293" s="85"/>
    </row>
    <row r="294" spans="1:13" ht="31.5">
      <c r="A294" s="83">
        <v>854</v>
      </c>
      <c r="B294" s="18" t="s">
        <v>5</v>
      </c>
      <c r="C294" s="21" t="s">
        <v>901</v>
      </c>
      <c r="D294" s="21" t="s">
        <v>1122</v>
      </c>
      <c r="E294" s="20" t="s">
        <v>324</v>
      </c>
      <c r="F294" s="18" t="str">
        <f>B294</f>
        <v>ECE</v>
      </c>
      <c r="G294" s="86">
        <v>2500</v>
      </c>
      <c r="H294" s="92">
        <v>45464</v>
      </c>
      <c r="I294" s="87"/>
      <c r="J294" s="57"/>
      <c r="K294" s="92" t="s">
        <v>1121</v>
      </c>
      <c r="L294" s="101">
        <v>57</v>
      </c>
      <c r="M294" s="85"/>
    </row>
    <row r="295" spans="1:13" ht="31.5">
      <c r="A295" s="83">
        <v>855</v>
      </c>
      <c r="B295" s="18" t="s">
        <v>5</v>
      </c>
      <c r="C295" s="21" t="s">
        <v>901</v>
      </c>
      <c r="D295" s="21" t="s">
        <v>1120</v>
      </c>
      <c r="E295" s="20" t="s">
        <v>16</v>
      </c>
      <c r="F295" s="18" t="str">
        <f>B295</f>
        <v>ECE</v>
      </c>
      <c r="G295" s="86">
        <v>1800</v>
      </c>
      <c r="H295" s="92">
        <v>45464</v>
      </c>
      <c r="I295" s="87"/>
      <c r="J295" s="57"/>
      <c r="K295" s="92" t="s">
        <v>1119</v>
      </c>
      <c r="L295" s="101">
        <v>57</v>
      </c>
      <c r="M295" s="85"/>
    </row>
    <row r="296" spans="1:13" ht="31.5">
      <c r="A296" s="83">
        <v>856</v>
      </c>
      <c r="B296" s="18" t="s">
        <v>4</v>
      </c>
      <c r="C296" s="21" t="s">
        <v>856</v>
      </c>
      <c r="D296" s="21" t="s">
        <v>1118</v>
      </c>
      <c r="E296" s="20" t="s">
        <v>23</v>
      </c>
      <c r="F296" s="18" t="str">
        <f>B296</f>
        <v>EEE</v>
      </c>
      <c r="G296" s="86">
        <v>6000</v>
      </c>
      <c r="H296" s="92">
        <v>45464</v>
      </c>
      <c r="I296" s="87"/>
      <c r="J296" s="57"/>
      <c r="K296" s="92" t="s">
        <v>1117</v>
      </c>
      <c r="L296" s="101">
        <v>57</v>
      </c>
      <c r="M296" s="85"/>
    </row>
    <row r="297" spans="1:13" ht="47.25">
      <c r="A297" s="83">
        <v>857</v>
      </c>
      <c r="B297" s="18" t="s">
        <v>4</v>
      </c>
      <c r="C297" s="21" t="s">
        <v>856</v>
      </c>
      <c r="D297" s="21" t="s">
        <v>861</v>
      </c>
      <c r="E297" s="20" t="s">
        <v>324</v>
      </c>
      <c r="F297" s="18" t="str">
        <f>B297</f>
        <v>EEE</v>
      </c>
      <c r="G297" s="86">
        <v>3000</v>
      </c>
      <c r="H297" s="92">
        <v>45464</v>
      </c>
      <c r="I297" s="87"/>
      <c r="J297" s="57"/>
      <c r="K297" s="92" t="s">
        <v>1116</v>
      </c>
      <c r="L297" s="101">
        <v>57</v>
      </c>
      <c r="M297" s="85"/>
    </row>
    <row r="298" spans="1:13" ht="31.5">
      <c r="A298" s="83">
        <v>858</v>
      </c>
      <c r="B298" s="18" t="s">
        <v>4</v>
      </c>
      <c r="C298" s="21" t="s">
        <v>856</v>
      </c>
      <c r="D298" s="21" t="s">
        <v>1115</v>
      </c>
      <c r="E298" s="20" t="s">
        <v>324</v>
      </c>
      <c r="F298" s="18" t="str">
        <f>B298</f>
        <v>EEE</v>
      </c>
      <c r="G298" s="86">
        <v>3000</v>
      </c>
      <c r="H298" s="92">
        <v>45464</v>
      </c>
      <c r="I298" s="87"/>
      <c r="J298" s="57"/>
      <c r="K298" s="92" t="s">
        <v>1114</v>
      </c>
      <c r="L298" s="101">
        <v>57</v>
      </c>
      <c r="M298" s="85"/>
    </row>
    <row r="299" spans="1:13" ht="31.5">
      <c r="A299" s="83">
        <v>859</v>
      </c>
      <c r="B299" s="18" t="s">
        <v>2</v>
      </c>
      <c r="C299" s="21" t="s">
        <v>99</v>
      </c>
      <c r="D299" s="21" t="s">
        <v>1113</v>
      </c>
      <c r="E299" s="20" t="s">
        <v>23</v>
      </c>
      <c r="F299" s="18" t="str">
        <f>B299</f>
        <v>Mech</v>
      </c>
      <c r="G299" s="86">
        <v>10000</v>
      </c>
      <c r="H299" s="92">
        <v>45464</v>
      </c>
      <c r="I299" s="87" t="s">
        <v>12</v>
      </c>
      <c r="J299" s="57"/>
      <c r="K299" s="92" t="s">
        <v>1112</v>
      </c>
      <c r="L299" s="101">
        <v>57</v>
      </c>
      <c r="M299" s="85"/>
    </row>
    <row r="300" spans="1:13" ht="31.5">
      <c r="A300" s="83">
        <v>860</v>
      </c>
      <c r="B300" s="18" t="s">
        <v>2</v>
      </c>
      <c r="C300" s="21" t="s">
        <v>99</v>
      </c>
      <c r="D300" s="21" t="s">
        <v>1111</v>
      </c>
      <c r="E300" s="20" t="s">
        <v>16</v>
      </c>
      <c r="F300" s="18" t="str">
        <f>B300</f>
        <v>Mech</v>
      </c>
      <c r="G300" s="86">
        <v>3000</v>
      </c>
      <c r="H300" s="92">
        <v>45464</v>
      </c>
      <c r="I300" s="87" t="s">
        <v>12</v>
      </c>
      <c r="J300" s="57"/>
      <c r="K300" s="92">
        <v>2024</v>
      </c>
      <c r="L300" s="101">
        <v>57</v>
      </c>
      <c r="M300" s="85"/>
    </row>
    <row r="301" spans="1:13" ht="15.75">
      <c r="A301" s="83">
        <v>861</v>
      </c>
      <c r="B301" s="18" t="s">
        <v>2</v>
      </c>
      <c r="C301" s="21" t="s">
        <v>93</v>
      </c>
      <c r="D301" s="21" t="s">
        <v>319</v>
      </c>
      <c r="E301" s="20" t="s">
        <v>193</v>
      </c>
      <c r="F301" s="18" t="str">
        <f>B301</f>
        <v>Mech</v>
      </c>
      <c r="G301" s="86">
        <v>8000</v>
      </c>
      <c r="H301" s="92">
        <v>45464</v>
      </c>
      <c r="I301" s="87"/>
      <c r="J301" s="57"/>
      <c r="K301" s="92" t="s">
        <v>1110</v>
      </c>
      <c r="L301" s="101">
        <v>57</v>
      </c>
      <c r="M301" s="85"/>
    </row>
    <row r="302" spans="1:13" ht="31.5">
      <c r="A302" s="83">
        <v>862</v>
      </c>
      <c r="B302" s="18" t="s">
        <v>0</v>
      </c>
      <c r="C302" s="21" t="s">
        <v>249</v>
      </c>
      <c r="D302" s="21" t="s">
        <v>1109</v>
      </c>
      <c r="E302" s="20" t="s">
        <v>23</v>
      </c>
      <c r="F302" s="18" t="str">
        <f>B302</f>
        <v>Maths</v>
      </c>
      <c r="G302" s="86">
        <v>6000</v>
      </c>
      <c r="H302" s="92">
        <v>45464</v>
      </c>
      <c r="I302" s="87"/>
      <c r="J302" s="57"/>
      <c r="K302" s="92" t="s">
        <v>1108</v>
      </c>
      <c r="L302" s="101">
        <v>57</v>
      </c>
      <c r="M302" s="85"/>
    </row>
    <row r="303" spans="1:13" ht="47.25">
      <c r="A303" s="83">
        <v>863</v>
      </c>
      <c r="B303" s="18" t="s">
        <v>0</v>
      </c>
      <c r="C303" s="21" t="s">
        <v>249</v>
      </c>
      <c r="D303" s="21" t="s">
        <v>1107</v>
      </c>
      <c r="E303" s="20" t="s">
        <v>16</v>
      </c>
      <c r="F303" s="18" t="str">
        <f>B303</f>
        <v>Maths</v>
      </c>
      <c r="G303" s="86">
        <v>3000</v>
      </c>
      <c r="H303" s="92">
        <v>45464</v>
      </c>
      <c r="I303" s="87"/>
      <c r="J303" s="57"/>
      <c r="K303" s="92" t="s">
        <v>1106</v>
      </c>
      <c r="L303" s="101">
        <v>57</v>
      </c>
      <c r="M303" s="85"/>
    </row>
    <row r="304" spans="1:13" ht="15.75">
      <c r="A304" s="46"/>
      <c r="B304" s="46"/>
      <c r="C304" s="46"/>
      <c r="D304" s="46" t="s">
        <v>11</v>
      </c>
      <c r="E304" s="42"/>
      <c r="F304" s="90"/>
      <c r="G304" s="89">
        <f>SUM(G279:G303)</f>
        <v>128700</v>
      </c>
      <c r="H304" s="42" t="s">
        <v>718</v>
      </c>
      <c r="I304" s="42"/>
      <c r="J304" s="45">
        <f>G304</f>
        <v>128700</v>
      </c>
      <c r="K304" s="42"/>
      <c r="L304" s="46">
        <v>57</v>
      </c>
      <c r="M304" s="88"/>
    </row>
    <row r="305" spans="1:13" ht="63">
      <c r="A305" s="83">
        <v>864</v>
      </c>
      <c r="B305" s="18" t="s">
        <v>7</v>
      </c>
      <c r="C305" s="21" t="s">
        <v>40</v>
      </c>
      <c r="D305" s="21" t="s">
        <v>1105</v>
      </c>
      <c r="E305" s="20" t="s">
        <v>324</v>
      </c>
      <c r="F305" s="18" t="str">
        <f>B305</f>
        <v>CSBS</v>
      </c>
      <c r="G305" s="86">
        <v>5000</v>
      </c>
      <c r="H305" s="92">
        <v>45484</v>
      </c>
      <c r="I305" s="87"/>
      <c r="J305" s="57"/>
      <c r="K305" s="92" t="s">
        <v>1104</v>
      </c>
      <c r="L305" s="101">
        <v>58</v>
      </c>
      <c r="M305" s="85"/>
    </row>
    <row r="306" spans="1:13" ht="31.5">
      <c r="A306" s="83">
        <v>865</v>
      </c>
      <c r="B306" s="18" t="s">
        <v>7</v>
      </c>
      <c r="C306" s="21" t="s">
        <v>40</v>
      </c>
      <c r="D306" s="21" t="s">
        <v>1103</v>
      </c>
      <c r="E306" s="20" t="s">
        <v>16</v>
      </c>
      <c r="F306" s="18" t="str">
        <f>B306</f>
        <v>CSBS</v>
      </c>
      <c r="G306" s="86">
        <v>3000</v>
      </c>
      <c r="H306" s="92">
        <v>45484</v>
      </c>
      <c r="I306" s="87"/>
      <c r="J306" s="57"/>
      <c r="K306" s="92" t="s">
        <v>1102</v>
      </c>
      <c r="L306" s="101">
        <v>58</v>
      </c>
      <c r="M306" s="85"/>
    </row>
    <row r="307" spans="1:13" ht="31.5">
      <c r="A307" s="83">
        <v>866</v>
      </c>
      <c r="B307" s="18" t="s">
        <v>7</v>
      </c>
      <c r="C307" s="21" t="s">
        <v>40</v>
      </c>
      <c r="D307" s="21" t="s">
        <v>1101</v>
      </c>
      <c r="E307" s="20" t="s">
        <v>16</v>
      </c>
      <c r="F307" s="18" t="str">
        <f>B307</f>
        <v>CSBS</v>
      </c>
      <c r="G307" s="86">
        <v>1800</v>
      </c>
      <c r="H307" s="92">
        <v>45484</v>
      </c>
      <c r="I307" s="87"/>
      <c r="J307" s="57"/>
      <c r="K307" s="92" t="s">
        <v>1100</v>
      </c>
      <c r="L307" s="101">
        <v>58</v>
      </c>
      <c r="M307" s="85"/>
    </row>
    <row r="308" spans="1:13" ht="47.25">
      <c r="A308" s="83">
        <v>867</v>
      </c>
      <c r="B308" s="18" t="s">
        <v>5</v>
      </c>
      <c r="C308" s="21" t="s">
        <v>1099</v>
      </c>
      <c r="D308" s="21" t="s">
        <v>1098</v>
      </c>
      <c r="E308" s="20" t="s">
        <v>23</v>
      </c>
      <c r="F308" s="18" t="str">
        <f>B308</f>
        <v>ECE</v>
      </c>
      <c r="G308" s="86">
        <v>6000</v>
      </c>
      <c r="H308" s="92">
        <v>45484</v>
      </c>
      <c r="I308" s="87"/>
      <c r="J308" s="57"/>
      <c r="K308" s="92" t="s">
        <v>1097</v>
      </c>
      <c r="L308" s="101">
        <v>58</v>
      </c>
      <c r="M308" s="85"/>
    </row>
    <row r="309" spans="1:13" ht="47.25">
      <c r="A309" s="83">
        <v>868</v>
      </c>
      <c r="B309" s="18" t="s">
        <v>5</v>
      </c>
      <c r="C309" s="21" t="s">
        <v>72</v>
      </c>
      <c r="D309" s="21" t="s">
        <v>1096</v>
      </c>
      <c r="E309" s="20" t="s">
        <v>23</v>
      </c>
      <c r="F309" s="18" t="str">
        <f>B309</f>
        <v>ECE</v>
      </c>
      <c r="G309" s="86">
        <v>25000</v>
      </c>
      <c r="H309" s="92">
        <v>45484</v>
      </c>
      <c r="I309" s="87" t="s">
        <v>12</v>
      </c>
      <c r="J309" s="57"/>
      <c r="K309" s="92" t="s">
        <v>1095</v>
      </c>
      <c r="L309" s="101">
        <v>58</v>
      </c>
      <c r="M309" s="85"/>
    </row>
    <row r="310" spans="1:13" ht="31.5">
      <c r="A310" s="83">
        <v>869</v>
      </c>
      <c r="B310" s="18" t="s">
        <v>4</v>
      </c>
      <c r="C310" s="21" t="s">
        <v>136</v>
      </c>
      <c r="D310" s="21" t="s">
        <v>1094</v>
      </c>
      <c r="E310" s="20" t="s">
        <v>324</v>
      </c>
      <c r="F310" s="18" t="str">
        <f>B310</f>
        <v>EEE</v>
      </c>
      <c r="G310" s="86">
        <v>5000</v>
      </c>
      <c r="H310" s="92">
        <v>45484</v>
      </c>
      <c r="I310" s="87" t="s">
        <v>12</v>
      </c>
      <c r="J310" s="57"/>
      <c r="K310" s="92" t="s">
        <v>1093</v>
      </c>
      <c r="L310" s="101">
        <v>58</v>
      </c>
      <c r="M310" s="85"/>
    </row>
    <row r="311" spans="1:13" ht="31.5">
      <c r="A311" s="83">
        <v>870</v>
      </c>
      <c r="B311" s="18" t="s">
        <v>2</v>
      </c>
      <c r="C311" s="21" t="s">
        <v>209</v>
      </c>
      <c r="D311" s="21" t="s">
        <v>1092</v>
      </c>
      <c r="E311" s="20" t="s">
        <v>23</v>
      </c>
      <c r="F311" s="18" t="str">
        <f>B311</f>
        <v>Mech</v>
      </c>
      <c r="G311" s="86">
        <v>5000</v>
      </c>
      <c r="H311" s="92">
        <v>45484</v>
      </c>
      <c r="I311" s="87"/>
      <c r="J311" s="57"/>
      <c r="K311" s="92" t="s">
        <v>1091</v>
      </c>
      <c r="L311" s="101">
        <v>58</v>
      </c>
      <c r="M311" s="85"/>
    </row>
    <row r="312" spans="1:13" ht="47.25">
      <c r="A312" s="83">
        <v>871</v>
      </c>
      <c r="B312" s="18" t="s">
        <v>0</v>
      </c>
      <c r="C312" s="21" t="s">
        <v>902</v>
      </c>
      <c r="D312" s="21" t="s">
        <v>1090</v>
      </c>
      <c r="E312" s="20" t="s">
        <v>23</v>
      </c>
      <c r="F312" s="18" t="str">
        <f>B312</f>
        <v>Maths</v>
      </c>
      <c r="G312" s="86">
        <v>10000</v>
      </c>
      <c r="H312" s="92">
        <v>45484</v>
      </c>
      <c r="I312" s="87"/>
      <c r="J312" s="57"/>
      <c r="K312" s="92" t="s">
        <v>1089</v>
      </c>
      <c r="L312" s="101">
        <v>58</v>
      </c>
      <c r="M312" s="85"/>
    </row>
    <row r="313" spans="1:13" ht="47.25">
      <c r="A313" s="83">
        <v>872</v>
      </c>
      <c r="B313" s="18" t="s">
        <v>0</v>
      </c>
      <c r="C313" s="21" t="s">
        <v>902</v>
      </c>
      <c r="D313" s="21" t="s">
        <v>1088</v>
      </c>
      <c r="E313" s="20" t="s">
        <v>324</v>
      </c>
      <c r="F313" s="18" t="str">
        <f>B313</f>
        <v>Maths</v>
      </c>
      <c r="G313" s="86">
        <v>5000</v>
      </c>
      <c r="H313" s="92">
        <v>45484</v>
      </c>
      <c r="I313" s="87"/>
      <c r="J313" s="57"/>
      <c r="K313" s="92" t="s">
        <v>1087</v>
      </c>
      <c r="L313" s="101">
        <v>58</v>
      </c>
      <c r="M313" s="85"/>
    </row>
    <row r="314" spans="1:13" ht="31.5">
      <c r="A314" s="83">
        <v>873</v>
      </c>
      <c r="B314" s="18" t="s">
        <v>0</v>
      </c>
      <c r="C314" s="21" t="s">
        <v>902</v>
      </c>
      <c r="D314" s="21" t="s">
        <v>1086</v>
      </c>
      <c r="E314" s="20" t="s">
        <v>16</v>
      </c>
      <c r="F314" s="18" t="str">
        <f>B314</f>
        <v>Maths</v>
      </c>
      <c r="G314" s="86">
        <v>3000</v>
      </c>
      <c r="H314" s="92">
        <v>45484</v>
      </c>
      <c r="I314" s="87"/>
      <c r="J314" s="57"/>
      <c r="K314" s="92" t="s">
        <v>1085</v>
      </c>
      <c r="L314" s="101">
        <v>58</v>
      </c>
      <c r="M314" s="85"/>
    </row>
    <row r="315" spans="1:13" ht="31.5">
      <c r="A315" s="83">
        <v>874</v>
      </c>
      <c r="B315" s="18" t="s">
        <v>0</v>
      </c>
      <c r="C315" s="21" t="s">
        <v>902</v>
      </c>
      <c r="D315" s="21" t="s">
        <v>1084</v>
      </c>
      <c r="E315" s="20" t="s">
        <v>16</v>
      </c>
      <c r="F315" s="18" t="str">
        <f>B315</f>
        <v>Maths</v>
      </c>
      <c r="G315" s="86">
        <v>900</v>
      </c>
      <c r="H315" s="92">
        <v>45484</v>
      </c>
      <c r="I315" s="87"/>
      <c r="J315" s="57"/>
      <c r="K315" s="92">
        <v>21.072023999999999</v>
      </c>
      <c r="L315" s="101">
        <v>58</v>
      </c>
      <c r="M315" s="85"/>
    </row>
    <row r="316" spans="1:13" ht="31.5">
      <c r="A316" s="100">
        <v>875</v>
      </c>
      <c r="B316" s="50" t="s">
        <v>1</v>
      </c>
      <c r="C316" s="51" t="s">
        <v>167</v>
      </c>
      <c r="D316" s="51" t="s">
        <v>1083</v>
      </c>
      <c r="E316" s="110" t="s">
        <v>23</v>
      </c>
      <c r="F316" s="50" t="str">
        <f>B316</f>
        <v>S&amp;H</v>
      </c>
      <c r="G316" s="109">
        <v>10000</v>
      </c>
      <c r="H316" s="106">
        <v>45484</v>
      </c>
      <c r="I316" s="108" t="s">
        <v>12</v>
      </c>
      <c r="J316" s="107"/>
      <c r="K316" s="106" t="s">
        <v>1082</v>
      </c>
      <c r="L316" s="105">
        <v>58</v>
      </c>
      <c r="M316" s="104"/>
    </row>
    <row r="317" spans="1:13" ht="15.75">
      <c r="A317" s="100"/>
      <c r="B317" s="50" t="s">
        <v>1</v>
      </c>
      <c r="C317" s="51" t="s">
        <v>167</v>
      </c>
      <c r="D317" s="51" t="s">
        <v>393</v>
      </c>
      <c r="E317" s="110" t="s">
        <v>193</v>
      </c>
      <c r="F317" s="50" t="str">
        <f>B317</f>
        <v>S&amp;H</v>
      </c>
      <c r="G317" s="109">
        <v>2000</v>
      </c>
      <c r="H317" s="106">
        <v>45484</v>
      </c>
      <c r="I317" s="108"/>
      <c r="J317" s="107"/>
      <c r="K317" s="106">
        <v>45511</v>
      </c>
      <c r="L317" s="105">
        <v>58</v>
      </c>
      <c r="M317" s="104"/>
    </row>
    <row r="318" spans="1:13" ht="15.75">
      <c r="A318" s="46"/>
      <c r="B318" s="46"/>
      <c r="C318" s="46"/>
      <c r="D318" s="46" t="s">
        <v>11</v>
      </c>
      <c r="E318" s="42"/>
      <c r="F318" s="90"/>
      <c r="G318" s="89">
        <f>SUM(G305:G317)</f>
        <v>81700</v>
      </c>
      <c r="H318" s="42" t="s">
        <v>718</v>
      </c>
      <c r="I318" s="42"/>
      <c r="J318" s="45">
        <f>G318</f>
        <v>81700</v>
      </c>
      <c r="K318" s="42"/>
      <c r="L318" s="46">
        <v>58</v>
      </c>
      <c r="M318" s="88"/>
    </row>
    <row r="319" spans="1:13" ht="31.5">
      <c r="A319" s="83">
        <v>876</v>
      </c>
      <c r="B319" s="18" t="s">
        <v>6</v>
      </c>
      <c r="C319" s="21" t="s">
        <v>566</v>
      </c>
      <c r="D319" s="21" t="s">
        <v>1081</v>
      </c>
      <c r="E319" s="20" t="s">
        <v>23</v>
      </c>
      <c r="F319" s="18" t="str">
        <f>B319</f>
        <v>CSE</v>
      </c>
      <c r="G319" s="86">
        <v>10000</v>
      </c>
      <c r="H319" s="92">
        <v>45489</v>
      </c>
      <c r="I319" s="87"/>
      <c r="J319" s="57"/>
      <c r="K319" s="92" t="s">
        <v>1080</v>
      </c>
      <c r="L319" s="101">
        <v>59</v>
      </c>
      <c r="M319" s="85"/>
    </row>
    <row r="320" spans="1:13" ht="31.5">
      <c r="A320" s="83">
        <v>877</v>
      </c>
      <c r="B320" s="18" t="s">
        <v>6</v>
      </c>
      <c r="C320" s="21" t="s">
        <v>566</v>
      </c>
      <c r="D320" s="21" t="s">
        <v>1079</v>
      </c>
      <c r="E320" s="20" t="s">
        <v>16</v>
      </c>
      <c r="F320" s="18" t="str">
        <f>B320</f>
        <v>CSE</v>
      </c>
      <c r="G320" s="86">
        <v>1800</v>
      </c>
      <c r="H320" s="92">
        <v>45489</v>
      </c>
      <c r="I320" s="87"/>
      <c r="J320" s="57"/>
      <c r="K320" s="92">
        <v>45352</v>
      </c>
      <c r="L320" s="101">
        <v>59</v>
      </c>
      <c r="M320" s="103"/>
    </row>
    <row r="321" spans="1:13" ht="31.5">
      <c r="A321" s="83">
        <v>878</v>
      </c>
      <c r="B321" s="18" t="s">
        <v>5</v>
      </c>
      <c r="C321" s="21" t="s">
        <v>173</v>
      </c>
      <c r="D321" s="21" t="s">
        <v>1078</v>
      </c>
      <c r="E321" s="20" t="s">
        <v>23</v>
      </c>
      <c r="F321" s="18" t="str">
        <f>B321</f>
        <v>ECE</v>
      </c>
      <c r="G321" s="86">
        <v>5000</v>
      </c>
      <c r="H321" s="92">
        <v>45489</v>
      </c>
      <c r="I321" s="87" t="s">
        <v>12</v>
      </c>
      <c r="J321" s="57"/>
      <c r="K321" s="92">
        <v>45413</v>
      </c>
      <c r="L321" s="101">
        <v>59</v>
      </c>
      <c r="M321" s="103"/>
    </row>
    <row r="322" spans="1:13" ht="31.5">
      <c r="A322" s="83">
        <v>879</v>
      </c>
      <c r="B322" s="18" t="s">
        <v>5</v>
      </c>
      <c r="C322" s="21" t="s">
        <v>173</v>
      </c>
      <c r="D322" s="21" t="s">
        <v>1077</v>
      </c>
      <c r="E322" s="20" t="s">
        <v>23</v>
      </c>
      <c r="F322" s="18" t="str">
        <f>B322</f>
        <v>ECE</v>
      </c>
      <c r="G322" s="86">
        <v>5000</v>
      </c>
      <c r="H322" s="92">
        <v>45489</v>
      </c>
      <c r="I322" s="87" t="s">
        <v>12</v>
      </c>
      <c r="J322" s="57"/>
      <c r="K322" s="92">
        <v>45413</v>
      </c>
      <c r="L322" s="101">
        <v>59</v>
      </c>
      <c r="M322" s="103"/>
    </row>
    <row r="323" spans="1:13" ht="31.5">
      <c r="A323" s="83">
        <v>880</v>
      </c>
      <c r="B323" s="18" t="s">
        <v>5</v>
      </c>
      <c r="C323" s="21" t="s">
        <v>173</v>
      </c>
      <c r="D323" s="21" t="s">
        <v>1076</v>
      </c>
      <c r="E323" s="20" t="s">
        <v>23</v>
      </c>
      <c r="F323" s="18" t="str">
        <f>B323</f>
        <v>ECE</v>
      </c>
      <c r="G323" s="86">
        <v>3000</v>
      </c>
      <c r="H323" s="92">
        <v>45489</v>
      </c>
      <c r="I323" s="87" t="s">
        <v>12</v>
      </c>
      <c r="J323" s="57"/>
      <c r="K323" s="92">
        <v>45444</v>
      </c>
      <c r="L323" s="101">
        <v>59</v>
      </c>
      <c r="M323" s="103"/>
    </row>
    <row r="324" spans="1:13" ht="15.75">
      <c r="A324" s="83">
        <v>881</v>
      </c>
      <c r="B324" s="18" t="s">
        <v>5</v>
      </c>
      <c r="C324" s="21" t="s">
        <v>173</v>
      </c>
      <c r="D324" s="21" t="s">
        <v>1075</v>
      </c>
      <c r="E324" s="20" t="s">
        <v>324</v>
      </c>
      <c r="F324" s="18" t="str">
        <f>B324</f>
        <v>ECE</v>
      </c>
      <c r="G324" s="86">
        <v>1800</v>
      </c>
      <c r="H324" s="92">
        <v>45489</v>
      </c>
      <c r="I324" s="87" t="s">
        <v>12</v>
      </c>
      <c r="J324" s="57"/>
      <c r="K324" s="92">
        <v>45383</v>
      </c>
      <c r="L324" s="101">
        <v>59</v>
      </c>
      <c r="M324" s="103"/>
    </row>
    <row r="325" spans="1:13" ht="15.75">
      <c r="A325" s="83">
        <v>882</v>
      </c>
      <c r="B325" s="18" t="s">
        <v>5</v>
      </c>
      <c r="C325" s="21" t="s">
        <v>173</v>
      </c>
      <c r="D325" s="21" t="s">
        <v>1074</v>
      </c>
      <c r="E325" s="20" t="s">
        <v>324</v>
      </c>
      <c r="F325" s="18" t="str">
        <f>B325</f>
        <v>ECE</v>
      </c>
      <c r="G325" s="86">
        <v>1800</v>
      </c>
      <c r="H325" s="92">
        <v>45489</v>
      </c>
      <c r="I325" s="87" t="s">
        <v>12</v>
      </c>
      <c r="J325" s="57"/>
      <c r="K325" s="92">
        <v>45383</v>
      </c>
      <c r="L325" s="101">
        <v>59</v>
      </c>
      <c r="M325" s="103"/>
    </row>
    <row r="326" spans="1:13" ht="31.5">
      <c r="A326" s="83">
        <v>883</v>
      </c>
      <c r="B326" s="18" t="s">
        <v>5</v>
      </c>
      <c r="C326" s="21" t="s">
        <v>173</v>
      </c>
      <c r="D326" s="21" t="s">
        <v>1073</v>
      </c>
      <c r="E326" s="20" t="s">
        <v>187</v>
      </c>
      <c r="F326" s="18" t="str">
        <f>B326</f>
        <v>ECE</v>
      </c>
      <c r="G326" s="86">
        <v>5000</v>
      </c>
      <c r="H326" s="92">
        <v>45489</v>
      </c>
      <c r="I326" s="87" t="s">
        <v>12</v>
      </c>
      <c r="J326" s="57"/>
      <c r="K326" s="92">
        <v>45413</v>
      </c>
      <c r="L326" s="101">
        <v>59</v>
      </c>
      <c r="M326" s="103"/>
    </row>
    <row r="327" spans="1:13" ht="31.5">
      <c r="A327" s="83">
        <v>884</v>
      </c>
      <c r="B327" s="18" t="s">
        <v>5</v>
      </c>
      <c r="C327" s="21" t="s">
        <v>173</v>
      </c>
      <c r="D327" s="21" t="s">
        <v>1072</v>
      </c>
      <c r="E327" s="20" t="s">
        <v>23</v>
      </c>
      <c r="F327" s="18" t="str">
        <f>B327</f>
        <v>ECE</v>
      </c>
      <c r="G327" s="86">
        <v>12000</v>
      </c>
      <c r="H327" s="92">
        <v>45489</v>
      </c>
      <c r="I327" s="87" t="s">
        <v>12</v>
      </c>
      <c r="J327" s="57"/>
      <c r="K327" s="92">
        <v>45444</v>
      </c>
      <c r="L327" s="101">
        <v>59</v>
      </c>
      <c r="M327" s="103"/>
    </row>
    <row r="328" spans="1:13" ht="15.75">
      <c r="A328" s="83">
        <v>885</v>
      </c>
      <c r="B328" s="18" t="s">
        <v>5</v>
      </c>
      <c r="C328" s="21" t="s">
        <v>173</v>
      </c>
      <c r="D328" s="21" t="s">
        <v>1071</v>
      </c>
      <c r="E328" s="20" t="s">
        <v>324</v>
      </c>
      <c r="F328" s="18" t="str">
        <f>B328</f>
        <v>ECE</v>
      </c>
      <c r="G328" s="86">
        <v>1800</v>
      </c>
      <c r="H328" s="92">
        <v>45489</v>
      </c>
      <c r="I328" s="87" t="s">
        <v>12</v>
      </c>
      <c r="J328" s="57"/>
      <c r="K328" s="92">
        <v>45444</v>
      </c>
      <c r="L328" s="101">
        <v>59</v>
      </c>
      <c r="M328" s="103"/>
    </row>
    <row r="329" spans="1:13" ht="15.75">
      <c r="A329" s="83">
        <v>886</v>
      </c>
      <c r="B329" s="18" t="s">
        <v>5</v>
      </c>
      <c r="C329" s="21" t="s">
        <v>173</v>
      </c>
      <c r="D329" s="21" t="s">
        <v>1070</v>
      </c>
      <c r="E329" s="20" t="s">
        <v>324</v>
      </c>
      <c r="F329" s="18" t="str">
        <f>B329</f>
        <v>ECE</v>
      </c>
      <c r="G329" s="86">
        <v>3000</v>
      </c>
      <c r="H329" s="92">
        <v>45489</v>
      </c>
      <c r="I329" s="87" t="s">
        <v>12</v>
      </c>
      <c r="J329" s="57"/>
      <c r="K329" s="92">
        <v>45444</v>
      </c>
      <c r="L329" s="101">
        <v>59</v>
      </c>
      <c r="M329" s="103"/>
    </row>
    <row r="330" spans="1:13" ht="15.75">
      <c r="A330" s="83">
        <v>887</v>
      </c>
      <c r="B330" s="18" t="s">
        <v>5</v>
      </c>
      <c r="C330" s="21" t="s">
        <v>173</v>
      </c>
      <c r="D330" s="21" t="s">
        <v>1069</v>
      </c>
      <c r="E330" s="20" t="s">
        <v>324</v>
      </c>
      <c r="F330" s="18" t="str">
        <f>B330</f>
        <v>ECE</v>
      </c>
      <c r="G330" s="86">
        <v>1800</v>
      </c>
      <c r="H330" s="92">
        <v>45489</v>
      </c>
      <c r="I330" s="87" t="s">
        <v>12</v>
      </c>
      <c r="J330" s="57"/>
      <c r="K330" s="92">
        <v>45444</v>
      </c>
      <c r="L330" s="101">
        <v>59</v>
      </c>
      <c r="M330" s="103"/>
    </row>
    <row r="331" spans="1:13" ht="31.5">
      <c r="A331" s="83">
        <v>888</v>
      </c>
      <c r="B331" s="18" t="s">
        <v>5</v>
      </c>
      <c r="C331" s="21" t="s">
        <v>267</v>
      </c>
      <c r="D331" s="21" t="s">
        <v>1068</v>
      </c>
      <c r="E331" s="20" t="s">
        <v>187</v>
      </c>
      <c r="F331" s="18" t="str">
        <f>B331</f>
        <v>ECE</v>
      </c>
      <c r="G331" s="86">
        <v>5000</v>
      </c>
      <c r="H331" s="92">
        <v>45489</v>
      </c>
      <c r="I331" s="87" t="s">
        <v>12</v>
      </c>
      <c r="J331" s="57"/>
      <c r="K331" s="92" t="s">
        <v>1067</v>
      </c>
      <c r="L331" s="101">
        <v>59</v>
      </c>
      <c r="M331" s="85"/>
    </row>
    <row r="332" spans="1:13" ht="31.5">
      <c r="A332" s="83">
        <v>889</v>
      </c>
      <c r="B332" s="18" t="s">
        <v>5</v>
      </c>
      <c r="C332" s="21" t="s">
        <v>170</v>
      </c>
      <c r="D332" s="21" t="s">
        <v>1066</v>
      </c>
      <c r="E332" s="20" t="s">
        <v>16</v>
      </c>
      <c r="F332" s="18" t="str">
        <f>B332</f>
        <v>ECE</v>
      </c>
      <c r="G332" s="86">
        <v>3000</v>
      </c>
      <c r="H332" s="92">
        <v>45489</v>
      </c>
      <c r="I332" s="87" t="s">
        <v>12</v>
      </c>
      <c r="J332" s="57"/>
      <c r="K332" s="92" t="s">
        <v>1007</v>
      </c>
      <c r="L332" s="101">
        <v>59</v>
      </c>
      <c r="M332" s="85"/>
    </row>
    <row r="333" spans="1:13" ht="15.75">
      <c r="A333" s="83">
        <v>890</v>
      </c>
      <c r="B333" s="18" t="s">
        <v>5</v>
      </c>
      <c r="C333" s="21" t="s">
        <v>170</v>
      </c>
      <c r="D333" s="21" t="s">
        <v>198</v>
      </c>
      <c r="E333" s="20" t="s">
        <v>193</v>
      </c>
      <c r="F333" s="18" t="str">
        <f>B333</f>
        <v>ECE</v>
      </c>
      <c r="G333" s="86">
        <v>4000</v>
      </c>
      <c r="H333" s="92">
        <v>45489</v>
      </c>
      <c r="I333" s="87" t="s">
        <v>12</v>
      </c>
      <c r="J333" s="57"/>
      <c r="K333" s="92" t="s">
        <v>1007</v>
      </c>
      <c r="L333" s="101">
        <v>59</v>
      </c>
      <c r="M333" s="85"/>
    </row>
    <row r="334" spans="1:13" ht="47.25">
      <c r="A334" s="83">
        <v>891</v>
      </c>
      <c r="B334" s="18" t="s">
        <v>2</v>
      </c>
      <c r="C334" s="21" t="s">
        <v>74</v>
      </c>
      <c r="D334" s="21" t="s">
        <v>1065</v>
      </c>
      <c r="E334" s="20" t="s">
        <v>23</v>
      </c>
      <c r="F334" s="18" t="str">
        <f>B334</f>
        <v>Mech</v>
      </c>
      <c r="G334" s="86">
        <v>6000</v>
      </c>
      <c r="H334" s="92">
        <v>45489</v>
      </c>
      <c r="I334" s="87" t="s">
        <v>12</v>
      </c>
      <c r="J334" s="57"/>
      <c r="K334" s="92">
        <v>45298</v>
      </c>
      <c r="L334" s="101">
        <v>59</v>
      </c>
      <c r="M334" s="102"/>
    </row>
    <row r="335" spans="1:13" ht="15.75">
      <c r="A335" s="83">
        <v>892</v>
      </c>
      <c r="B335" s="18" t="s">
        <v>2</v>
      </c>
      <c r="C335" s="21" t="s">
        <v>74</v>
      </c>
      <c r="D335" s="21" t="s">
        <v>198</v>
      </c>
      <c r="E335" s="20" t="s">
        <v>193</v>
      </c>
      <c r="F335" s="18" t="str">
        <f>B335</f>
        <v>Mech</v>
      </c>
      <c r="G335" s="86">
        <v>10000</v>
      </c>
      <c r="H335" s="92">
        <v>45489</v>
      </c>
      <c r="I335" s="87" t="s">
        <v>12</v>
      </c>
      <c r="J335" s="57"/>
      <c r="K335" s="92">
        <v>45358</v>
      </c>
      <c r="L335" s="101">
        <v>59</v>
      </c>
      <c r="M335" s="102"/>
    </row>
    <row r="336" spans="1:13" ht="15.75">
      <c r="A336" s="46"/>
      <c r="B336" s="46"/>
      <c r="C336" s="46"/>
      <c r="D336" s="46" t="s">
        <v>11</v>
      </c>
      <c r="E336" s="42"/>
      <c r="F336" s="90"/>
      <c r="G336" s="89">
        <f>SUM(G319:G335)</f>
        <v>80000</v>
      </c>
      <c r="H336" s="42" t="s">
        <v>718</v>
      </c>
      <c r="I336" s="42"/>
      <c r="J336" s="45">
        <f>G336</f>
        <v>80000</v>
      </c>
      <c r="K336" s="42"/>
      <c r="L336" s="46">
        <v>59</v>
      </c>
      <c r="M336" s="88"/>
    </row>
    <row r="337" spans="1:13" ht="31.5">
      <c r="A337" s="83">
        <v>893</v>
      </c>
      <c r="B337" s="18" t="s">
        <v>6</v>
      </c>
      <c r="C337" s="21" t="s">
        <v>337</v>
      </c>
      <c r="D337" s="21" t="s">
        <v>1064</v>
      </c>
      <c r="E337" s="20" t="s">
        <v>187</v>
      </c>
      <c r="F337" s="18" t="str">
        <f>B337</f>
        <v>CSE</v>
      </c>
      <c r="G337" s="21">
        <v>3000</v>
      </c>
      <c r="H337" s="92">
        <v>45502</v>
      </c>
      <c r="I337" s="87"/>
      <c r="J337" s="57"/>
      <c r="K337" s="92">
        <v>2024</v>
      </c>
      <c r="L337" s="101">
        <v>60</v>
      </c>
      <c r="M337" s="85"/>
    </row>
    <row r="338" spans="1:13" ht="15.75">
      <c r="A338" s="83">
        <v>894</v>
      </c>
      <c r="B338" s="18" t="s">
        <v>6</v>
      </c>
      <c r="C338" s="21" t="s">
        <v>337</v>
      </c>
      <c r="D338" s="21" t="s">
        <v>737</v>
      </c>
      <c r="E338" s="20" t="s">
        <v>193</v>
      </c>
      <c r="F338" s="18" t="str">
        <f>B338</f>
        <v>CSE</v>
      </c>
      <c r="G338" s="21">
        <v>10000</v>
      </c>
      <c r="H338" s="92">
        <v>45502</v>
      </c>
      <c r="I338" s="87"/>
      <c r="J338" s="57"/>
      <c r="K338" s="92">
        <v>45633</v>
      </c>
      <c r="L338" s="101">
        <v>60</v>
      </c>
      <c r="M338" s="102"/>
    </row>
    <row r="339" spans="1:13" ht="31.5">
      <c r="A339" s="83">
        <v>895</v>
      </c>
      <c r="B339" s="18" t="s">
        <v>6</v>
      </c>
      <c r="C339" s="21" t="s">
        <v>679</v>
      </c>
      <c r="D339" s="21" t="s">
        <v>1063</v>
      </c>
      <c r="E339" s="20" t="s">
        <v>324</v>
      </c>
      <c r="F339" s="18" t="str">
        <f>B339</f>
        <v>CSE</v>
      </c>
      <c r="G339" s="21">
        <v>3000</v>
      </c>
      <c r="H339" s="92">
        <v>45502</v>
      </c>
      <c r="I339" s="87"/>
      <c r="J339" s="57"/>
      <c r="K339" s="92" t="s">
        <v>1043</v>
      </c>
      <c r="L339" s="101">
        <v>60</v>
      </c>
      <c r="M339" s="85"/>
    </row>
    <row r="340" spans="1:13" ht="31.5">
      <c r="A340" s="83">
        <v>896</v>
      </c>
      <c r="B340" s="18" t="s">
        <v>6</v>
      </c>
      <c r="C340" s="21" t="s">
        <v>679</v>
      </c>
      <c r="D340" s="21" t="s">
        <v>1062</v>
      </c>
      <c r="E340" s="20" t="s">
        <v>324</v>
      </c>
      <c r="F340" s="18" t="str">
        <f>B340</f>
        <v>CSE</v>
      </c>
      <c r="G340" s="21">
        <v>3000</v>
      </c>
      <c r="H340" s="92">
        <v>45502</v>
      </c>
      <c r="I340" s="87"/>
      <c r="J340" s="57"/>
      <c r="K340" s="92" t="s">
        <v>1061</v>
      </c>
      <c r="L340" s="101">
        <v>60</v>
      </c>
      <c r="M340" s="85"/>
    </row>
    <row r="341" spans="1:13" ht="15.75">
      <c r="A341" s="83">
        <v>897</v>
      </c>
      <c r="B341" s="18" t="s">
        <v>6</v>
      </c>
      <c r="C341" s="21" t="s">
        <v>679</v>
      </c>
      <c r="D341" s="21" t="s">
        <v>198</v>
      </c>
      <c r="E341" s="20" t="s">
        <v>193</v>
      </c>
      <c r="F341" s="18" t="str">
        <f>B341</f>
        <v>CSE</v>
      </c>
      <c r="G341" s="21">
        <v>4000</v>
      </c>
      <c r="H341" s="92">
        <v>45502</v>
      </c>
      <c r="I341" s="87"/>
      <c r="J341" s="57"/>
      <c r="K341" s="92">
        <v>45633</v>
      </c>
      <c r="L341" s="101">
        <v>60</v>
      </c>
      <c r="M341" s="102"/>
    </row>
    <row r="342" spans="1:13" ht="31.5">
      <c r="A342" s="97">
        <v>898</v>
      </c>
      <c r="B342" s="18" t="s">
        <v>3</v>
      </c>
      <c r="C342" s="21" t="s">
        <v>360</v>
      </c>
      <c r="D342" s="21" t="s">
        <v>1060</v>
      </c>
      <c r="E342" s="20" t="s">
        <v>23</v>
      </c>
      <c r="F342" s="18" t="str">
        <f>B342</f>
        <v>IT</v>
      </c>
      <c r="G342" s="21">
        <v>6000</v>
      </c>
      <c r="H342" s="92">
        <v>45502</v>
      </c>
      <c r="I342" s="87" t="s">
        <v>12</v>
      </c>
      <c r="J342" s="57"/>
      <c r="K342" s="92" t="s">
        <v>1059</v>
      </c>
      <c r="L342" s="101">
        <v>60</v>
      </c>
      <c r="M342" s="85"/>
    </row>
    <row r="343" spans="1:13" ht="15.75">
      <c r="A343" s="97">
        <v>899</v>
      </c>
      <c r="B343" s="18" t="s">
        <v>3</v>
      </c>
      <c r="C343" s="21" t="s">
        <v>360</v>
      </c>
      <c r="D343" s="21" t="s">
        <v>1058</v>
      </c>
      <c r="E343" s="20" t="s">
        <v>187</v>
      </c>
      <c r="F343" s="18" t="str">
        <f>B343</f>
        <v>IT</v>
      </c>
      <c r="G343" s="21">
        <v>1500</v>
      </c>
      <c r="H343" s="92">
        <v>45502</v>
      </c>
      <c r="I343" s="87" t="s">
        <v>12</v>
      </c>
      <c r="J343" s="57"/>
      <c r="K343" s="92">
        <v>45299</v>
      </c>
      <c r="L343" s="101">
        <v>60</v>
      </c>
      <c r="M343" s="102"/>
    </row>
    <row r="344" spans="1:13" ht="15.75">
      <c r="A344" s="83">
        <v>900</v>
      </c>
      <c r="B344" s="18" t="s">
        <v>3</v>
      </c>
      <c r="C344" s="21" t="s">
        <v>360</v>
      </c>
      <c r="D344" s="21" t="s">
        <v>166</v>
      </c>
      <c r="E344" s="20" t="s">
        <v>193</v>
      </c>
      <c r="F344" s="18" t="str">
        <f>B344</f>
        <v>IT</v>
      </c>
      <c r="G344" s="21">
        <v>2000</v>
      </c>
      <c r="H344" s="92">
        <v>45502</v>
      </c>
      <c r="I344" s="87" t="s">
        <v>12</v>
      </c>
      <c r="J344" s="57"/>
      <c r="K344" s="92" t="s">
        <v>1040</v>
      </c>
      <c r="L344" s="101">
        <v>60</v>
      </c>
      <c r="M344" s="85"/>
    </row>
    <row r="345" spans="1:13" ht="15.75">
      <c r="A345" s="83">
        <v>901</v>
      </c>
      <c r="B345" s="18" t="s">
        <v>4</v>
      </c>
      <c r="C345" s="21" t="s">
        <v>199</v>
      </c>
      <c r="D345" s="21" t="s">
        <v>1057</v>
      </c>
      <c r="E345" s="20" t="s">
        <v>16</v>
      </c>
      <c r="F345" s="18" t="str">
        <f>B345</f>
        <v>EEE</v>
      </c>
      <c r="G345" s="21">
        <v>3000</v>
      </c>
      <c r="H345" s="92">
        <v>45502</v>
      </c>
      <c r="I345" s="87"/>
      <c r="J345" s="57"/>
      <c r="K345" s="92" t="s">
        <v>921</v>
      </c>
      <c r="L345" s="101">
        <v>60</v>
      </c>
      <c r="M345" s="85"/>
    </row>
    <row r="346" spans="1:13" ht="31.5">
      <c r="A346" s="83">
        <v>902</v>
      </c>
      <c r="B346" s="18" t="s">
        <v>4</v>
      </c>
      <c r="C346" s="21" t="s">
        <v>199</v>
      </c>
      <c r="D346" s="21" t="s">
        <v>1056</v>
      </c>
      <c r="E346" s="20" t="s">
        <v>16</v>
      </c>
      <c r="F346" s="18" t="str">
        <f>B346</f>
        <v>EEE</v>
      </c>
      <c r="G346" s="21">
        <v>3000</v>
      </c>
      <c r="H346" s="92">
        <v>45502</v>
      </c>
      <c r="I346" s="87"/>
      <c r="J346" s="57"/>
      <c r="K346" s="92" t="s">
        <v>921</v>
      </c>
      <c r="L346" s="101">
        <v>60</v>
      </c>
      <c r="M346" s="85"/>
    </row>
    <row r="347" spans="1:13" ht="15.75">
      <c r="A347" s="83">
        <v>903</v>
      </c>
      <c r="B347" s="18" t="s">
        <v>4</v>
      </c>
      <c r="C347" s="21" t="s">
        <v>199</v>
      </c>
      <c r="D347" s="21" t="s">
        <v>725</v>
      </c>
      <c r="E347" s="20" t="s">
        <v>193</v>
      </c>
      <c r="F347" s="18" t="str">
        <f>B347</f>
        <v>EEE</v>
      </c>
      <c r="G347" s="21">
        <v>12000</v>
      </c>
      <c r="H347" s="92">
        <v>45502</v>
      </c>
      <c r="I347" s="87"/>
      <c r="J347" s="57"/>
      <c r="K347" s="92" t="s">
        <v>1040</v>
      </c>
      <c r="L347" s="101">
        <v>60</v>
      </c>
      <c r="M347" s="85"/>
    </row>
    <row r="348" spans="1:13" ht="47.25">
      <c r="A348" s="83">
        <v>904</v>
      </c>
      <c r="B348" s="18" t="s">
        <v>2</v>
      </c>
      <c r="C348" s="21" t="s">
        <v>209</v>
      </c>
      <c r="D348" s="21" t="s">
        <v>1055</v>
      </c>
      <c r="E348" s="20" t="s">
        <v>324</v>
      </c>
      <c r="F348" s="18" t="str">
        <f>B348</f>
        <v>Mech</v>
      </c>
      <c r="G348" s="21">
        <v>5000</v>
      </c>
      <c r="H348" s="92">
        <v>45502</v>
      </c>
      <c r="I348" s="87" t="s">
        <v>12</v>
      </c>
      <c r="J348" s="57"/>
      <c r="K348" s="92" t="s">
        <v>1007</v>
      </c>
      <c r="L348" s="101">
        <v>60</v>
      </c>
      <c r="M348" s="85"/>
    </row>
    <row r="349" spans="1:13" ht="15.75">
      <c r="A349" s="83">
        <v>905</v>
      </c>
      <c r="B349" s="18" t="s">
        <v>2</v>
      </c>
      <c r="C349" s="21" t="s">
        <v>209</v>
      </c>
      <c r="D349" s="21" t="s">
        <v>737</v>
      </c>
      <c r="E349" s="20" t="s">
        <v>193</v>
      </c>
      <c r="F349" s="18" t="str">
        <f>B349</f>
        <v>Mech</v>
      </c>
      <c r="G349" s="21">
        <v>10000</v>
      </c>
      <c r="H349" s="92">
        <v>45502</v>
      </c>
      <c r="I349" s="87" t="s">
        <v>12</v>
      </c>
      <c r="J349" s="57"/>
      <c r="K349" s="92" t="s">
        <v>849</v>
      </c>
      <c r="L349" s="101">
        <v>60</v>
      </c>
      <c r="M349" s="85"/>
    </row>
    <row r="350" spans="1:13" ht="31.5">
      <c r="A350" s="83">
        <v>906</v>
      </c>
      <c r="B350" s="18" t="s">
        <v>0</v>
      </c>
      <c r="C350" s="21" t="s">
        <v>1052</v>
      </c>
      <c r="D350" s="21" t="s">
        <v>1054</v>
      </c>
      <c r="E350" s="20" t="s">
        <v>16</v>
      </c>
      <c r="F350" s="18" t="str">
        <f>B350</f>
        <v>Maths</v>
      </c>
      <c r="G350" s="21">
        <v>1500</v>
      </c>
      <c r="H350" s="92">
        <v>45502</v>
      </c>
      <c r="I350" s="87"/>
      <c r="J350" s="57"/>
      <c r="K350" s="92" t="s">
        <v>1053</v>
      </c>
      <c r="L350" s="101">
        <v>60</v>
      </c>
      <c r="M350" s="85"/>
    </row>
    <row r="351" spans="1:13" ht="31.5">
      <c r="A351" s="83">
        <v>907</v>
      </c>
      <c r="B351" s="18" t="s">
        <v>0</v>
      </c>
      <c r="C351" s="21" t="s">
        <v>1052</v>
      </c>
      <c r="D351" s="21" t="s">
        <v>1051</v>
      </c>
      <c r="E351" s="20" t="s">
        <v>16</v>
      </c>
      <c r="F351" s="18" t="str">
        <f>B351</f>
        <v>Maths</v>
      </c>
      <c r="G351" s="21">
        <v>1500</v>
      </c>
      <c r="H351" s="92">
        <v>45502</v>
      </c>
      <c r="I351" s="87"/>
      <c r="J351" s="57"/>
      <c r="K351" s="92" t="s">
        <v>857</v>
      </c>
      <c r="L351" s="101">
        <v>60</v>
      </c>
      <c r="M351" s="85"/>
    </row>
    <row r="352" spans="1:13" ht="31.5">
      <c r="A352" s="83">
        <v>908</v>
      </c>
      <c r="B352" s="18" t="s">
        <v>0</v>
      </c>
      <c r="C352" s="21" t="s">
        <v>1050</v>
      </c>
      <c r="D352" s="21" t="s">
        <v>1049</v>
      </c>
      <c r="E352" s="20" t="s">
        <v>324</v>
      </c>
      <c r="F352" s="18" t="str">
        <f>B352</f>
        <v>Maths</v>
      </c>
      <c r="G352" s="21">
        <v>3000</v>
      </c>
      <c r="H352" s="92">
        <v>45502</v>
      </c>
      <c r="I352" s="87" t="s">
        <v>12</v>
      </c>
      <c r="J352" s="57"/>
      <c r="K352" s="92">
        <v>45357</v>
      </c>
      <c r="L352" s="101">
        <v>60</v>
      </c>
      <c r="M352" s="102"/>
    </row>
    <row r="353" spans="1:13" ht="47.25">
      <c r="A353" s="83">
        <v>909</v>
      </c>
      <c r="B353" s="18" t="s">
        <v>1</v>
      </c>
      <c r="C353" s="21" t="s">
        <v>167</v>
      </c>
      <c r="D353" s="21" t="s">
        <v>1048</v>
      </c>
      <c r="E353" s="20" t="s">
        <v>23</v>
      </c>
      <c r="F353" s="18" t="str">
        <f>B353</f>
        <v>S&amp;H</v>
      </c>
      <c r="G353" s="21">
        <v>6000</v>
      </c>
      <c r="H353" s="92">
        <v>45502</v>
      </c>
      <c r="I353" s="87" t="s">
        <v>12</v>
      </c>
      <c r="J353" s="57"/>
      <c r="K353" s="92" t="s">
        <v>921</v>
      </c>
      <c r="L353" s="101">
        <v>60</v>
      </c>
      <c r="M353" s="85"/>
    </row>
    <row r="354" spans="1:13" ht="15.75">
      <c r="A354" s="46"/>
      <c r="B354" s="46"/>
      <c r="C354" s="46"/>
      <c r="D354" s="46" t="s">
        <v>11</v>
      </c>
      <c r="E354" s="42"/>
      <c r="F354" s="90"/>
      <c r="G354" s="89">
        <f>SUM(G337:G353)</f>
        <v>77500</v>
      </c>
      <c r="H354" s="42" t="s">
        <v>718</v>
      </c>
      <c r="I354" s="42"/>
      <c r="J354" s="45">
        <f>G354</f>
        <v>77500</v>
      </c>
      <c r="K354" s="42"/>
      <c r="L354" s="46">
        <v>60</v>
      </c>
      <c r="M354" s="88"/>
    </row>
    <row r="355" spans="1:13" ht="47.25">
      <c r="A355" s="97">
        <v>910</v>
      </c>
      <c r="B355" s="18" t="s">
        <v>5</v>
      </c>
      <c r="C355" s="21" t="s">
        <v>175</v>
      </c>
      <c r="D355" s="21" t="s">
        <v>1047</v>
      </c>
      <c r="E355" s="20" t="s">
        <v>23</v>
      </c>
      <c r="F355" s="18" t="str">
        <f>B355</f>
        <v>ECE</v>
      </c>
      <c r="G355" s="86">
        <v>10000</v>
      </c>
      <c r="H355" s="92">
        <v>45510</v>
      </c>
      <c r="I355" s="87" t="s">
        <v>12</v>
      </c>
      <c r="J355" s="57"/>
      <c r="K355" s="92">
        <v>45389</v>
      </c>
      <c r="L355" s="101">
        <v>61</v>
      </c>
      <c r="M355" s="102"/>
    </row>
    <row r="356" spans="1:13" ht="31.5">
      <c r="A356" s="97">
        <v>911</v>
      </c>
      <c r="B356" s="18" t="s">
        <v>5</v>
      </c>
      <c r="C356" s="21" t="s">
        <v>175</v>
      </c>
      <c r="D356" s="21" t="s">
        <v>1046</v>
      </c>
      <c r="E356" s="20" t="s">
        <v>16</v>
      </c>
      <c r="F356" s="18" t="str">
        <f>B356</f>
        <v>ECE</v>
      </c>
      <c r="G356" s="86">
        <v>3000</v>
      </c>
      <c r="H356" s="92">
        <v>45510</v>
      </c>
      <c r="I356" s="87" t="s">
        <v>12</v>
      </c>
      <c r="J356" s="57"/>
      <c r="K356" s="92" t="s">
        <v>1045</v>
      </c>
      <c r="L356" s="101">
        <v>61</v>
      </c>
      <c r="M356" s="85"/>
    </row>
    <row r="357" spans="1:13" ht="31.5">
      <c r="A357" s="97">
        <v>912</v>
      </c>
      <c r="B357" s="18" t="s">
        <v>5</v>
      </c>
      <c r="C357" s="21" t="s">
        <v>72</v>
      </c>
      <c r="D357" s="21" t="s">
        <v>1044</v>
      </c>
      <c r="E357" s="20" t="s">
        <v>16</v>
      </c>
      <c r="F357" s="18" t="str">
        <f>B357</f>
        <v>ECE</v>
      </c>
      <c r="G357" s="86">
        <v>3000</v>
      </c>
      <c r="H357" s="92">
        <v>45510</v>
      </c>
      <c r="I357" s="87"/>
      <c r="J357" s="57"/>
      <c r="K357" s="92" t="s">
        <v>1043</v>
      </c>
      <c r="L357" s="101">
        <v>61</v>
      </c>
      <c r="M357" s="85"/>
    </row>
    <row r="358" spans="1:13" ht="31.5">
      <c r="A358" s="97">
        <v>913</v>
      </c>
      <c r="B358" s="18" t="s">
        <v>5</v>
      </c>
      <c r="C358" s="21" t="s">
        <v>72</v>
      </c>
      <c r="D358" s="21" t="s">
        <v>1042</v>
      </c>
      <c r="E358" s="20" t="s">
        <v>16</v>
      </c>
      <c r="F358" s="18" t="str">
        <f>B358</f>
        <v>ECE</v>
      </c>
      <c r="G358" s="86">
        <v>3000</v>
      </c>
      <c r="H358" s="92">
        <v>45510</v>
      </c>
      <c r="I358" s="87"/>
      <c r="J358" s="57"/>
      <c r="K358" s="92">
        <v>45298</v>
      </c>
      <c r="L358" s="101">
        <v>61</v>
      </c>
      <c r="M358" s="102"/>
    </row>
    <row r="359" spans="1:13" ht="15.75">
      <c r="A359" s="83">
        <v>914</v>
      </c>
      <c r="B359" s="18" t="s">
        <v>5</v>
      </c>
      <c r="C359" s="21" t="s">
        <v>72</v>
      </c>
      <c r="D359" s="21" t="s">
        <v>239</v>
      </c>
      <c r="E359" s="20" t="s">
        <v>193</v>
      </c>
      <c r="F359" s="18" t="str">
        <f>B359</f>
        <v>ECE</v>
      </c>
      <c r="G359" s="86">
        <v>6000</v>
      </c>
      <c r="H359" s="92">
        <v>45510</v>
      </c>
      <c r="I359" s="87"/>
      <c r="J359" s="57"/>
      <c r="K359" s="92" t="s">
        <v>934</v>
      </c>
      <c r="L359" s="101">
        <v>61</v>
      </c>
      <c r="M359" s="85"/>
    </row>
    <row r="360" spans="1:13" ht="31.5">
      <c r="A360" s="83">
        <v>915</v>
      </c>
      <c r="B360" s="18" t="s">
        <v>5</v>
      </c>
      <c r="C360" s="21" t="s">
        <v>178</v>
      </c>
      <c r="D360" s="21" t="s">
        <v>1041</v>
      </c>
      <c r="E360" s="20" t="s">
        <v>16</v>
      </c>
      <c r="F360" s="18" t="str">
        <f>B360</f>
        <v>ECE</v>
      </c>
      <c r="G360" s="86">
        <v>1500</v>
      </c>
      <c r="H360" s="92">
        <v>45510</v>
      </c>
      <c r="I360" s="87"/>
      <c r="J360" s="57"/>
      <c r="K360" s="92" t="s">
        <v>1040</v>
      </c>
      <c r="L360" s="101">
        <v>61</v>
      </c>
      <c r="M360" s="85"/>
    </row>
    <row r="361" spans="1:13" ht="15.75">
      <c r="A361" s="83">
        <v>916</v>
      </c>
      <c r="B361" s="18" t="s">
        <v>5</v>
      </c>
      <c r="C361" s="21" t="s">
        <v>178</v>
      </c>
      <c r="D361" s="21" t="s">
        <v>840</v>
      </c>
      <c r="E361" s="20" t="s">
        <v>193</v>
      </c>
      <c r="F361" s="18" t="str">
        <f>B361</f>
        <v>ECE</v>
      </c>
      <c r="G361" s="86">
        <v>16000</v>
      </c>
      <c r="H361" s="92">
        <v>45510</v>
      </c>
      <c r="I361" s="87"/>
      <c r="J361" s="57"/>
      <c r="K361" s="92" t="s">
        <v>1014</v>
      </c>
      <c r="L361" s="101">
        <v>61</v>
      </c>
      <c r="M361" s="85"/>
    </row>
    <row r="362" spans="1:13" ht="31.5">
      <c r="A362" s="83">
        <v>917</v>
      </c>
      <c r="B362" s="18" t="s">
        <v>5</v>
      </c>
      <c r="C362" s="21" t="s">
        <v>66</v>
      </c>
      <c r="D362" s="21" t="s">
        <v>1039</v>
      </c>
      <c r="E362" s="20" t="s">
        <v>16</v>
      </c>
      <c r="F362" s="18" t="str">
        <f>B362</f>
        <v>ECE</v>
      </c>
      <c r="G362" s="86">
        <v>3000</v>
      </c>
      <c r="H362" s="92">
        <v>45510</v>
      </c>
      <c r="I362" s="87"/>
      <c r="J362" s="57"/>
      <c r="K362" s="92">
        <v>45419</v>
      </c>
      <c r="L362" s="101">
        <v>61</v>
      </c>
      <c r="M362" s="102"/>
    </row>
    <row r="363" spans="1:13" ht="31.5">
      <c r="A363" s="83">
        <v>918</v>
      </c>
      <c r="B363" s="18" t="s">
        <v>5</v>
      </c>
      <c r="C363" s="21" t="s">
        <v>267</v>
      </c>
      <c r="D363" s="51" t="s">
        <v>1038</v>
      </c>
      <c r="E363" s="20" t="s">
        <v>320</v>
      </c>
      <c r="F363" s="18" t="str">
        <f>B363</f>
        <v>ECE</v>
      </c>
      <c r="G363" s="86">
        <v>5000</v>
      </c>
      <c r="H363" s="92">
        <v>45510</v>
      </c>
      <c r="I363" s="87"/>
      <c r="J363" s="57"/>
      <c r="K363" s="92" t="s">
        <v>1037</v>
      </c>
      <c r="L363" s="101">
        <v>61</v>
      </c>
      <c r="M363" s="85"/>
    </row>
    <row r="364" spans="1:13" ht="31.5">
      <c r="A364" s="97">
        <v>919</v>
      </c>
      <c r="B364" s="18" t="s">
        <v>8</v>
      </c>
      <c r="C364" s="21" t="s">
        <v>278</v>
      </c>
      <c r="D364" s="21" t="s">
        <v>1036</v>
      </c>
      <c r="E364" s="20" t="s">
        <v>16</v>
      </c>
      <c r="F364" s="18" t="str">
        <f>B364</f>
        <v>CCE</v>
      </c>
      <c r="G364" s="86">
        <v>6000</v>
      </c>
      <c r="H364" s="92">
        <v>45510</v>
      </c>
      <c r="I364" s="87"/>
      <c r="J364" s="57"/>
      <c r="K364" s="92" t="s">
        <v>988</v>
      </c>
      <c r="L364" s="101">
        <v>61</v>
      </c>
      <c r="M364" s="85"/>
    </row>
    <row r="365" spans="1:13" ht="31.5">
      <c r="A365" s="97">
        <v>920</v>
      </c>
      <c r="B365" s="18" t="s">
        <v>5</v>
      </c>
      <c r="C365" s="21" t="s">
        <v>296</v>
      </c>
      <c r="D365" s="21" t="s">
        <v>1035</v>
      </c>
      <c r="E365" s="20" t="s">
        <v>16</v>
      </c>
      <c r="F365" s="18" t="str">
        <f>B365</f>
        <v>ECE</v>
      </c>
      <c r="G365" s="86">
        <v>1800</v>
      </c>
      <c r="H365" s="92">
        <v>45510</v>
      </c>
      <c r="I365" s="87"/>
      <c r="J365" s="57"/>
      <c r="K365" s="92" t="s">
        <v>1034</v>
      </c>
      <c r="L365" s="101">
        <v>61</v>
      </c>
      <c r="M365" s="85"/>
    </row>
    <row r="366" spans="1:13" ht="31.5">
      <c r="A366" s="83">
        <v>921</v>
      </c>
      <c r="B366" s="18" t="s">
        <v>5</v>
      </c>
      <c r="C366" s="21" t="s">
        <v>52</v>
      </c>
      <c r="D366" s="21" t="s">
        <v>1033</v>
      </c>
      <c r="E366" s="20" t="s">
        <v>16</v>
      </c>
      <c r="F366" s="18" t="str">
        <f>B366</f>
        <v>ECE</v>
      </c>
      <c r="G366" s="86">
        <v>1800</v>
      </c>
      <c r="H366" s="92">
        <v>45510</v>
      </c>
      <c r="I366" s="87"/>
      <c r="J366" s="57"/>
      <c r="K366" s="92">
        <v>45292</v>
      </c>
      <c r="L366" s="101">
        <v>61</v>
      </c>
      <c r="M366" s="102"/>
    </row>
    <row r="367" spans="1:13" ht="31.5">
      <c r="A367" s="83">
        <v>922</v>
      </c>
      <c r="B367" s="18" t="s">
        <v>5</v>
      </c>
      <c r="C367" s="21" t="s">
        <v>52</v>
      </c>
      <c r="D367" s="21" t="s">
        <v>1032</v>
      </c>
      <c r="E367" s="20" t="s">
        <v>16</v>
      </c>
      <c r="F367" s="18" t="str">
        <f>B367</f>
        <v>ECE</v>
      </c>
      <c r="G367" s="86">
        <v>1500</v>
      </c>
      <c r="H367" s="92">
        <v>45510</v>
      </c>
      <c r="I367" s="87"/>
      <c r="J367" s="57"/>
      <c r="K367" s="92">
        <v>45292</v>
      </c>
      <c r="L367" s="101">
        <v>61</v>
      </c>
      <c r="M367" s="102"/>
    </row>
    <row r="368" spans="1:13" ht="47.25">
      <c r="A368" s="97">
        <v>923</v>
      </c>
      <c r="B368" s="18" t="s">
        <v>5</v>
      </c>
      <c r="C368" s="21" t="s">
        <v>269</v>
      </c>
      <c r="D368" s="21" t="s">
        <v>1031</v>
      </c>
      <c r="E368" s="20" t="s">
        <v>187</v>
      </c>
      <c r="F368" s="18" t="str">
        <f>B368</f>
        <v>ECE</v>
      </c>
      <c r="G368" s="86">
        <v>5000</v>
      </c>
      <c r="H368" s="92">
        <v>45510</v>
      </c>
      <c r="I368" s="87"/>
      <c r="J368" s="57"/>
      <c r="K368" s="92" t="s">
        <v>1030</v>
      </c>
      <c r="L368" s="101">
        <v>61</v>
      </c>
      <c r="M368" s="102"/>
    </row>
    <row r="369" spans="1:13" ht="47.25">
      <c r="A369" s="97">
        <v>924</v>
      </c>
      <c r="B369" s="18" t="s">
        <v>5</v>
      </c>
      <c r="C369" s="21" t="s">
        <v>173</v>
      </c>
      <c r="D369" s="21" t="s">
        <v>1029</v>
      </c>
      <c r="E369" s="20" t="s">
        <v>23</v>
      </c>
      <c r="F369" s="18" t="str">
        <f>B369</f>
        <v>ECE</v>
      </c>
      <c r="G369" s="86">
        <v>10000</v>
      </c>
      <c r="H369" s="92">
        <v>45510</v>
      </c>
      <c r="I369" s="87" t="s">
        <v>12</v>
      </c>
      <c r="J369" s="57"/>
      <c r="K369" s="92">
        <v>45358</v>
      </c>
      <c r="L369" s="101">
        <v>61</v>
      </c>
      <c r="M369" s="102"/>
    </row>
    <row r="370" spans="1:13" ht="31.5">
      <c r="A370" s="97">
        <v>925</v>
      </c>
      <c r="B370" s="18" t="s">
        <v>5</v>
      </c>
      <c r="C370" s="21" t="s">
        <v>173</v>
      </c>
      <c r="D370" s="21" t="s">
        <v>1028</v>
      </c>
      <c r="E370" s="20" t="s">
        <v>23</v>
      </c>
      <c r="F370" s="18" t="str">
        <f>B370</f>
        <v>ECE</v>
      </c>
      <c r="G370" s="86">
        <v>10000</v>
      </c>
      <c r="H370" s="92">
        <v>45510</v>
      </c>
      <c r="I370" s="87" t="s">
        <v>12</v>
      </c>
      <c r="J370" s="57"/>
      <c r="K370" s="92">
        <v>45389</v>
      </c>
      <c r="L370" s="101">
        <v>61</v>
      </c>
      <c r="M370" s="102"/>
    </row>
    <row r="371" spans="1:13" ht="31.5">
      <c r="A371" s="97">
        <v>926</v>
      </c>
      <c r="B371" s="18" t="s">
        <v>5</v>
      </c>
      <c r="C371" s="21" t="s">
        <v>173</v>
      </c>
      <c r="D371" s="21" t="s">
        <v>1027</v>
      </c>
      <c r="E371" s="20" t="s">
        <v>23</v>
      </c>
      <c r="F371" s="18" t="str">
        <f>B371</f>
        <v>ECE</v>
      </c>
      <c r="G371" s="86">
        <v>10000</v>
      </c>
      <c r="H371" s="92">
        <v>45510</v>
      </c>
      <c r="I371" s="87" t="s">
        <v>12</v>
      </c>
      <c r="J371" s="57"/>
      <c r="K371" s="92">
        <v>45419</v>
      </c>
      <c r="L371" s="101">
        <v>61</v>
      </c>
      <c r="M371" s="102"/>
    </row>
    <row r="372" spans="1:13" ht="31.5">
      <c r="A372" s="97">
        <v>927</v>
      </c>
      <c r="B372" s="18" t="s">
        <v>5</v>
      </c>
      <c r="C372" s="21" t="s">
        <v>173</v>
      </c>
      <c r="D372" s="21" t="s">
        <v>1026</v>
      </c>
      <c r="E372" s="20" t="s">
        <v>16</v>
      </c>
      <c r="F372" s="18" t="str">
        <f>B372</f>
        <v>ECE</v>
      </c>
      <c r="G372" s="86">
        <v>3000</v>
      </c>
      <c r="H372" s="92">
        <v>45510</v>
      </c>
      <c r="I372" s="87" t="s">
        <v>12</v>
      </c>
      <c r="J372" s="57"/>
      <c r="K372" s="92">
        <v>45389</v>
      </c>
      <c r="L372" s="101">
        <v>61</v>
      </c>
      <c r="M372" s="102"/>
    </row>
    <row r="373" spans="1:13" ht="15.75">
      <c r="A373" s="97">
        <v>928</v>
      </c>
      <c r="B373" s="18" t="s">
        <v>5</v>
      </c>
      <c r="C373" s="21" t="s">
        <v>173</v>
      </c>
      <c r="D373" s="21" t="s">
        <v>1025</v>
      </c>
      <c r="E373" s="20" t="s">
        <v>16</v>
      </c>
      <c r="F373" s="18" t="str">
        <f>B373</f>
        <v>ECE</v>
      </c>
      <c r="G373" s="86">
        <v>3000</v>
      </c>
      <c r="H373" s="92">
        <v>45510</v>
      </c>
      <c r="I373" s="87" t="s">
        <v>12</v>
      </c>
      <c r="J373" s="57"/>
      <c r="K373" s="92">
        <v>45389</v>
      </c>
      <c r="L373" s="101">
        <v>61</v>
      </c>
      <c r="M373" s="102"/>
    </row>
    <row r="374" spans="1:13" ht="31.5">
      <c r="A374" s="97">
        <v>929</v>
      </c>
      <c r="B374" s="18" t="s">
        <v>5</v>
      </c>
      <c r="C374" s="21" t="s">
        <v>173</v>
      </c>
      <c r="D374" s="21" t="s">
        <v>1024</v>
      </c>
      <c r="E374" s="20" t="s">
        <v>23</v>
      </c>
      <c r="F374" s="18" t="str">
        <f>B374</f>
        <v>ECE</v>
      </c>
      <c r="G374" s="86">
        <v>10000</v>
      </c>
      <c r="H374" s="92">
        <v>45510</v>
      </c>
      <c r="I374" s="87" t="s">
        <v>12</v>
      </c>
      <c r="J374" s="57"/>
      <c r="K374" s="92">
        <v>45480</v>
      </c>
      <c r="L374" s="101">
        <v>61</v>
      </c>
      <c r="M374" s="102"/>
    </row>
    <row r="375" spans="1:13" ht="31.5">
      <c r="A375" s="97">
        <v>930</v>
      </c>
      <c r="B375" s="18" t="s">
        <v>5</v>
      </c>
      <c r="C375" s="21" t="s">
        <v>173</v>
      </c>
      <c r="D375" s="21" t="s">
        <v>1023</v>
      </c>
      <c r="E375" s="20" t="s">
        <v>23</v>
      </c>
      <c r="F375" s="18" t="str">
        <f>B375</f>
        <v>ECE</v>
      </c>
      <c r="G375" s="86">
        <v>10000</v>
      </c>
      <c r="H375" s="92">
        <v>45510</v>
      </c>
      <c r="I375" s="87" t="s">
        <v>12</v>
      </c>
      <c r="J375" s="57"/>
      <c r="K375" s="92" t="s">
        <v>1016</v>
      </c>
      <c r="L375" s="101">
        <v>61</v>
      </c>
      <c r="M375" s="85"/>
    </row>
    <row r="376" spans="1:13" ht="31.5">
      <c r="A376" s="97">
        <v>931</v>
      </c>
      <c r="B376" s="18" t="s">
        <v>5</v>
      </c>
      <c r="C376" s="21" t="s">
        <v>173</v>
      </c>
      <c r="D376" s="21" t="s">
        <v>1022</v>
      </c>
      <c r="E376" s="20" t="s">
        <v>23</v>
      </c>
      <c r="F376" s="18" t="str">
        <f>B376</f>
        <v>ECE</v>
      </c>
      <c r="G376" s="86">
        <v>10000</v>
      </c>
      <c r="H376" s="92">
        <v>45510</v>
      </c>
      <c r="I376" s="87" t="s">
        <v>12</v>
      </c>
      <c r="J376" s="57"/>
      <c r="K376" s="92">
        <v>45480</v>
      </c>
      <c r="L376" s="101">
        <v>61</v>
      </c>
      <c r="M376" s="102"/>
    </row>
    <row r="377" spans="1:13" ht="15.75">
      <c r="A377" s="83">
        <v>932</v>
      </c>
      <c r="B377" s="18" t="s">
        <v>4</v>
      </c>
      <c r="C377" s="21" t="s">
        <v>63</v>
      </c>
      <c r="D377" s="21" t="s">
        <v>1021</v>
      </c>
      <c r="E377" s="20" t="s">
        <v>16</v>
      </c>
      <c r="F377" s="18" t="str">
        <f>B377</f>
        <v>EEE</v>
      </c>
      <c r="G377" s="86">
        <v>3000</v>
      </c>
      <c r="H377" s="92">
        <v>45510</v>
      </c>
      <c r="I377" s="87"/>
      <c r="J377" s="57"/>
      <c r="K377" s="92" t="s">
        <v>921</v>
      </c>
      <c r="L377" s="101">
        <v>61</v>
      </c>
      <c r="M377" s="102"/>
    </row>
    <row r="378" spans="1:13" ht="15.75">
      <c r="A378" s="97">
        <v>933</v>
      </c>
      <c r="B378" s="18" t="s">
        <v>1</v>
      </c>
      <c r="C378" s="21" t="s">
        <v>1020</v>
      </c>
      <c r="D378" s="21" t="s">
        <v>1019</v>
      </c>
      <c r="E378" s="20" t="s">
        <v>23</v>
      </c>
      <c r="F378" s="18" t="str">
        <f>B378</f>
        <v>S&amp;H</v>
      </c>
      <c r="G378" s="86">
        <v>6000</v>
      </c>
      <c r="H378" s="92">
        <v>45510</v>
      </c>
      <c r="I378" s="87"/>
      <c r="J378" s="57"/>
      <c r="K378" s="92" t="s">
        <v>979</v>
      </c>
      <c r="L378" s="101">
        <v>61</v>
      </c>
      <c r="M378" s="102"/>
    </row>
    <row r="379" spans="1:13" ht="31.5">
      <c r="A379" s="97">
        <v>934</v>
      </c>
      <c r="B379" s="18" t="s">
        <v>0</v>
      </c>
      <c r="C379" s="21" t="s">
        <v>126</v>
      </c>
      <c r="D379" s="21" t="s">
        <v>1018</v>
      </c>
      <c r="E379" s="20" t="s">
        <v>324</v>
      </c>
      <c r="F379" s="18" t="str">
        <f>B379</f>
        <v>Maths</v>
      </c>
      <c r="G379" s="86">
        <v>5000</v>
      </c>
      <c r="H379" s="92">
        <v>45510</v>
      </c>
      <c r="I379" s="87"/>
      <c r="J379" s="57"/>
      <c r="K379" s="92" t="s">
        <v>849</v>
      </c>
      <c r="L379" s="101">
        <v>61</v>
      </c>
      <c r="M379" s="85"/>
    </row>
    <row r="380" spans="1:13" ht="31.5">
      <c r="A380" s="97">
        <v>935</v>
      </c>
      <c r="B380" s="18" t="s">
        <v>0</v>
      </c>
      <c r="C380" s="21" t="s">
        <v>126</v>
      </c>
      <c r="D380" s="21" t="s">
        <v>1017</v>
      </c>
      <c r="E380" s="20" t="s">
        <v>324</v>
      </c>
      <c r="F380" s="18" t="str">
        <f>B380</f>
        <v>Maths</v>
      </c>
      <c r="G380" s="86">
        <v>10000</v>
      </c>
      <c r="H380" s="92">
        <v>45510</v>
      </c>
      <c r="I380" s="87"/>
      <c r="J380" s="57"/>
      <c r="K380" s="92" t="s">
        <v>872</v>
      </c>
      <c r="L380" s="101">
        <v>61</v>
      </c>
      <c r="M380" s="85"/>
    </row>
    <row r="381" spans="1:13" ht="15.75">
      <c r="A381" s="83">
        <v>936</v>
      </c>
      <c r="B381" s="18" t="s">
        <v>0</v>
      </c>
      <c r="C381" s="21" t="s">
        <v>126</v>
      </c>
      <c r="D381" s="21" t="s">
        <v>239</v>
      </c>
      <c r="E381" s="20" t="s">
        <v>193</v>
      </c>
      <c r="F381" s="18" t="str">
        <f>B381</f>
        <v>Maths</v>
      </c>
      <c r="G381" s="86">
        <v>6000</v>
      </c>
      <c r="H381" s="92">
        <v>45510</v>
      </c>
      <c r="I381" s="87"/>
      <c r="J381" s="57"/>
      <c r="K381" s="92" t="s">
        <v>1016</v>
      </c>
      <c r="L381" s="101">
        <v>61</v>
      </c>
      <c r="M381" s="85"/>
    </row>
    <row r="382" spans="1:13" ht="31.5">
      <c r="A382" s="83">
        <v>937</v>
      </c>
      <c r="B382" s="18" t="s">
        <v>1</v>
      </c>
      <c r="C382" s="21" t="s">
        <v>792</v>
      </c>
      <c r="D382" s="21" t="s">
        <v>1015</v>
      </c>
      <c r="E382" s="20" t="s">
        <v>16</v>
      </c>
      <c r="F382" s="18" t="str">
        <f>B382</f>
        <v>S&amp;H</v>
      </c>
      <c r="G382" s="86">
        <v>1800</v>
      </c>
      <c r="H382" s="92">
        <v>45510</v>
      </c>
      <c r="I382" s="87"/>
      <c r="J382" s="57"/>
      <c r="K382" s="92" t="s">
        <v>1014</v>
      </c>
      <c r="L382" s="101">
        <v>61</v>
      </c>
      <c r="M382" s="85"/>
    </row>
    <row r="383" spans="1:13" ht="15.75">
      <c r="A383" s="46"/>
      <c r="B383" s="46"/>
      <c r="C383" s="46"/>
      <c r="D383" s="46" t="s">
        <v>11</v>
      </c>
      <c r="E383" s="42"/>
      <c r="F383" s="90"/>
      <c r="G383" s="89">
        <f>SUM(G355:G382)</f>
        <v>164400</v>
      </c>
      <c r="H383" s="42" t="s">
        <v>718</v>
      </c>
      <c r="I383" s="42"/>
      <c r="J383" s="45">
        <f>G383</f>
        <v>164400</v>
      </c>
      <c r="K383" s="42"/>
      <c r="L383" s="46">
        <v>61</v>
      </c>
      <c r="M383" s="88"/>
    </row>
    <row r="384" spans="1:13" ht="31.5">
      <c r="A384" s="97">
        <v>938</v>
      </c>
      <c r="B384" s="18" t="s">
        <v>36</v>
      </c>
      <c r="C384" s="21" t="s">
        <v>275</v>
      </c>
      <c r="D384" s="21" t="s">
        <v>1013</v>
      </c>
      <c r="E384" s="20" t="s">
        <v>23</v>
      </c>
      <c r="F384" s="18" t="str">
        <f>B384</f>
        <v>AIDS</v>
      </c>
      <c r="G384" s="21">
        <v>10000</v>
      </c>
      <c r="H384" s="92">
        <v>45526</v>
      </c>
      <c r="I384" s="87"/>
      <c r="J384" s="57"/>
      <c r="K384" s="92" t="s">
        <v>1012</v>
      </c>
      <c r="L384" s="101">
        <v>62</v>
      </c>
      <c r="M384" s="85"/>
    </row>
    <row r="385" spans="1:13" ht="31.5">
      <c r="A385" s="97">
        <v>939</v>
      </c>
      <c r="B385" s="18" t="s">
        <v>36</v>
      </c>
      <c r="C385" s="21" t="s">
        <v>275</v>
      </c>
      <c r="D385" s="21" t="s">
        <v>1011</v>
      </c>
      <c r="E385" s="20" t="s">
        <v>23</v>
      </c>
      <c r="F385" s="18" t="str">
        <f>B385</f>
        <v>AIDS</v>
      </c>
      <c r="G385" s="21">
        <v>2500</v>
      </c>
      <c r="H385" s="92">
        <v>45526</v>
      </c>
      <c r="I385" s="87"/>
      <c r="J385" s="57"/>
      <c r="K385" s="92" t="s">
        <v>1010</v>
      </c>
      <c r="L385" s="101">
        <v>62</v>
      </c>
      <c r="M385" s="85"/>
    </row>
    <row r="386" spans="1:13" ht="31.5">
      <c r="A386" s="97">
        <v>940</v>
      </c>
      <c r="B386" s="18" t="s">
        <v>6</v>
      </c>
      <c r="C386" s="21" t="s">
        <v>369</v>
      </c>
      <c r="D386" s="21" t="s">
        <v>1009</v>
      </c>
      <c r="E386" s="20" t="s">
        <v>16</v>
      </c>
      <c r="F386" s="18" t="str">
        <f>B386</f>
        <v>CSE</v>
      </c>
      <c r="G386" s="21">
        <v>1800</v>
      </c>
      <c r="H386" s="92">
        <v>45526</v>
      </c>
      <c r="I386" s="87"/>
      <c r="J386" s="57"/>
      <c r="K386" s="92">
        <v>45634</v>
      </c>
      <c r="L386" s="101">
        <v>62</v>
      </c>
      <c r="M386" s="102"/>
    </row>
    <row r="387" spans="1:13" ht="31.5">
      <c r="A387" s="97">
        <v>941</v>
      </c>
      <c r="B387" s="18" t="s">
        <v>3</v>
      </c>
      <c r="C387" s="21" t="s">
        <v>360</v>
      </c>
      <c r="D387" s="21" t="s">
        <v>1008</v>
      </c>
      <c r="E387" s="20" t="s">
        <v>16</v>
      </c>
      <c r="F387" s="18" t="str">
        <f>B387</f>
        <v>IT</v>
      </c>
      <c r="G387" s="21">
        <v>3000</v>
      </c>
      <c r="H387" s="92">
        <v>45526</v>
      </c>
      <c r="I387" s="87"/>
      <c r="J387" s="57"/>
      <c r="K387" s="92" t="s">
        <v>1007</v>
      </c>
      <c r="L387" s="101">
        <v>62</v>
      </c>
      <c r="M387" s="85"/>
    </row>
    <row r="388" spans="1:13" ht="15.75">
      <c r="A388" s="97">
        <v>942</v>
      </c>
      <c r="B388" s="18" t="s">
        <v>5</v>
      </c>
      <c r="C388" s="21" t="s">
        <v>170</v>
      </c>
      <c r="D388" s="21" t="s">
        <v>1006</v>
      </c>
      <c r="E388" s="20" t="s">
        <v>16</v>
      </c>
      <c r="F388" s="18" t="str">
        <f>B388</f>
        <v>ECE</v>
      </c>
      <c r="G388" s="21">
        <v>1500</v>
      </c>
      <c r="H388" s="92">
        <v>45526</v>
      </c>
      <c r="I388" s="87"/>
      <c r="J388" s="57"/>
      <c r="K388" s="92">
        <v>2024</v>
      </c>
      <c r="L388" s="101">
        <v>62</v>
      </c>
      <c r="M388" s="85"/>
    </row>
    <row r="389" spans="1:13" ht="15.75">
      <c r="A389" s="83">
        <v>943</v>
      </c>
      <c r="B389" s="18" t="s">
        <v>5</v>
      </c>
      <c r="C389" s="21" t="s">
        <v>170</v>
      </c>
      <c r="D389" s="21" t="s">
        <v>198</v>
      </c>
      <c r="E389" s="20" t="s">
        <v>193</v>
      </c>
      <c r="F389" s="18" t="str">
        <f>B389</f>
        <v>ECE</v>
      </c>
      <c r="G389" s="21">
        <v>4000</v>
      </c>
      <c r="H389" s="92">
        <v>45526</v>
      </c>
      <c r="I389" s="87"/>
      <c r="J389" s="57"/>
      <c r="K389" s="92">
        <v>45330</v>
      </c>
      <c r="L389" s="101">
        <v>62</v>
      </c>
      <c r="M389" s="102"/>
    </row>
    <row r="390" spans="1:13" ht="31.5">
      <c r="A390" s="97">
        <v>944</v>
      </c>
      <c r="B390" s="18" t="s">
        <v>5</v>
      </c>
      <c r="C390" s="21" t="s">
        <v>831</v>
      </c>
      <c r="D390" s="21" t="s">
        <v>1005</v>
      </c>
      <c r="E390" s="20" t="s">
        <v>23</v>
      </c>
      <c r="F390" s="18" t="str">
        <f>B390</f>
        <v>ECE</v>
      </c>
      <c r="G390" s="21">
        <v>6000</v>
      </c>
      <c r="H390" s="92">
        <v>45526</v>
      </c>
      <c r="I390" s="87"/>
      <c r="J390" s="57"/>
      <c r="K390" s="92">
        <v>45328</v>
      </c>
      <c r="L390" s="101">
        <v>62</v>
      </c>
      <c r="M390" s="102"/>
    </row>
    <row r="391" spans="1:13" ht="15.75">
      <c r="A391" s="83">
        <v>945</v>
      </c>
      <c r="B391" s="18" t="s">
        <v>5</v>
      </c>
      <c r="C391" s="21" t="s">
        <v>1002</v>
      </c>
      <c r="D391" s="21" t="s">
        <v>1004</v>
      </c>
      <c r="E391" s="20" t="s">
        <v>324</v>
      </c>
      <c r="F391" s="18" t="str">
        <f>B391</f>
        <v>ECE</v>
      </c>
      <c r="G391" s="21">
        <v>1800</v>
      </c>
      <c r="H391" s="92">
        <v>45526</v>
      </c>
      <c r="I391" s="87"/>
      <c r="J391" s="57"/>
      <c r="K391" s="92" t="s">
        <v>1003</v>
      </c>
      <c r="L391" s="101">
        <v>62</v>
      </c>
      <c r="M391" s="85"/>
    </row>
    <row r="392" spans="1:13" ht="31.5">
      <c r="A392" s="83">
        <v>946</v>
      </c>
      <c r="B392" s="18" t="s">
        <v>5</v>
      </c>
      <c r="C392" s="21" t="s">
        <v>1002</v>
      </c>
      <c r="D392" s="21" t="s">
        <v>1001</v>
      </c>
      <c r="E392" s="20" t="s">
        <v>324</v>
      </c>
      <c r="F392" s="18" t="str">
        <f>B392</f>
        <v>ECE</v>
      </c>
      <c r="G392" s="21">
        <v>1800</v>
      </c>
      <c r="H392" s="92">
        <v>45526</v>
      </c>
      <c r="I392" s="87"/>
      <c r="J392" s="57"/>
      <c r="K392" s="92" t="s">
        <v>1000</v>
      </c>
      <c r="L392" s="101">
        <v>62</v>
      </c>
      <c r="M392" s="85"/>
    </row>
    <row r="393" spans="1:13" ht="31.5">
      <c r="A393" s="97">
        <v>947</v>
      </c>
      <c r="B393" s="18" t="s">
        <v>5</v>
      </c>
      <c r="C393" s="21" t="s">
        <v>420</v>
      </c>
      <c r="D393" s="21" t="s">
        <v>999</v>
      </c>
      <c r="E393" s="20" t="s">
        <v>16</v>
      </c>
      <c r="F393" s="18" t="str">
        <f>B393</f>
        <v>ECE</v>
      </c>
      <c r="G393" s="21">
        <v>3000</v>
      </c>
      <c r="H393" s="92">
        <v>45526</v>
      </c>
      <c r="I393" s="87"/>
      <c r="J393" s="57"/>
      <c r="K393" s="92" t="s">
        <v>998</v>
      </c>
      <c r="L393" s="101">
        <v>62</v>
      </c>
      <c r="M393" s="85"/>
    </row>
    <row r="394" spans="1:13" ht="47.25">
      <c r="A394" s="97">
        <v>948</v>
      </c>
      <c r="B394" s="18" t="s">
        <v>4</v>
      </c>
      <c r="C394" s="21" t="s">
        <v>63</v>
      </c>
      <c r="D394" s="21" t="s">
        <v>997</v>
      </c>
      <c r="E394" s="20" t="s">
        <v>324</v>
      </c>
      <c r="F394" s="18" t="str">
        <f>B394</f>
        <v>EEE</v>
      </c>
      <c r="G394" s="21">
        <v>5000</v>
      </c>
      <c r="H394" s="92">
        <v>45526</v>
      </c>
      <c r="I394" s="87"/>
      <c r="J394" s="57"/>
      <c r="K394" s="92" t="s">
        <v>996</v>
      </c>
      <c r="L394" s="101">
        <v>62</v>
      </c>
      <c r="M394" s="85"/>
    </row>
    <row r="395" spans="1:13" ht="15.75">
      <c r="A395" s="83">
        <v>949</v>
      </c>
      <c r="B395" s="18" t="s">
        <v>4</v>
      </c>
      <c r="C395" s="21" t="s">
        <v>63</v>
      </c>
      <c r="D395" s="21" t="s">
        <v>737</v>
      </c>
      <c r="E395" s="20" t="s">
        <v>193</v>
      </c>
      <c r="F395" s="18" t="str">
        <f>B395</f>
        <v>EEE</v>
      </c>
      <c r="G395" s="21">
        <v>10000</v>
      </c>
      <c r="H395" s="92">
        <v>45526</v>
      </c>
      <c r="I395" s="87"/>
      <c r="J395" s="57"/>
      <c r="K395" s="92">
        <v>45512</v>
      </c>
      <c r="L395" s="101">
        <v>62</v>
      </c>
      <c r="M395" s="102"/>
    </row>
    <row r="396" spans="1:13" ht="31.5">
      <c r="A396" s="83">
        <v>950</v>
      </c>
      <c r="B396" s="18" t="s">
        <v>2</v>
      </c>
      <c r="C396" s="21" t="s">
        <v>209</v>
      </c>
      <c r="D396" s="21" t="s">
        <v>995</v>
      </c>
      <c r="E396" s="20" t="s">
        <v>23</v>
      </c>
      <c r="F396" s="18" t="str">
        <f>B396</f>
        <v>Mech</v>
      </c>
      <c r="G396" s="21">
        <v>10000</v>
      </c>
      <c r="H396" s="92">
        <v>45526</v>
      </c>
      <c r="I396" s="87"/>
      <c r="J396" s="57"/>
      <c r="K396" s="92">
        <v>45543</v>
      </c>
      <c r="L396" s="101">
        <v>62</v>
      </c>
      <c r="M396" s="102"/>
    </row>
    <row r="397" spans="1:13" ht="15.75">
      <c r="A397" s="97">
        <v>951</v>
      </c>
      <c r="B397" s="18" t="s">
        <v>2</v>
      </c>
      <c r="C397" s="21" t="s">
        <v>209</v>
      </c>
      <c r="D397" s="21" t="s">
        <v>994</v>
      </c>
      <c r="E397" s="20" t="s">
        <v>23</v>
      </c>
      <c r="F397" s="18" t="str">
        <f>B397</f>
        <v>Mech</v>
      </c>
      <c r="G397" s="21">
        <v>10000</v>
      </c>
      <c r="H397" s="92">
        <v>45526</v>
      </c>
      <c r="I397" s="87"/>
      <c r="J397" s="57"/>
      <c r="K397" s="92">
        <v>45330</v>
      </c>
      <c r="L397" s="101">
        <v>62</v>
      </c>
      <c r="M397" s="102"/>
    </row>
    <row r="398" spans="1:13" ht="15.75">
      <c r="A398" s="46"/>
      <c r="B398" s="46"/>
      <c r="C398" s="46"/>
      <c r="D398" s="46" t="s">
        <v>11</v>
      </c>
      <c r="E398" s="42"/>
      <c r="F398" s="90"/>
      <c r="G398" s="89">
        <f>SUM(G384:G397)</f>
        <v>70400</v>
      </c>
      <c r="H398" s="42" t="s">
        <v>718</v>
      </c>
      <c r="I398" s="42"/>
      <c r="J398" s="45">
        <f>G398</f>
        <v>70400</v>
      </c>
      <c r="K398" s="42"/>
      <c r="L398" s="46">
        <v>62</v>
      </c>
      <c r="M398" s="88"/>
    </row>
    <row r="399" spans="1:13" ht="31.5">
      <c r="A399" s="97">
        <v>952</v>
      </c>
      <c r="B399" s="18" t="s">
        <v>758</v>
      </c>
      <c r="C399" s="21" t="s">
        <v>90</v>
      </c>
      <c r="D399" s="21" t="s">
        <v>993</v>
      </c>
      <c r="E399" s="20" t="s">
        <v>324</v>
      </c>
      <c r="F399" s="18" t="str">
        <f>B399</f>
        <v>AI-ML</v>
      </c>
      <c r="G399" s="86">
        <v>3000</v>
      </c>
      <c r="H399" s="92">
        <v>45537</v>
      </c>
      <c r="I399" s="87"/>
      <c r="J399" s="57"/>
      <c r="K399" s="92" t="s">
        <v>992</v>
      </c>
      <c r="L399" s="101">
        <v>63</v>
      </c>
      <c r="M399" s="85"/>
    </row>
    <row r="400" spans="1:13" ht="31.5">
      <c r="A400" s="97">
        <v>953</v>
      </c>
      <c r="B400" s="18" t="s">
        <v>5</v>
      </c>
      <c r="C400" s="21" t="s">
        <v>26</v>
      </c>
      <c r="D400" s="21" t="s">
        <v>991</v>
      </c>
      <c r="E400" s="20" t="s">
        <v>23</v>
      </c>
      <c r="F400" s="18" t="str">
        <f>B400</f>
        <v>ECE</v>
      </c>
      <c r="G400" s="86">
        <v>10000</v>
      </c>
      <c r="H400" s="92">
        <v>45537</v>
      </c>
      <c r="I400" s="87"/>
      <c r="J400" s="57"/>
      <c r="K400" s="92" t="s">
        <v>958</v>
      </c>
      <c r="L400" s="101">
        <v>63</v>
      </c>
      <c r="M400" s="85"/>
    </row>
    <row r="401" spans="1:13" ht="31.5">
      <c r="A401" s="97">
        <v>954</v>
      </c>
      <c r="B401" s="18" t="s">
        <v>5</v>
      </c>
      <c r="C401" s="21" t="s">
        <v>26</v>
      </c>
      <c r="D401" s="21" t="s">
        <v>990</v>
      </c>
      <c r="E401" s="20" t="s">
        <v>324</v>
      </c>
      <c r="F401" s="18" t="str">
        <f>B401</f>
        <v>ECE</v>
      </c>
      <c r="G401" s="86">
        <v>3000</v>
      </c>
      <c r="H401" s="92">
        <v>45537</v>
      </c>
      <c r="I401" s="87"/>
      <c r="J401" s="57"/>
      <c r="K401" s="92" t="s">
        <v>958</v>
      </c>
      <c r="L401" s="101">
        <v>63</v>
      </c>
      <c r="M401" s="85"/>
    </row>
    <row r="402" spans="1:13" ht="15.75">
      <c r="A402" s="83">
        <v>955</v>
      </c>
      <c r="B402" s="18" t="s">
        <v>5</v>
      </c>
      <c r="C402" s="21" t="s">
        <v>26</v>
      </c>
      <c r="D402" s="21" t="s">
        <v>166</v>
      </c>
      <c r="E402" s="20" t="s">
        <v>193</v>
      </c>
      <c r="F402" s="18" t="str">
        <f>B402</f>
        <v>ECE</v>
      </c>
      <c r="G402" s="86">
        <v>2000</v>
      </c>
      <c r="H402" s="92">
        <v>45537</v>
      </c>
      <c r="I402" s="87"/>
      <c r="J402" s="57"/>
      <c r="K402" s="92" t="s">
        <v>795</v>
      </c>
      <c r="L402" s="101">
        <v>63</v>
      </c>
      <c r="M402" s="85"/>
    </row>
    <row r="403" spans="1:13" ht="31.5">
      <c r="A403" s="97">
        <v>956</v>
      </c>
      <c r="B403" s="18" t="s">
        <v>5</v>
      </c>
      <c r="C403" s="21" t="s">
        <v>420</v>
      </c>
      <c r="D403" s="21" t="s">
        <v>989</v>
      </c>
      <c r="E403" s="20" t="s">
        <v>16</v>
      </c>
      <c r="F403" s="18" t="str">
        <f>B403</f>
        <v>ECE</v>
      </c>
      <c r="G403" s="86">
        <v>3000</v>
      </c>
      <c r="H403" s="92">
        <v>45537</v>
      </c>
      <c r="I403" s="87"/>
      <c r="J403" s="57"/>
      <c r="K403" s="92" t="s">
        <v>988</v>
      </c>
      <c r="L403" s="101">
        <v>63</v>
      </c>
      <c r="M403" s="85"/>
    </row>
    <row r="404" spans="1:13" ht="31.5">
      <c r="A404" s="97">
        <v>957</v>
      </c>
      <c r="B404" s="18" t="s">
        <v>5</v>
      </c>
      <c r="C404" s="21" t="s">
        <v>52</v>
      </c>
      <c r="D404" s="21" t="s">
        <v>987</v>
      </c>
      <c r="E404" s="20" t="s">
        <v>16</v>
      </c>
      <c r="F404" s="18" t="str">
        <f>B404</f>
        <v>ECE</v>
      </c>
      <c r="G404" s="86">
        <v>3000</v>
      </c>
      <c r="H404" s="92">
        <v>45537</v>
      </c>
      <c r="I404" s="87"/>
      <c r="J404" s="57"/>
      <c r="K404" s="92" t="s">
        <v>960</v>
      </c>
      <c r="L404" s="101">
        <v>63</v>
      </c>
      <c r="M404" s="85"/>
    </row>
    <row r="405" spans="1:13" ht="31.5">
      <c r="A405" s="97">
        <v>958</v>
      </c>
      <c r="B405" s="18" t="s">
        <v>5</v>
      </c>
      <c r="C405" s="21" t="s">
        <v>52</v>
      </c>
      <c r="D405" s="21" t="s">
        <v>986</v>
      </c>
      <c r="E405" s="20" t="s">
        <v>16</v>
      </c>
      <c r="F405" s="18" t="str">
        <f>B405</f>
        <v>ECE</v>
      </c>
      <c r="G405" s="86">
        <v>3000</v>
      </c>
      <c r="H405" s="92">
        <v>45537</v>
      </c>
      <c r="I405" s="87"/>
      <c r="J405" s="57"/>
      <c r="K405" s="92" t="s">
        <v>960</v>
      </c>
      <c r="L405" s="101">
        <v>63</v>
      </c>
      <c r="M405" s="85"/>
    </row>
    <row r="406" spans="1:13" ht="47.25">
      <c r="A406" s="97">
        <v>959</v>
      </c>
      <c r="B406" s="18" t="s">
        <v>5</v>
      </c>
      <c r="C406" s="21" t="s">
        <v>178</v>
      </c>
      <c r="D406" s="21" t="s">
        <v>985</v>
      </c>
      <c r="E406" s="20" t="s">
        <v>23</v>
      </c>
      <c r="F406" s="18" t="str">
        <f>B406</f>
        <v>ECE</v>
      </c>
      <c r="G406" s="86">
        <v>10000</v>
      </c>
      <c r="H406" s="92">
        <v>45537</v>
      </c>
      <c r="I406" s="87"/>
      <c r="J406" s="57"/>
      <c r="K406" s="92" t="s">
        <v>862</v>
      </c>
      <c r="L406" s="101">
        <v>63</v>
      </c>
      <c r="M406" s="85"/>
    </row>
    <row r="407" spans="1:13" ht="31.5">
      <c r="A407" s="97">
        <v>960</v>
      </c>
      <c r="B407" s="18" t="s">
        <v>5</v>
      </c>
      <c r="C407" s="21" t="s">
        <v>178</v>
      </c>
      <c r="D407" s="21" t="s">
        <v>984</v>
      </c>
      <c r="E407" s="20" t="s">
        <v>16</v>
      </c>
      <c r="F407" s="18" t="str">
        <f>B407</f>
        <v>ECE</v>
      </c>
      <c r="G407" s="86">
        <v>3000</v>
      </c>
      <c r="H407" s="92">
        <v>45537</v>
      </c>
      <c r="I407" s="87"/>
      <c r="J407" s="57"/>
      <c r="K407" s="92" t="s">
        <v>948</v>
      </c>
      <c r="L407" s="101">
        <v>63</v>
      </c>
      <c r="M407" s="85"/>
    </row>
    <row r="408" spans="1:13" ht="31.5">
      <c r="A408" s="97">
        <v>961</v>
      </c>
      <c r="B408" s="18" t="s">
        <v>5</v>
      </c>
      <c r="C408" s="21" t="s">
        <v>178</v>
      </c>
      <c r="D408" s="21" t="s">
        <v>983</v>
      </c>
      <c r="E408" s="20" t="s">
        <v>16</v>
      </c>
      <c r="F408" s="18" t="str">
        <f>B408</f>
        <v>ECE</v>
      </c>
      <c r="G408" s="86">
        <v>3000</v>
      </c>
      <c r="H408" s="92">
        <v>45537</v>
      </c>
      <c r="I408" s="87"/>
      <c r="J408" s="57"/>
      <c r="K408" s="92" t="s">
        <v>948</v>
      </c>
      <c r="L408" s="101">
        <v>63</v>
      </c>
      <c r="M408" s="85"/>
    </row>
    <row r="409" spans="1:13" ht="15.75">
      <c r="A409" s="97">
        <v>962</v>
      </c>
      <c r="B409" s="18" t="s">
        <v>6</v>
      </c>
      <c r="C409" s="21" t="s">
        <v>181</v>
      </c>
      <c r="D409" s="21" t="s">
        <v>982</v>
      </c>
      <c r="E409" s="20" t="s">
        <v>324</v>
      </c>
      <c r="F409" s="18" t="str">
        <f>B409</f>
        <v>CSE</v>
      </c>
      <c r="G409" s="86">
        <v>3000</v>
      </c>
      <c r="H409" s="92">
        <v>45537</v>
      </c>
      <c r="I409" s="87"/>
      <c r="J409" s="57"/>
      <c r="K409" s="92" t="s">
        <v>981</v>
      </c>
      <c r="L409" s="101">
        <v>63</v>
      </c>
      <c r="M409" s="85"/>
    </row>
    <row r="410" spans="1:13" ht="15.75">
      <c r="A410" s="97">
        <v>963</v>
      </c>
      <c r="B410" s="18" t="s">
        <v>6</v>
      </c>
      <c r="C410" s="21" t="s">
        <v>181</v>
      </c>
      <c r="D410" s="21" t="s">
        <v>980</v>
      </c>
      <c r="E410" s="20" t="s">
        <v>324</v>
      </c>
      <c r="F410" s="18" t="str">
        <f>B410</f>
        <v>CSE</v>
      </c>
      <c r="G410" s="86">
        <v>3000</v>
      </c>
      <c r="H410" s="92">
        <v>45537</v>
      </c>
      <c r="I410" s="87"/>
      <c r="J410" s="57"/>
      <c r="K410" s="92" t="s">
        <v>979</v>
      </c>
      <c r="L410" s="101">
        <v>63</v>
      </c>
      <c r="M410" s="85"/>
    </row>
    <row r="411" spans="1:13" ht="31.5">
      <c r="A411" s="97">
        <v>964</v>
      </c>
      <c r="B411" s="18" t="s">
        <v>6</v>
      </c>
      <c r="C411" s="21" t="s">
        <v>181</v>
      </c>
      <c r="D411" s="21" t="s">
        <v>978</v>
      </c>
      <c r="E411" s="20" t="s">
        <v>16</v>
      </c>
      <c r="F411" s="18" t="str">
        <f>B411</f>
        <v>CSE</v>
      </c>
      <c r="G411" s="86">
        <v>5000</v>
      </c>
      <c r="H411" s="92">
        <v>45537</v>
      </c>
      <c r="I411" s="87"/>
      <c r="J411" s="57"/>
      <c r="K411" s="92">
        <v>45329</v>
      </c>
      <c r="L411" s="101">
        <v>63</v>
      </c>
      <c r="M411" s="85"/>
    </row>
    <row r="412" spans="1:13" ht="31.5">
      <c r="A412" s="97">
        <v>965</v>
      </c>
      <c r="B412" s="18" t="s">
        <v>6</v>
      </c>
      <c r="C412" s="21" t="s">
        <v>181</v>
      </c>
      <c r="D412" s="21" t="s">
        <v>977</v>
      </c>
      <c r="E412" s="20" t="s">
        <v>187</v>
      </c>
      <c r="F412" s="18" t="str">
        <f>B412</f>
        <v>CSE</v>
      </c>
      <c r="G412" s="86">
        <v>1800</v>
      </c>
      <c r="H412" s="92">
        <v>45537</v>
      </c>
      <c r="I412" s="87"/>
      <c r="J412" s="57"/>
      <c r="K412" s="92">
        <v>45292</v>
      </c>
      <c r="L412" s="101">
        <v>63</v>
      </c>
      <c r="M412" s="85"/>
    </row>
    <row r="413" spans="1:13" ht="47.25">
      <c r="A413" s="97">
        <v>966</v>
      </c>
      <c r="B413" s="18" t="s">
        <v>1</v>
      </c>
      <c r="C413" s="21" t="s">
        <v>167</v>
      </c>
      <c r="D413" s="21" t="s">
        <v>976</v>
      </c>
      <c r="E413" s="20" t="s">
        <v>23</v>
      </c>
      <c r="F413" s="18" t="str">
        <f>B413</f>
        <v>S&amp;H</v>
      </c>
      <c r="G413" s="86">
        <v>6000</v>
      </c>
      <c r="H413" s="92">
        <v>45537</v>
      </c>
      <c r="I413" s="87"/>
      <c r="J413" s="57"/>
      <c r="K413" s="92"/>
      <c r="L413" s="101">
        <v>63</v>
      </c>
      <c r="M413" s="85"/>
    </row>
    <row r="414" spans="1:13" ht="15.75">
      <c r="A414" s="83">
        <v>967</v>
      </c>
      <c r="B414" s="18" t="s">
        <v>1</v>
      </c>
      <c r="C414" s="21" t="s">
        <v>167</v>
      </c>
      <c r="D414" s="21" t="s">
        <v>166</v>
      </c>
      <c r="E414" s="20" t="s">
        <v>193</v>
      </c>
      <c r="F414" s="18" t="str">
        <f>B414</f>
        <v>S&amp;H</v>
      </c>
      <c r="G414" s="86">
        <v>2000</v>
      </c>
      <c r="H414" s="92">
        <v>45537</v>
      </c>
      <c r="I414" s="87"/>
      <c r="J414" s="57"/>
      <c r="K414" s="92" t="s">
        <v>862</v>
      </c>
      <c r="L414" s="101">
        <v>63</v>
      </c>
      <c r="M414" s="85"/>
    </row>
    <row r="415" spans="1:13" ht="15.75">
      <c r="A415" s="83">
        <v>968</v>
      </c>
      <c r="B415" s="18" t="s">
        <v>1</v>
      </c>
      <c r="C415" s="21" t="s">
        <v>140</v>
      </c>
      <c r="D415" s="21" t="s">
        <v>166</v>
      </c>
      <c r="E415" s="20" t="s">
        <v>193</v>
      </c>
      <c r="F415" s="18" t="str">
        <f>B415</f>
        <v>S&amp;H</v>
      </c>
      <c r="G415" s="86">
        <v>2000</v>
      </c>
      <c r="H415" s="92">
        <v>45537</v>
      </c>
      <c r="I415" s="87"/>
      <c r="J415" s="57"/>
      <c r="K415" s="92" t="s">
        <v>944</v>
      </c>
      <c r="L415" s="101">
        <v>63</v>
      </c>
      <c r="M415" s="85"/>
    </row>
    <row r="416" spans="1:13" ht="31.5">
      <c r="A416" s="97">
        <v>969</v>
      </c>
      <c r="B416" s="18" t="s">
        <v>0</v>
      </c>
      <c r="C416" s="21" t="s">
        <v>789</v>
      </c>
      <c r="D416" s="21" t="s">
        <v>975</v>
      </c>
      <c r="E416" s="20" t="s">
        <v>324</v>
      </c>
      <c r="F416" s="18" t="str">
        <f>B416</f>
        <v>Maths</v>
      </c>
      <c r="G416" s="86">
        <v>3000</v>
      </c>
      <c r="H416" s="92">
        <v>45537</v>
      </c>
      <c r="I416" s="87"/>
      <c r="J416" s="57"/>
      <c r="K416" s="92" t="s">
        <v>948</v>
      </c>
      <c r="L416" s="101">
        <v>63</v>
      </c>
      <c r="M416" s="85"/>
    </row>
    <row r="417" spans="1:13" ht="47.25">
      <c r="A417" s="97">
        <v>970</v>
      </c>
      <c r="B417" s="18" t="s">
        <v>0</v>
      </c>
      <c r="C417" s="21" t="s">
        <v>902</v>
      </c>
      <c r="D417" s="21" t="s">
        <v>974</v>
      </c>
      <c r="E417" s="20" t="s">
        <v>23</v>
      </c>
      <c r="F417" s="18" t="str">
        <f>B417</f>
        <v>Maths</v>
      </c>
      <c r="G417" s="86">
        <v>10000</v>
      </c>
      <c r="H417" s="92">
        <v>45537</v>
      </c>
      <c r="I417" s="87"/>
      <c r="J417" s="57"/>
      <c r="K417" s="92" t="s">
        <v>973</v>
      </c>
      <c r="L417" s="101">
        <v>63</v>
      </c>
      <c r="M417" s="85"/>
    </row>
    <row r="418" spans="1:13" ht="31.5">
      <c r="A418" s="83">
        <v>971</v>
      </c>
      <c r="B418" s="18" t="s">
        <v>0</v>
      </c>
      <c r="C418" s="21" t="s">
        <v>970</v>
      </c>
      <c r="D418" s="21" t="s">
        <v>972</v>
      </c>
      <c r="E418" s="20" t="s">
        <v>23</v>
      </c>
      <c r="F418" s="18" t="str">
        <f>B418</f>
        <v>Maths</v>
      </c>
      <c r="G418" s="86">
        <v>10000</v>
      </c>
      <c r="H418" s="92">
        <v>45537</v>
      </c>
      <c r="I418" s="87"/>
      <c r="J418" s="57"/>
      <c r="K418" s="92" t="s">
        <v>971</v>
      </c>
      <c r="L418" s="101">
        <v>63</v>
      </c>
      <c r="M418" s="85"/>
    </row>
    <row r="419" spans="1:13" ht="31.5">
      <c r="A419" s="83">
        <v>972</v>
      </c>
      <c r="B419" s="18" t="s">
        <v>0</v>
      </c>
      <c r="C419" s="21" t="s">
        <v>970</v>
      </c>
      <c r="D419" s="21" t="s">
        <v>969</v>
      </c>
      <c r="E419" s="20" t="s">
        <v>324</v>
      </c>
      <c r="F419" s="18" t="str">
        <f>B419</f>
        <v>Maths</v>
      </c>
      <c r="G419" s="86">
        <v>2000</v>
      </c>
      <c r="H419" s="92">
        <v>45537</v>
      </c>
      <c r="I419" s="87"/>
      <c r="J419" s="57"/>
      <c r="K419" s="92" t="s">
        <v>968</v>
      </c>
      <c r="L419" s="101">
        <v>63</v>
      </c>
      <c r="M419" s="85"/>
    </row>
    <row r="420" spans="1:13" ht="15.75">
      <c r="A420" s="46"/>
      <c r="B420" s="46"/>
      <c r="C420" s="46"/>
      <c r="D420" s="46" t="s">
        <v>11</v>
      </c>
      <c r="E420" s="42"/>
      <c r="F420" s="90"/>
      <c r="G420" s="89">
        <f>SUM(G399:G419)</f>
        <v>90800</v>
      </c>
      <c r="H420" s="42" t="s">
        <v>718</v>
      </c>
      <c r="I420" s="42"/>
      <c r="J420" s="45">
        <f>G420</f>
        <v>90800</v>
      </c>
      <c r="K420" s="42"/>
      <c r="L420" s="46">
        <v>63</v>
      </c>
      <c r="M420" s="88"/>
    </row>
    <row r="421" spans="1:13" ht="15.75">
      <c r="A421" s="83">
        <v>973</v>
      </c>
      <c r="B421" s="18" t="s">
        <v>6</v>
      </c>
      <c r="C421" s="21" t="s">
        <v>369</v>
      </c>
      <c r="D421" s="21" t="s">
        <v>198</v>
      </c>
      <c r="E421" s="20" t="s">
        <v>193</v>
      </c>
      <c r="F421" s="18" t="str">
        <f>B421</f>
        <v>CSE</v>
      </c>
      <c r="G421" s="86">
        <v>4000</v>
      </c>
      <c r="H421" s="92">
        <v>45547</v>
      </c>
      <c r="I421" s="87"/>
      <c r="J421" s="57"/>
      <c r="K421" s="92" t="s">
        <v>967</v>
      </c>
      <c r="L421" s="101">
        <v>64</v>
      </c>
      <c r="M421" s="85"/>
    </row>
    <row r="422" spans="1:13" ht="31.5">
      <c r="A422" s="97">
        <v>974</v>
      </c>
      <c r="B422" s="18" t="s">
        <v>3</v>
      </c>
      <c r="C422" s="21" t="s">
        <v>360</v>
      </c>
      <c r="D422" s="21" t="s">
        <v>966</v>
      </c>
      <c r="E422" s="20" t="s">
        <v>324</v>
      </c>
      <c r="F422" s="18" t="str">
        <f>B422</f>
        <v>IT</v>
      </c>
      <c r="G422" s="86">
        <v>5000</v>
      </c>
      <c r="H422" s="92">
        <v>45547</v>
      </c>
      <c r="I422" s="87"/>
      <c r="J422" s="57"/>
      <c r="K422" s="92">
        <v>45603</v>
      </c>
      <c r="L422" s="101">
        <v>64</v>
      </c>
      <c r="M422" s="85"/>
    </row>
    <row r="423" spans="1:13" ht="31.5">
      <c r="A423" s="97">
        <v>975</v>
      </c>
      <c r="B423" s="18" t="s">
        <v>3</v>
      </c>
      <c r="C423" s="21" t="s">
        <v>360</v>
      </c>
      <c r="D423" s="21" t="s">
        <v>965</v>
      </c>
      <c r="E423" s="20" t="s">
        <v>16</v>
      </c>
      <c r="F423" s="18" t="str">
        <f>B423</f>
        <v>IT</v>
      </c>
      <c r="G423" s="86">
        <v>1800</v>
      </c>
      <c r="H423" s="92">
        <v>45547</v>
      </c>
      <c r="I423" s="87"/>
      <c r="J423" s="57"/>
      <c r="K423" s="92">
        <v>45543</v>
      </c>
      <c r="L423" s="101">
        <v>64</v>
      </c>
      <c r="M423" s="85"/>
    </row>
    <row r="424" spans="1:13" ht="47.25">
      <c r="A424" s="83">
        <v>976</v>
      </c>
      <c r="B424" s="18" t="s">
        <v>2</v>
      </c>
      <c r="C424" s="21" t="s">
        <v>99</v>
      </c>
      <c r="D424" s="21" t="s">
        <v>964</v>
      </c>
      <c r="E424" s="20" t="s">
        <v>23</v>
      </c>
      <c r="F424" s="18" t="str">
        <f>B424</f>
        <v>Mech</v>
      </c>
      <c r="G424" s="86">
        <v>6000</v>
      </c>
      <c r="H424" s="92">
        <v>45547</v>
      </c>
      <c r="I424" s="87"/>
      <c r="J424" s="57"/>
      <c r="K424" s="92" t="s">
        <v>963</v>
      </c>
      <c r="L424" s="101">
        <v>64</v>
      </c>
      <c r="M424" s="85"/>
    </row>
    <row r="425" spans="1:13" ht="15.75">
      <c r="A425" s="83">
        <v>977</v>
      </c>
      <c r="B425" s="18" t="s">
        <v>2</v>
      </c>
      <c r="C425" s="21" t="s">
        <v>99</v>
      </c>
      <c r="D425" s="21" t="s">
        <v>737</v>
      </c>
      <c r="E425" s="20" t="s">
        <v>193</v>
      </c>
      <c r="F425" s="18" t="str">
        <f>B425</f>
        <v>Mech</v>
      </c>
      <c r="G425" s="86">
        <v>10000</v>
      </c>
      <c r="H425" s="92">
        <v>45547</v>
      </c>
      <c r="I425" s="87"/>
      <c r="J425" s="57"/>
      <c r="K425" s="92" t="s">
        <v>897</v>
      </c>
      <c r="L425" s="101">
        <v>64</v>
      </c>
      <c r="M425" s="85"/>
    </row>
    <row r="426" spans="1:13" ht="15.75">
      <c r="A426" s="46"/>
      <c r="B426" s="46"/>
      <c r="C426" s="46"/>
      <c r="D426" s="46" t="s">
        <v>11</v>
      </c>
      <c r="E426" s="42"/>
      <c r="F426" s="90"/>
      <c r="G426" s="89">
        <f>SUM(G421:G425)</f>
        <v>26800</v>
      </c>
      <c r="H426" s="42" t="s">
        <v>718</v>
      </c>
      <c r="I426" s="42"/>
      <c r="J426" s="45">
        <f>G426</f>
        <v>26800</v>
      </c>
      <c r="K426" s="42"/>
      <c r="L426" s="46">
        <v>64</v>
      </c>
      <c r="M426" s="88"/>
    </row>
    <row r="427" spans="1:13" ht="31.5">
      <c r="A427" s="97">
        <v>978</v>
      </c>
      <c r="B427" s="18" t="s">
        <v>8</v>
      </c>
      <c r="C427" s="21" t="s">
        <v>278</v>
      </c>
      <c r="D427" s="21" t="s">
        <v>962</v>
      </c>
      <c r="E427" s="20" t="s">
        <v>23</v>
      </c>
      <c r="F427" s="18" t="str">
        <f>B427</f>
        <v>CCE</v>
      </c>
      <c r="G427" s="86">
        <v>10000</v>
      </c>
      <c r="H427" s="92">
        <v>45569</v>
      </c>
      <c r="I427" s="87"/>
      <c r="J427" s="57"/>
      <c r="K427" s="92">
        <v>45574</v>
      </c>
      <c r="L427" s="101">
        <v>65</v>
      </c>
      <c r="M427" s="85"/>
    </row>
    <row r="428" spans="1:13" ht="31.5">
      <c r="A428" s="97">
        <v>979</v>
      </c>
      <c r="B428" s="18" t="s">
        <v>5</v>
      </c>
      <c r="C428" s="21" t="s">
        <v>21</v>
      </c>
      <c r="D428" s="21" t="s">
        <v>961</v>
      </c>
      <c r="E428" s="20" t="s">
        <v>23</v>
      </c>
      <c r="F428" s="18" t="str">
        <f>B428</f>
        <v>ECE</v>
      </c>
      <c r="G428" s="86">
        <v>10000</v>
      </c>
      <c r="H428" s="92">
        <v>45569</v>
      </c>
      <c r="I428" s="87"/>
      <c r="J428" s="57"/>
      <c r="K428" s="92" t="s">
        <v>960</v>
      </c>
      <c r="L428" s="101">
        <v>65</v>
      </c>
      <c r="M428" s="85"/>
    </row>
    <row r="429" spans="1:13" ht="15.75">
      <c r="A429" s="83">
        <v>980</v>
      </c>
      <c r="B429" s="18" t="s">
        <v>5</v>
      </c>
      <c r="C429" s="21" t="s">
        <v>21</v>
      </c>
      <c r="D429" s="21" t="s">
        <v>198</v>
      </c>
      <c r="E429" s="20" t="s">
        <v>193</v>
      </c>
      <c r="F429" s="18" t="str">
        <f>B429</f>
        <v>ECE</v>
      </c>
      <c r="G429" s="86">
        <v>4000</v>
      </c>
      <c r="H429" s="92">
        <v>45569</v>
      </c>
      <c r="I429" s="87"/>
      <c r="J429" s="57"/>
      <c r="K429" s="92" t="s">
        <v>915</v>
      </c>
      <c r="L429" s="101">
        <v>65</v>
      </c>
      <c r="M429" s="85"/>
    </row>
    <row r="430" spans="1:13" ht="31.5">
      <c r="A430" s="97">
        <v>981</v>
      </c>
      <c r="B430" s="18" t="s">
        <v>5</v>
      </c>
      <c r="C430" s="21" t="s">
        <v>294</v>
      </c>
      <c r="D430" s="21" t="s">
        <v>959</v>
      </c>
      <c r="E430" s="20" t="s">
        <v>16</v>
      </c>
      <c r="F430" s="18" t="str">
        <f>B430</f>
        <v>ECE</v>
      </c>
      <c r="G430" s="86">
        <v>900</v>
      </c>
      <c r="H430" s="92">
        <v>45569</v>
      </c>
      <c r="I430" s="87"/>
      <c r="J430" s="57"/>
      <c r="K430" s="92" t="s">
        <v>958</v>
      </c>
      <c r="L430" s="101">
        <v>65</v>
      </c>
      <c r="M430" s="85"/>
    </row>
    <row r="431" spans="1:13" ht="31.5">
      <c r="A431" s="97">
        <v>982</v>
      </c>
      <c r="B431" s="18" t="s">
        <v>5</v>
      </c>
      <c r="C431" s="21" t="s">
        <v>175</v>
      </c>
      <c r="D431" s="21" t="s">
        <v>957</v>
      </c>
      <c r="E431" s="20" t="s">
        <v>23</v>
      </c>
      <c r="F431" s="18" t="str">
        <f>B431</f>
        <v>ECE</v>
      </c>
      <c r="G431" s="86">
        <v>10000</v>
      </c>
      <c r="H431" s="92">
        <v>45569</v>
      </c>
      <c r="I431" s="87"/>
      <c r="J431" s="57"/>
      <c r="K431" s="92" t="s">
        <v>956</v>
      </c>
      <c r="L431" s="101">
        <v>65</v>
      </c>
      <c r="M431" s="85"/>
    </row>
    <row r="432" spans="1:13" ht="47.25">
      <c r="A432" s="97">
        <v>983</v>
      </c>
      <c r="B432" s="18" t="s">
        <v>5</v>
      </c>
      <c r="C432" s="21" t="s">
        <v>175</v>
      </c>
      <c r="D432" s="21" t="s">
        <v>955</v>
      </c>
      <c r="E432" s="20" t="s">
        <v>23</v>
      </c>
      <c r="F432" s="18" t="str">
        <f>B432</f>
        <v>ECE</v>
      </c>
      <c r="G432" s="86">
        <v>10000</v>
      </c>
      <c r="H432" s="92">
        <v>45569</v>
      </c>
      <c r="I432" s="87"/>
      <c r="J432" s="57"/>
      <c r="K432" s="92" t="s">
        <v>954</v>
      </c>
      <c r="L432" s="101">
        <v>65</v>
      </c>
      <c r="M432" s="85"/>
    </row>
    <row r="433" spans="1:13" ht="31.5">
      <c r="A433" s="97">
        <v>984</v>
      </c>
      <c r="B433" s="18" t="s">
        <v>5</v>
      </c>
      <c r="C433" s="21" t="s">
        <v>420</v>
      </c>
      <c r="D433" s="21" t="s">
        <v>953</v>
      </c>
      <c r="E433" s="20" t="s">
        <v>23</v>
      </c>
      <c r="F433" s="18" t="str">
        <f>B433</f>
        <v>ECE</v>
      </c>
      <c r="G433" s="86">
        <v>10000</v>
      </c>
      <c r="H433" s="92">
        <v>45569</v>
      </c>
      <c r="I433" s="87"/>
      <c r="J433" s="57"/>
      <c r="K433" s="92">
        <v>45544</v>
      </c>
      <c r="L433" s="101">
        <v>65</v>
      </c>
      <c r="M433" s="85"/>
    </row>
    <row r="434" spans="1:13" ht="31.5">
      <c r="A434" s="97">
        <v>985</v>
      </c>
      <c r="B434" s="18" t="s">
        <v>5</v>
      </c>
      <c r="C434" s="21" t="s">
        <v>951</v>
      </c>
      <c r="D434" s="21" t="s">
        <v>952</v>
      </c>
      <c r="E434" s="20" t="s">
        <v>23</v>
      </c>
      <c r="F434" s="18" t="str">
        <f>B434</f>
        <v>ECE</v>
      </c>
      <c r="G434" s="86">
        <v>7200</v>
      </c>
      <c r="H434" s="92">
        <v>45570</v>
      </c>
      <c r="I434" s="87"/>
      <c r="J434" s="57"/>
      <c r="K434" s="92" t="s">
        <v>948</v>
      </c>
      <c r="L434" s="101">
        <v>65</v>
      </c>
      <c r="M434" s="85"/>
    </row>
    <row r="435" spans="1:13" ht="31.5">
      <c r="A435" s="97">
        <v>986</v>
      </c>
      <c r="B435" s="18" t="s">
        <v>5</v>
      </c>
      <c r="C435" s="21" t="s">
        <v>951</v>
      </c>
      <c r="D435" s="21" t="s">
        <v>950</v>
      </c>
      <c r="E435" s="20" t="s">
        <v>23</v>
      </c>
      <c r="F435" s="18" t="str">
        <f>B435</f>
        <v>ECE</v>
      </c>
      <c r="G435" s="86">
        <v>10000</v>
      </c>
      <c r="H435" s="92">
        <v>45570</v>
      </c>
      <c r="I435" s="87"/>
      <c r="J435" s="57"/>
      <c r="K435" s="92">
        <v>45330</v>
      </c>
      <c r="L435" s="101">
        <v>65</v>
      </c>
      <c r="M435" s="85"/>
    </row>
    <row r="436" spans="1:13" ht="15.75">
      <c r="A436" s="97">
        <v>987</v>
      </c>
      <c r="B436" s="18" t="s">
        <v>0</v>
      </c>
      <c r="C436" s="21" t="s">
        <v>789</v>
      </c>
      <c r="D436" s="21" t="s">
        <v>949</v>
      </c>
      <c r="E436" s="20" t="s">
        <v>324</v>
      </c>
      <c r="F436" s="18" t="str">
        <f>B436</f>
        <v>Maths</v>
      </c>
      <c r="G436" s="86">
        <v>3000</v>
      </c>
      <c r="H436" s="92">
        <v>45569</v>
      </c>
      <c r="I436" s="87"/>
      <c r="J436" s="57"/>
      <c r="K436" s="92" t="s">
        <v>948</v>
      </c>
      <c r="L436" s="101">
        <v>65</v>
      </c>
      <c r="M436" s="85"/>
    </row>
    <row r="437" spans="1:13" ht="31.5">
      <c r="A437" s="97">
        <v>988</v>
      </c>
      <c r="B437" s="18" t="s">
        <v>0</v>
      </c>
      <c r="C437" s="21" t="s">
        <v>696</v>
      </c>
      <c r="D437" s="21" t="s">
        <v>947</v>
      </c>
      <c r="E437" s="20" t="s">
        <v>23</v>
      </c>
      <c r="F437" s="18" t="str">
        <f>B437</f>
        <v>Maths</v>
      </c>
      <c r="G437" s="86">
        <v>6000</v>
      </c>
      <c r="H437" s="92">
        <v>45569</v>
      </c>
      <c r="I437" s="87"/>
      <c r="J437" s="57"/>
      <c r="K437" s="92" t="s">
        <v>946</v>
      </c>
      <c r="L437" s="101">
        <v>65</v>
      </c>
      <c r="M437" s="85"/>
    </row>
    <row r="438" spans="1:13" ht="47.25">
      <c r="A438" s="97">
        <v>989</v>
      </c>
      <c r="B438" s="18" t="s">
        <v>1</v>
      </c>
      <c r="C438" s="21" t="s">
        <v>167</v>
      </c>
      <c r="D438" s="21" t="s">
        <v>945</v>
      </c>
      <c r="E438" s="20" t="s">
        <v>23</v>
      </c>
      <c r="F438" s="18" t="str">
        <f>B438</f>
        <v>S&amp;H</v>
      </c>
      <c r="G438" s="86">
        <v>6000</v>
      </c>
      <c r="H438" s="92">
        <v>45569</v>
      </c>
      <c r="I438" s="87"/>
      <c r="J438" s="57"/>
      <c r="K438" s="92" t="s">
        <v>944</v>
      </c>
      <c r="L438" s="101">
        <v>65</v>
      </c>
      <c r="M438" s="85"/>
    </row>
    <row r="439" spans="1:13" ht="15.75">
      <c r="A439" s="83">
        <v>990</v>
      </c>
      <c r="B439" s="18" t="s">
        <v>1</v>
      </c>
      <c r="C439" s="21" t="s">
        <v>167</v>
      </c>
      <c r="D439" s="21" t="s">
        <v>166</v>
      </c>
      <c r="E439" s="20" t="s">
        <v>193</v>
      </c>
      <c r="F439" s="18" t="str">
        <f>B439</f>
        <v>S&amp;H</v>
      </c>
      <c r="G439" s="86">
        <v>2000</v>
      </c>
      <c r="H439" s="92">
        <v>45569</v>
      </c>
      <c r="I439" s="87"/>
      <c r="J439" s="57"/>
      <c r="K439" s="92" t="s">
        <v>943</v>
      </c>
      <c r="L439" s="101">
        <v>65</v>
      </c>
      <c r="M439" s="85"/>
    </row>
    <row r="440" spans="1:13" ht="15.75">
      <c r="A440" s="83">
        <v>991</v>
      </c>
      <c r="B440" s="18" t="s">
        <v>2</v>
      </c>
      <c r="C440" s="21" t="s">
        <v>583</v>
      </c>
      <c r="D440" s="21" t="s">
        <v>319</v>
      </c>
      <c r="E440" s="20" t="s">
        <v>193</v>
      </c>
      <c r="F440" s="18" t="str">
        <f>B440</f>
        <v>Mech</v>
      </c>
      <c r="G440" s="86">
        <v>8000</v>
      </c>
      <c r="H440" s="92">
        <v>45569</v>
      </c>
      <c r="I440" s="87"/>
      <c r="J440" s="57"/>
      <c r="K440" s="92">
        <v>45452</v>
      </c>
      <c r="L440" s="101">
        <v>65</v>
      </c>
      <c r="M440" s="85"/>
    </row>
    <row r="441" spans="1:13" ht="31.5">
      <c r="A441" s="97">
        <v>992</v>
      </c>
      <c r="B441" s="18" t="s">
        <v>2</v>
      </c>
      <c r="C441" s="21" t="s">
        <v>93</v>
      </c>
      <c r="D441" s="21" t="s">
        <v>942</v>
      </c>
      <c r="E441" s="20" t="s">
        <v>324</v>
      </c>
      <c r="F441" s="18" t="str">
        <f>B441</f>
        <v>Mech</v>
      </c>
      <c r="G441" s="86">
        <v>3000</v>
      </c>
      <c r="H441" s="92">
        <v>45569</v>
      </c>
      <c r="I441" s="87"/>
      <c r="J441" s="57"/>
      <c r="K441" s="92" t="s">
        <v>941</v>
      </c>
      <c r="L441" s="101">
        <v>65</v>
      </c>
      <c r="M441" s="85"/>
    </row>
    <row r="442" spans="1:13" ht="15.75">
      <c r="A442" s="83">
        <v>993</v>
      </c>
      <c r="B442" s="18" t="s">
        <v>2</v>
      </c>
      <c r="C442" s="21" t="s">
        <v>93</v>
      </c>
      <c r="D442" s="21" t="s">
        <v>239</v>
      </c>
      <c r="E442" s="20" t="s">
        <v>193</v>
      </c>
      <c r="F442" s="18" t="str">
        <f>B442</f>
        <v>Mech</v>
      </c>
      <c r="G442" s="86">
        <v>6000</v>
      </c>
      <c r="H442" s="92">
        <v>45569</v>
      </c>
      <c r="I442" s="87"/>
      <c r="J442" s="57"/>
      <c r="K442" s="92">
        <v>45300</v>
      </c>
      <c r="L442" s="101">
        <v>65</v>
      </c>
      <c r="M442" s="85"/>
    </row>
    <row r="443" spans="1:13" ht="31.5">
      <c r="A443" s="97">
        <v>994</v>
      </c>
      <c r="B443" s="18" t="s">
        <v>6</v>
      </c>
      <c r="C443" s="21" t="s">
        <v>181</v>
      </c>
      <c r="D443" s="21" t="s">
        <v>940</v>
      </c>
      <c r="E443" s="20" t="s">
        <v>16</v>
      </c>
      <c r="F443" s="18" t="str">
        <f>B443</f>
        <v>CSE</v>
      </c>
      <c r="G443" s="86">
        <v>1800</v>
      </c>
      <c r="H443" s="92">
        <v>45569</v>
      </c>
      <c r="I443" s="87"/>
      <c r="J443" s="57"/>
      <c r="K443" s="92" t="s">
        <v>939</v>
      </c>
      <c r="L443" s="101">
        <v>65</v>
      </c>
      <c r="M443" s="85"/>
    </row>
    <row r="444" spans="1:13" ht="15.75">
      <c r="A444" s="83">
        <v>995</v>
      </c>
      <c r="B444" s="18" t="s">
        <v>6</v>
      </c>
      <c r="C444" s="21" t="s">
        <v>181</v>
      </c>
      <c r="D444" s="21" t="s">
        <v>737</v>
      </c>
      <c r="E444" s="20" t="s">
        <v>193</v>
      </c>
      <c r="F444" s="18" t="str">
        <f>B444</f>
        <v>CSE</v>
      </c>
      <c r="G444" s="86">
        <v>10000</v>
      </c>
      <c r="H444" s="92">
        <v>45569</v>
      </c>
      <c r="I444" s="87"/>
      <c r="J444" s="57"/>
      <c r="K444" s="92" t="s">
        <v>939</v>
      </c>
      <c r="L444" s="101">
        <v>65</v>
      </c>
      <c r="M444" s="85"/>
    </row>
    <row r="445" spans="1:13" ht="15.75">
      <c r="A445" s="46"/>
      <c r="B445" s="46"/>
      <c r="C445" s="46"/>
      <c r="D445" s="46" t="s">
        <v>11</v>
      </c>
      <c r="E445" s="42"/>
      <c r="F445" s="90"/>
      <c r="G445" s="89">
        <f>SUM(G427:G444)</f>
        <v>117900</v>
      </c>
      <c r="H445" s="42" t="s">
        <v>718</v>
      </c>
      <c r="I445" s="42"/>
      <c r="J445" s="45">
        <f>G445</f>
        <v>117900</v>
      </c>
      <c r="K445" s="42"/>
      <c r="L445" s="46">
        <v>65</v>
      </c>
      <c r="M445" s="88"/>
    </row>
    <row r="446" spans="1:13" ht="15.75">
      <c r="A446" s="97">
        <v>996</v>
      </c>
      <c r="B446" s="18" t="s">
        <v>758</v>
      </c>
      <c r="C446" s="21" t="s">
        <v>918</v>
      </c>
      <c r="D446" s="21" t="s">
        <v>938</v>
      </c>
      <c r="E446" s="20" t="s">
        <v>187</v>
      </c>
      <c r="F446" s="18" t="str">
        <f>B446</f>
        <v>AI-ML</v>
      </c>
      <c r="G446" s="86">
        <v>1800</v>
      </c>
      <c r="H446" s="92">
        <v>45586</v>
      </c>
      <c r="I446" s="87"/>
      <c r="J446" s="57"/>
      <c r="K446" s="95">
        <v>45573</v>
      </c>
      <c r="L446" s="86">
        <v>66</v>
      </c>
      <c r="M446" s="85"/>
    </row>
    <row r="447" spans="1:13" ht="31.5">
      <c r="A447" s="97">
        <v>997</v>
      </c>
      <c r="B447" s="18" t="s">
        <v>6</v>
      </c>
      <c r="C447" s="21" t="s">
        <v>479</v>
      </c>
      <c r="D447" s="21" t="s">
        <v>937</v>
      </c>
      <c r="E447" s="20" t="s">
        <v>16</v>
      </c>
      <c r="F447" s="18" t="str">
        <f>B447</f>
        <v>CSE</v>
      </c>
      <c r="G447" s="86">
        <v>1800</v>
      </c>
      <c r="H447" s="92">
        <v>45586</v>
      </c>
      <c r="I447" s="87"/>
      <c r="J447" s="57"/>
      <c r="K447" s="86" t="s">
        <v>921</v>
      </c>
      <c r="L447" s="86">
        <v>66</v>
      </c>
      <c r="M447" s="85"/>
    </row>
    <row r="448" spans="1:13" ht="31.5">
      <c r="A448" s="97">
        <v>998</v>
      </c>
      <c r="B448" s="18" t="s">
        <v>6</v>
      </c>
      <c r="C448" s="21" t="s">
        <v>479</v>
      </c>
      <c r="D448" s="21" t="s">
        <v>936</v>
      </c>
      <c r="E448" s="20" t="s">
        <v>16</v>
      </c>
      <c r="F448" s="18" t="str">
        <f>B448</f>
        <v>CSE</v>
      </c>
      <c r="G448" s="86">
        <v>1800</v>
      </c>
      <c r="H448" s="92">
        <v>45586</v>
      </c>
      <c r="I448" s="87"/>
      <c r="J448" s="57"/>
      <c r="K448" s="86" t="s">
        <v>921</v>
      </c>
      <c r="L448" s="86">
        <v>66</v>
      </c>
      <c r="M448" s="85"/>
    </row>
    <row r="449" spans="1:13" ht="31.5">
      <c r="A449" s="97">
        <v>999</v>
      </c>
      <c r="B449" s="18" t="s">
        <v>6</v>
      </c>
      <c r="C449" s="21" t="s">
        <v>479</v>
      </c>
      <c r="D449" s="21" t="s">
        <v>935</v>
      </c>
      <c r="E449" s="20" t="s">
        <v>16</v>
      </c>
      <c r="F449" s="18" t="str">
        <f>B449</f>
        <v>CSE</v>
      </c>
      <c r="G449" s="86">
        <v>1800</v>
      </c>
      <c r="H449" s="92">
        <v>45586</v>
      </c>
      <c r="I449" s="87"/>
      <c r="J449" s="57"/>
      <c r="K449" s="86" t="s">
        <v>934</v>
      </c>
      <c r="L449" s="86">
        <v>66</v>
      </c>
      <c r="M449" s="85"/>
    </row>
    <row r="450" spans="1:13" ht="47.25">
      <c r="A450" s="97">
        <v>1000</v>
      </c>
      <c r="B450" s="18" t="s">
        <v>6</v>
      </c>
      <c r="C450" s="21" t="s">
        <v>479</v>
      </c>
      <c r="D450" s="21" t="s">
        <v>933</v>
      </c>
      <c r="E450" s="20" t="s">
        <v>187</v>
      </c>
      <c r="F450" s="18" t="str">
        <f>B450</f>
        <v>CSE</v>
      </c>
      <c r="G450" s="86">
        <v>1800</v>
      </c>
      <c r="H450" s="92">
        <v>45586</v>
      </c>
      <c r="I450" s="87"/>
      <c r="J450" s="57"/>
      <c r="K450" s="99">
        <v>45505</v>
      </c>
      <c r="L450" s="86">
        <v>66</v>
      </c>
      <c r="M450" s="85"/>
    </row>
    <row r="451" spans="1:13" ht="47.25">
      <c r="A451" s="97">
        <v>1001</v>
      </c>
      <c r="B451" s="18" t="s">
        <v>5</v>
      </c>
      <c r="C451" s="21" t="s">
        <v>831</v>
      </c>
      <c r="D451" s="21" t="s">
        <v>932</v>
      </c>
      <c r="E451" s="20" t="s">
        <v>16</v>
      </c>
      <c r="F451" s="18" t="str">
        <f>B451</f>
        <v>ECE</v>
      </c>
      <c r="G451" s="86">
        <v>1800</v>
      </c>
      <c r="H451" s="92">
        <v>45586</v>
      </c>
      <c r="I451" s="87"/>
      <c r="J451" s="57"/>
      <c r="K451" s="86" t="s">
        <v>930</v>
      </c>
      <c r="L451" s="86">
        <v>66</v>
      </c>
      <c r="M451" s="85"/>
    </row>
    <row r="452" spans="1:13" ht="31.5">
      <c r="A452" s="97">
        <v>1002</v>
      </c>
      <c r="B452" s="18" t="s">
        <v>5</v>
      </c>
      <c r="C452" s="21" t="s">
        <v>831</v>
      </c>
      <c r="D452" s="21" t="s">
        <v>931</v>
      </c>
      <c r="E452" s="20" t="s">
        <v>16</v>
      </c>
      <c r="F452" s="18" t="str">
        <f>B452</f>
        <v>ECE</v>
      </c>
      <c r="G452" s="86">
        <v>1800</v>
      </c>
      <c r="H452" s="92">
        <v>45586</v>
      </c>
      <c r="I452" s="87"/>
      <c r="J452" s="57"/>
      <c r="K452" s="86" t="s">
        <v>930</v>
      </c>
      <c r="L452" s="86">
        <v>66</v>
      </c>
      <c r="M452" s="85"/>
    </row>
    <row r="453" spans="1:13" ht="31.5">
      <c r="A453" s="97">
        <v>1003</v>
      </c>
      <c r="B453" s="18" t="s">
        <v>0</v>
      </c>
      <c r="C453" s="21" t="s">
        <v>720</v>
      </c>
      <c r="D453" s="21" t="s">
        <v>929</v>
      </c>
      <c r="E453" s="20" t="s">
        <v>16</v>
      </c>
      <c r="F453" s="18" t="str">
        <f>B453</f>
        <v>Maths</v>
      </c>
      <c r="G453" s="86">
        <v>1800</v>
      </c>
      <c r="H453" s="92">
        <v>45586</v>
      </c>
      <c r="I453" s="87"/>
      <c r="J453" s="57"/>
      <c r="K453" s="95">
        <v>45419</v>
      </c>
      <c r="L453" s="86">
        <v>66</v>
      </c>
      <c r="M453" s="85"/>
    </row>
    <row r="454" spans="1:13" ht="31.5">
      <c r="A454" s="97">
        <v>1004</v>
      </c>
      <c r="B454" s="18" t="s">
        <v>0</v>
      </c>
      <c r="C454" s="21" t="s">
        <v>126</v>
      </c>
      <c r="D454" s="21" t="s">
        <v>928</v>
      </c>
      <c r="E454" s="20" t="s">
        <v>23</v>
      </c>
      <c r="F454" s="18" t="str">
        <f>B454</f>
        <v>Maths</v>
      </c>
      <c r="G454" s="86">
        <v>10000</v>
      </c>
      <c r="H454" s="92">
        <v>45586</v>
      </c>
      <c r="I454" s="87"/>
      <c r="J454" s="57"/>
      <c r="K454" s="95">
        <v>45635</v>
      </c>
      <c r="L454" s="86">
        <v>66</v>
      </c>
      <c r="M454" s="85"/>
    </row>
    <row r="455" spans="1:13" ht="15.75">
      <c r="A455" s="83">
        <v>1005</v>
      </c>
      <c r="B455" s="18" t="s">
        <v>0</v>
      </c>
      <c r="C455" s="21" t="s">
        <v>126</v>
      </c>
      <c r="D455" s="21" t="s">
        <v>198</v>
      </c>
      <c r="E455" s="20" t="s">
        <v>193</v>
      </c>
      <c r="F455" s="18" t="str">
        <f>B455</f>
        <v>Maths</v>
      </c>
      <c r="G455" s="86">
        <v>4000</v>
      </c>
      <c r="H455" s="92">
        <v>45586</v>
      </c>
      <c r="I455" s="87"/>
      <c r="J455" s="57"/>
      <c r="K455" s="95">
        <v>45422</v>
      </c>
      <c r="L455" s="86">
        <v>66</v>
      </c>
      <c r="M455" s="85"/>
    </row>
    <row r="456" spans="1:13" ht="15.75">
      <c r="A456" s="46"/>
      <c r="B456" s="46"/>
      <c r="C456" s="46"/>
      <c r="D456" s="46" t="s">
        <v>11</v>
      </c>
      <c r="E456" s="42"/>
      <c r="F456" s="90"/>
      <c r="G456" s="89">
        <f>SUM(G446:G455)</f>
        <v>28400</v>
      </c>
      <c r="H456" s="42" t="s">
        <v>718</v>
      </c>
      <c r="I456" s="42"/>
      <c r="J456" s="45">
        <f>G456</f>
        <v>28400</v>
      </c>
      <c r="K456" s="42"/>
      <c r="L456" s="46">
        <v>66</v>
      </c>
      <c r="M456" s="88"/>
    </row>
    <row r="457" spans="1:13" ht="31.5">
      <c r="A457" s="97">
        <v>1006</v>
      </c>
      <c r="B457" s="18" t="s">
        <v>6</v>
      </c>
      <c r="C457" s="21" t="s">
        <v>835</v>
      </c>
      <c r="D457" s="21" t="s">
        <v>927</v>
      </c>
      <c r="E457" s="20" t="s">
        <v>16</v>
      </c>
      <c r="F457" s="18" t="str">
        <f>B457</f>
        <v>CSE</v>
      </c>
      <c r="G457" s="86">
        <v>3000</v>
      </c>
      <c r="H457" s="92">
        <v>45610</v>
      </c>
      <c r="I457" s="87"/>
      <c r="J457" s="57"/>
      <c r="K457" s="86" t="s">
        <v>926</v>
      </c>
      <c r="L457" s="86">
        <v>67</v>
      </c>
      <c r="M457" s="85"/>
    </row>
    <row r="458" spans="1:13" ht="31.5">
      <c r="A458" s="97">
        <v>1007</v>
      </c>
      <c r="B458" s="18" t="s">
        <v>5</v>
      </c>
      <c r="C458" s="21" t="s">
        <v>901</v>
      </c>
      <c r="D458" s="21" t="s">
        <v>925</v>
      </c>
      <c r="E458" s="20" t="s">
        <v>23</v>
      </c>
      <c r="F458" s="18" t="str">
        <f>B458</f>
        <v>ECE</v>
      </c>
      <c r="G458" s="86">
        <v>6000</v>
      </c>
      <c r="H458" s="92">
        <v>45610</v>
      </c>
      <c r="I458" s="87"/>
      <c r="J458" s="57"/>
      <c r="K458" s="95">
        <v>45571</v>
      </c>
      <c r="L458" s="86">
        <v>67</v>
      </c>
      <c r="M458" s="85"/>
    </row>
    <row r="459" spans="1:13" ht="31.5">
      <c r="A459" s="97">
        <v>1008</v>
      </c>
      <c r="B459" s="18" t="s">
        <v>5</v>
      </c>
      <c r="C459" s="21" t="s">
        <v>901</v>
      </c>
      <c r="D459" s="21" t="s">
        <v>924</v>
      </c>
      <c r="E459" s="20" t="s">
        <v>23</v>
      </c>
      <c r="F459" s="18" t="str">
        <f>B459</f>
        <v>ECE</v>
      </c>
      <c r="G459" s="86">
        <v>6000</v>
      </c>
      <c r="H459" s="92">
        <v>45610</v>
      </c>
      <c r="I459" s="87"/>
      <c r="J459" s="57"/>
      <c r="K459" s="86" t="s">
        <v>923</v>
      </c>
      <c r="L459" s="86">
        <v>67</v>
      </c>
      <c r="M459" s="85"/>
    </row>
    <row r="460" spans="1:13" ht="47.25">
      <c r="A460" s="97">
        <v>1009</v>
      </c>
      <c r="B460" s="18" t="s">
        <v>5</v>
      </c>
      <c r="C460" s="21" t="s">
        <v>901</v>
      </c>
      <c r="D460" s="21" t="s">
        <v>922</v>
      </c>
      <c r="E460" s="20" t="s">
        <v>23</v>
      </c>
      <c r="F460" s="18" t="str">
        <f>B460</f>
        <v>ECE</v>
      </c>
      <c r="G460" s="86">
        <v>6000</v>
      </c>
      <c r="H460" s="92">
        <v>45610</v>
      </c>
      <c r="I460" s="87"/>
      <c r="J460" s="57"/>
      <c r="K460" s="86" t="s">
        <v>921</v>
      </c>
      <c r="L460" s="86">
        <v>67</v>
      </c>
      <c r="M460" s="85"/>
    </row>
    <row r="461" spans="1:13" ht="31.5">
      <c r="A461" s="97">
        <v>1010</v>
      </c>
      <c r="B461" s="18" t="s">
        <v>5</v>
      </c>
      <c r="C461" s="21" t="s">
        <v>901</v>
      </c>
      <c r="D461" s="21" t="s">
        <v>920</v>
      </c>
      <c r="E461" s="20" t="s">
        <v>324</v>
      </c>
      <c r="F461" s="18" t="str">
        <f>B461</f>
        <v>ECE</v>
      </c>
      <c r="G461" s="86">
        <v>3000</v>
      </c>
      <c r="H461" s="92">
        <v>45610</v>
      </c>
      <c r="I461" s="87"/>
      <c r="J461" s="57"/>
      <c r="K461" s="95">
        <v>45571</v>
      </c>
      <c r="L461" s="86">
        <v>67</v>
      </c>
      <c r="M461" s="85"/>
    </row>
    <row r="462" spans="1:13" ht="31.5">
      <c r="A462" s="97">
        <v>1011</v>
      </c>
      <c r="B462" s="18" t="s">
        <v>5</v>
      </c>
      <c r="C462" s="21" t="s">
        <v>901</v>
      </c>
      <c r="D462" s="21" t="s">
        <v>919</v>
      </c>
      <c r="E462" s="20" t="s">
        <v>16</v>
      </c>
      <c r="F462" s="18" t="str">
        <f>B462</f>
        <v>ECE</v>
      </c>
      <c r="G462" s="86">
        <v>1800</v>
      </c>
      <c r="H462" s="92">
        <v>45610</v>
      </c>
      <c r="I462" s="87"/>
      <c r="J462" s="57"/>
      <c r="K462" s="86" t="s">
        <v>857</v>
      </c>
      <c r="L462" s="86">
        <v>67</v>
      </c>
      <c r="M462" s="85"/>
    </row>
    <row r="463" spans="1:13" ht="31.5">
      <c r="A463" s="97">
        <v>1012</v>
      </c>
      <c r="B463" s="18" t="s">
        <v>758</v>
      </c>
      <c r="C463" s="21" t="s">
        <v>918</v>
      </c>
      <c r="D463" s="21" t="s">
        <v>917</v>
      </c>
      <c r="E463" s="20" t="s">
        <v>23</v>
      </c>
      <c r="F463" s="18" t="str">
        <f>B463</f>
        <v>AI-ML</v>
      </c>
      <c r="G463" s="86">
        <v>6000</v>
      </c>
      <c r="H463" s="92">
        <v>45610</v>
      </c>
      <c r="I463" s="87"/>
      <c r="J463" s="57"/>
      <c r="K463" s="96">
        <v>45575</v>
      </c>
      <c r="L463" s="86">
        <v>67</v>
      </c>
      <c r="M463" s="85"/>
    </row>
    <row r="464" spans="1:13" ht="31.5">
      <c r="A464" s="97">
        <v>1013</v>
      </c>
      <c r="B464" s="18" t="s">
        <v>5</v>
      </c>
      <c r="C464" s="21" t="s">
        <v>72</v>
      </c>
      <c r="D464" s="21" t="s">
        <v>916</v>
      </c>
      <c r="E464" s="20" t="s">
        <v>16</v>
      </c>
      <c r="F464" s="18" t="str">
        <f>B464</f>
        <v>ECE</v>
      </c>
      <c r="G464" s="86">
        <v>3000</v>
      </c>
      <c r="H464" s="92">
        <v>45610</v>
      </c>
      <c r="I464" s="87"/>
      <c r="J464" s="57"/>
      <c r="K464" s="86" t="s">
        <v>915</v>
      </c>
      <c r="L464" s="86">
        <v>67</v>
      </c>
      <c r="M464" s="85"/>
    </row>
    <row r="465" spans="1:13" ht="15.75">
      <c r="A465" s="83">
        <v>1014</v>
      </c>
      <c r="B465" s="18" t="s">
        <v>5</v>
      </c>
      <c r="C465" s="21" t="s">
        <v>72</v>
      </c>
      <c r="D465" s="21" t="s">
        <v>319</v>
      </c>
      <c r="E465" s="20" t="s">
        <v>193</v>
      </c>
      <c r="F465" s="18" t="str">
        <f>B465</f>
        <v>ECE</v>
      </c>
      <c r="G465" s="86">
        <v>8000</v>
      </c>
      <c r="H465" s="92">
        <v>45610</v>
      </c>
      <c r="I465" s="87"/>
      <c r="J465" s="57"/>
      <c r="K465" s="86" t="s">
        <v>914</v>
      </c>
      <c r="L465" s="86">
        <v>67</v>
      </c>
      <c r="M465" s="85"/>
    </row>
    <row r="466" spans="1:13" ht="31.5">
      <c r="A466" s="97">
        <v>1015</v>
      </c>
      <c r="B466" s="18" t="s">
        <v>0</v>
      </c>
      <c r="C466" s="21" t="s">
        <v>902</v>
      </c>
      <c r="D466" s="21" t="s">
        <v>913</v>
      </c>
      <c r="E466" s="20" t="s">
        <v>23</v>
      </c>
      <c r="F466" s="18" t="str">
        <f>B466</f>
        <v>Maths</v>
      </c>
      <c r="G466" s="86">
        <v>10000</v>
      </c>
      <c r="H466" s="92">
        <v>45610</v>
      </c>
      <c r="I466" s="87"/>
      <c r="J466" s="57"/>
      <c r="K466" s="86" t="s">
        <v>912</v>
      </c>
      <c r="L466" s="86">
        <v>67</v>
      </c>
      <c r="M466" s="85"/>
    </row>
    <row r="467" spans="1:13" ht="15.75">
      <c r="A467" s="83">
        <v>1016</v>
      </c>
      <c r="B467" s="18" t="s">
        <v>1</v>
      </c>
      <c r="C467" s="21" t="s">
        <v>140</v>
      </c>
      <c r="D467" s="21" t="s">
        <v>166</v>
      </c>
      <c r="E467" s="20" t="s">
        <v>193</v>
      </c>
      <c r="F467" s="18" t="str">
        <f>B467</f>
        <v>S&amp;H</v>
      </c>
      <c r="G467" s="86">
        <v>2000</v>
      </c>
      <c r="H467" s="92">
        <v>45610</v>
      </c>
      <c r="I467" s="87"/>
      <c r="J467" s="57"/>
      <c r="K467" s="86" t="s">
        <v>889</v>
      </c>
      <c r="L467" s="86">
        <v>67</v>
      </c>
      <c r="M467" s="85"/>
    </row>
    <row r="468" spans="1:13" ht="15.75">
      <c r="A468" s="83">
        <v>1017</v>
      </c>
      <c r="B468" s="18" t="s">
        <v>5</v>
      </c>
      <c r="C468" s="21" t="s">
        <v>18</v>
      </c>
      <c r="D468" s="21" t="s">
        <v>319</v>
      </c>
      <c r="E468" s="20" t="s">
        <v>193</v>
      </c>
      <c r="F468" s="18" t="str">
        <f>B468</f>
        <v>ECE</v>
      </c>
      <c r="G468" s="86">
        <v>8000</v>
      </c>
      <c r="H468" s="92">
        <v>45610</v>
      </c>
      <c r="I468" s="87"/>
      <c r="J468" s="57"/>
      <c r="K468" s="86" t="s">
        <v>887</v>
      </c>
      <c r="L468" s="86">
        <v>67</v>
      </c>
      <c r="M468" s="85"/>
    </row>
    <row r="469" spans="1:13" ht="15.75">
      <c r="A469" s="83">
        <v>1018</v>
      </c>
      <c r="B469" s="18" t="s">
        <v>4</v>
      </c>
      <c r="C469" s="21" t="s">
        <v>911</v>
      </c>
      <c r="D469" s="21" t="s">
        <v>725</v>
      </c>
      <c r="E469" s="20" t="s">
        <v>193</v>
      </c>
      <c r="F469" s="18" t="str">
        <f>B469</f>
        <v>EEE</v>
      </c>
      <c r="G469" s="86">
        <v>12000</v>
      </c>
      <c r="H469" s="92">
        <v>45610</v>
      </c>
      <c r="I469" s="87"/>
      <c r="J469" s="57"/>
      <c r="K469" s="86" t="s">
        <v>887</v>
      </c>
      <c r="L469" s="86">
        <v>67</v>
      </c>
      <c r="M469" s="85"/>
    </row>
    <row r="470" spans="1:13" ht="31.5">
      <c r="A470" s="97">
        <v>1019</v>
      </c>
      <c r="B470" s="18" t="s">
        <v>2</v>
      </c>
      <c r="C470" s="21" t="s">
        <v>583</v>
      </c>
      <c r="D470" s="21" t="s">
        <v>910</v>
      </c>
      <c r="E470" s="20" t="s">
        <v>23</v>
      </c>
      <c r="F470" s="18" t="str">
        <f>B470</f>
        <v>Mech</v>
      </c>
      <c r="G470" s="86">
        <v>6000</v>
      </c>
      <c r="H470" s="92">
        <v>45610</v>
      </c>
      <c r="I470" s="87"/>
      <c r="J470" s="57"/>
      <c r="K470" s="86" t="s">
        <v>903</v>
      </c>
      <c r="L470" s="86">
        <v>67</v>
      </c>
      <c r="M470" s="85"/>
    </row>
    <row r="471" spans="1:13" ht="47.25">
      <c r="A471" s="97">
        <v>1020</v>
      </c>
      <c r="B471" s="18" t="s">
        <v>2</v>
      </c>
      <c r="C471" s="21" t="s">
        <v>583</v>
      </c>
      <c r="D471" s="21" t="s">
        <v>909</v>
      </c>
      <c r="E471" s="20" t="s">
        <v>23</v>
      </c>
      <c r="F471" s="18" t="str">
        <f>B471</f>
        <v>Mech</v>
      </c>
      <c r="G471" s="86">
        <v>10000</v>
      </c>
      <c r="H471" s="92">
        <v>45610</v>
      </c>
      <c r="I471" s="87"/>
      <c r="J471" s="57"/>
      <c r="K471" s="86" t="s">
        <v>903</v>
      </c>
      <c r="L471" s="86">
        <v>67</v>
      </c>
      <c r="M471" s="85"/>
    </row>
    <row r="472" spans="1:13" ht="31.5">
      <c r="A472" s="97">
        <v>1021</v>
      </c>
      <c r="B472" s="18" t="s">
        <v>2</v>
      </c>
      <c r="C472" s="21" t="s">
        <v>583</v>
      </c>
      <c r="D472" s="21" t="s">
        <v>908</v>
      </c>
      <c r="E472" s="20" t="s">
        <v>324</v>
      </c>
      <c r="F472" s="18" t="str">
        <f>B472</f>
        <v>Mech</v>
      </c>
      <c r="G472" s="86">
        <v>3000</v>
      </c>
      <c r="H472" s="92">
        <v>45610</v>
      </c>
      <c r="I472" s="87"/>
      <c r="J472" s="57"/>
      <c r="K472" s="86" t="s">
        <v>903</v>
      </c>
      <c r="L472" s="86">
        <v>67</v>
      </c>
      <c r="M472" s="85"/>
    </row>
    <row r="473" spans="1:13" ht="31.5">
      <c r="A473" s="97">
        <v>1022</v>
      </c>
      <c r="B473" s="18" t="s">
        <v>2</v>
      </c>
      <c r="C473" s="21" t="s">
        <v>583</v>
      </c>
      <c r="D473" s="21" t="s">
        <v>907</v>
      </c>
      <c r="E473" s="20" t="s">
        <v>324</v>
      </c>
      <c r="F473" s="18" t="str">
        <f>B473</f>
        <v>Mech</v>
      </c>
      <c r="G473" s="86">
        <v>5000</v>
      </c>
      <c r="H473" s="92">
        <v>45610</v>
      </c>
      <c r="I473" s="87"/>
      <c r="J473" s="57"/>
      <c r="K473" s="86" t="s">
        <v>903</v>
      </c>
      <c r="L473" s="86">
        <v>67</v>
      </c>
      <c r="M473" s="85"/>
    </row>
    <row r="474" spans="1:13" ht="31.5">
      <c r="A474" s="97">
        <v>1023</v>
      </c>
      <c r="B474" s="18" t="s">
        <v>2</v>
      </c>
      <c r="C474" s="21" t="s">
        <v>583</v>
      </c>
      <c r="D474" s="21" t="s">
        <v>906</v>
      </c>
      <c r="E474" s="20" t="s">
        <v>324</v>
      </c>
      <c r="F474" s="18" t="str">
        <f>B474</f>
        <v>Mech</v>
      </c>
      <c r="G474" s="86">
        <v>5000</v>
      </c>
      <c r="H474" s="92">
        <v>45610</v>
      </c>
      <c r="I474" s="87"/>
      <c r="J474" s="57"/>
      <c r="K474" s="86" t="s">
        <v>903</v>
      </c>
      <c r="L474" s="86">
        <v>67</v>
      </c>
      <c r="M474" s="85"/>
    </row>
    <row r="475" spans="1:13" ht="31.5">
      <c r="A475" s="97">
        <v>1024</v>
      </c>
      <c r="B475" s="18" t="s">
        <v>2</v>
      </c>
      <c r="C475" s="21" t="s">
        <v>583</v>
      </c>
      <c r="D475" s="21" t="s">
        <v>905</v>
      </c>
      <c r="E475" s="20" t="s">
        <v>324</v>
      </c>
      <c r="F475" s="18" t="str">
        <f>B475</f>
        <v>Mech</v>
      </c>
      <c r="G475" s="86">
        <v>3000</v>
      </c>
      <c r="H475" s="92">
        <v>45610</v>
      </c>
      <c r="I475" s="87"/>
      <c r="J475" s="57"/>
      <c r="K475" s="86" t="s">
        <v>903</v>
      </c>
      <c r="L475" s="86">
        <v>67</v>
      </c>
      <c r="M475" s="85"/>
    </row>
    <row r="476" spans="1:13" ht="31.5">
      <c r="A476" s="97">
        <v>1025</v>
      </c>
      <c r="B476" s="18" t="s">
        <v>2</v>
      </c>
      <c r="C476" s="21" t="s">
        <v>583</v>
      </c>
      <c r="D476" s="21" t="s">
        <v>904</v>
      </c>
      <c r="E476" s="20" t="s">
        <v>324</v>
      </c>
      <c r="F476" s="18" t="str">
        <f>B476</f>
        <v>Mech</v>
      </c>
      <c r="G476" s="86">
        <v>3000</v>
      </c>
      <c r="H476" s="92">
        <v>45610</v>
      </c>
      <c r="I476" s="87"/>
      <c r="J476" s="57"/>
      <c r="K476" s="86" t="s">
        <v>903</v>
      </c>
      <c r="L476" s="86">
        <v>67</v>
      </c>
      <c r="M476" s="85"/>
    </row>
    <row r="477" spans="1:13" ht="15.75">
      <c r="A477" s="97">
        <v>1026</v>
      </c>
      <c r="B477" s="18" t="s">
        <v>0</v>
      </c>
      <c r="C477" s="21" t="s">
        <v>902</v>
      </c>
      <c r="D477" s="21" t="s">
        <v>166</v>
      </c>
      <c r="E477" s="20" t="s">
        <v>193</v>
      </c>
      <c r="F477" s="18" t="str">
        <f>B477</f>
        <v>Maths</v>
      </c>
      <c r="G477" s="86">
        <v>2000</v>
      </c>
      <c r="H477" s="92">
        <v>45610</v>
      </c>
      <c r="I477" s="87"/>
      <c r="J477" s="57"/>
      <c r="K477" s="86" t="s">
        <v>768</v>
      </c>
      <c r="L477" s="86">
        <v>67</v>
      </c>
      <c r="M477" s="85"/>
    </row>
    <row r="478" spans="1:13" ht="31.5">
      <c r="A478" s="83">
        <v>1027</v>
      </c>
      <c r="B478" s="18" t="s">
        <v>5</v>
      </c>
      <c r="C478" s="21" t="s">
        <v>901</v>
      </c>
      <c r="D478" s="21" t="s">
        <v>900</v>
      </c>
      <c r="E478" s="20" t="s">
        <v>23</v>
      </c>
      <c r="F478" s="18" t="str">
        <f>B478</f>
        <v>ECE</v>
      </c>
      <c r="G478" s="86">
        <v>6000</v>
      </c>
      <c r="H478" s="92">
        <v>45610</v>
      </c>
      <c r="I478" s="87"/>
      <c r="J478" s="57"/>
      <c r="K478" s="95">
        <v>45570</v>
      </c>
      <c r="L478" s="86">
        <v>67</v>
      </c>
      <c r="M478" s="85"/>
    </row>
    <row r="479" spans="1:13" ht="31.5">
      <c r="A479" s="97">
        <v>1028</v>
      </c>
      <c r="B479" s="18" t="s">
        <v>5</v>
      </c>
      <c r="C479" s="21" t="s">
        <v>899</v>
      </c>
      <c r="D479" s="21" t="s">
        <v>898</v>
      </c>
      <c r="E479" s="20" t="s">
        <v>324</v>
      </c>
      <c r="F479" s="18" t="str">
        <f>B479</f>
        <v>ECE</v>
      </c>
      <c r="G479" s="86">
        <v>3000</v>
      </c>
      <c r="H479" s="92">
        <v>45610</v>
      </c>
      <c r="I479" s="87"/>
      <c r="J479" s="57"/>
      <c r="K479" s="86" t="s">
        <v>897</v>
      </c>
      <c r="L479" s="86">
        <v>67</v>
      </c>
      <c r="M479" s="85"/>
    </row>
    <row r="480" spans="1:13" ht="15.75">
      <c r="A480" s="83">
        <v>1029</v>
      </c>
      <c r="B480" s="18" t="s">
        <v>5</v>
      </c>
      <c r="C480" s="21" t="s">
        <v>115</v>
      </c>
      <c r="D480" s="21" t="s">
        <v>737</v>
      </c>
      <c r="E480" s="20" t="s">
        <v>193</v>
      </c>
      <c r="F480" s="18" t="str">
        <f>B480</f>
        <v>ECE</v>
      </c>
      <c r="G480" s="86">
        <v>10000</v>
      </c>
      <c r="H480" s="92">
        <v>45610</v>
      </c>
      <c r="I480" s="87"/>
      <c r="J480" s="57"/>
      <c r="K480" s="95">
        <v>45393</v>
      </c>
      <c r="L480" s="86">
        <v>67</v>
      </c>
      <c r="M480" s="85"/>
    </row>
    <row r="481" spans="1:13" ht="31.5">
      <c r="A481" s="97">
        <v>1030</v>
      </c>
      <c r="B481" s="18" t="s">
        <v>4</v>
      </c>
      <c r="C481" s="21" t="s">
        <v>482</v>
      </c>
      <c r="D481" s="21" t="s">
        <v>896</v>
      </c>
      <c r="E481" s="20" t="s">
        <v>23</v>
      </c>
      <c r="F481" s="18" t="str">
        <f>B481</f>
        <v>EEE</v>
      </c>
      <c r="G481" s="86">
        <v>6000</v>
      </c>
      <c r="H481" s="92">
        <v>45610</v>
      </c>
      <c r="I481" s="87"/>
      <c r="J481" s="57"/>
      <c r="K481" s="86">
        <v>2023</v>
      </c>
      <c r="L481" s="86">
        <v>67</v>
      </c>
      <c r="M481" s="85"/>
    </row>
    <row r="482" spans="1:13" ht="31.5">
      <c r="A482" s="97">
        <v>1031</v>
      </c>
      <c r="B482" s="18" t="s">
        <v>4</v>
      </c>
      <c r="C482" s="21" t="s">
        <v>482</v>
      </c>
      <c r="D482" s="21" t="s">
        <v>895</v>
      </c>
      <c r="E482" s="20" t="s">
        <v>187</v>
      </c>
      <c r="F482" s="18" t="str">
        <f>B482</f>
        <v>EEE</v>
      </c>
      <c r="G482" s="86">
        <v>1800</v>
      </c>
      <c r="H482" s="92">
        <v>45610</v>
      </c>
      <c r="I482" s="87"/>
      <c r="J482" s="57"/>
      <c r="K482" s="86" t="s">
        <v>894</v>
      </c>
      <c r="L482" s="86">
        <v>67</v>
      </c>
      <c r="M482" s="85"/>
    </row>
    <row r="483" spans="1:13" ht="31.5">
      <c r="A483" s="97">
        <v>1032</v>
      </c>
      <c r="B483" s="18" t="s">
        <v>4</v>
      </c>
      <c r="C483" s="21" t="s">
        <v>482</v>
      </c>
      <c r="D483" s="21" t="s">
        <v>893</v>
      </c>
      <c r="E483" s="20" t="s">
        <v>16</v>
      </c>
      <c r="F483" s="18" t="str">
        <f>B483</f>
        <v>EEE</v>
      </c>
      <c r="G483" s="86">
        <v>900</v>
      </c>
      <c r="H483" s="92">
        <v>45610</v>
      </c>
      <c r="I483" s="87"/>
      <c r="J483" s="57"/>
      <c r="K483" s="95">
        <v>45420</v>
      </c>
      <c r="L483" s="86">
        <v>67</v>
      </c>
      <c r="M483" s="85"/>
    </row>
    <row r="484" spans="1:13" ht="31.5">
      <c r="A484" s="97">
        <v>1033</v>
      </c>
      <c r="B484" s="18" t="s">
        <v>4</v>
      </c>
      <c r="C484" s="21" t="s">
        <v>482</v>
      </c>
      <c r="D484" s="21" t="s">
        <v>892</v>
      </c>
      <c r="E484" s="20" t="s">
        <v>16</v>
      </c>
      <c r="F484" s="18" t="str">
        <f>B484</f>
        <v>EEE</v>
      </c>
      <c r="G484" s="86">
        <v>900</v>
      </c>
      <c r="H484" s="92">
        <v>45610</v>
      </c>
      <c r="I484" s="87"/>
      <c r="J484" s="57"/>
      <c r="K484" s="95">
        <v>45600</v>
      </c>
      <c r="L484" s="86">
        <v>67</v>
      </c>
      <c r="M484" s="85"/>
    </row>
    <row r="485" spans="1:13" ht="15.75">
      <c r="A485" s="97">
        <v>1034</v>
      </c>
      <c r="B485" s="18" t="s">
        <v>4</v>
      </c>
      <c r="C485" s="21" t="s">
        <v>482</v>
      </c>
      <c r="D485" s="21" t="s">
        <v>891</v>
      </c>
      <c r="E485" s="20" t="s">
        <v>16</v>
      </c>
      <c r="F485" s="18" t="str">
        <f>B485</f>
        <v>EEE</v>
      </c>
      <c r="G485" s="86">
        <v>1800</v>
      </c>
      <c r="H485" s="92">
        <v>45610</v>
      </c>
      <c r="I485" s="87"/>
      <c r="J485" s="57"/>
      <c r="K485" s="95">
        <v>45481</v>
      </c>
      <c r="L485" s="86">
        <v>67</v>
      </c>
      <c r="M485" s="85"/>
    </row>
    <row r="486" spans="1:13" ht="15.75">
      <c r="A486" s="83">
        <v>1035</v>
      </c>
      <c r="B486" s="18" t="s">
        <v>4</v>
      </c>
      <c r="C486" s="21" t="s">
        <v>482</v>
      </c>
      <c r="D486" s="21" t="s">
        <v>737</v>
      </c>
      <c r="E486" s="20" t="s">
        <v>193</v>
      </c>
      <c r="F486" s="18" t="str">
        <f>B486</f>
        <v>EEE</v>
      </c>
      <c r="G486" s="86">
        <v>10000</v>
      </c>
      <c r="H486" s="92">
        <v>45610</v>
      </c>
      <c r="I486" s="87"/>
      <c r="J486" s="57"/>
      <c r="K486" s="86" t="s">
        <v>827</v>
      </c>
      <c r="L486" s="86">
        <v>67</v>
      </c>
      <c r="M486" s="85"/>
    </row>
    <row r="487" spans="1:13" ht="31.5">
      <c r="A487" s="97">
        <v>1036</v>
      </c>
      <c r="B487" s="18" t="s">
        <v>5</v>
      </c>
      <c r="C487" s="21" t="s">
        <v>178</v>
      </c>
      <c r="D487" s="21" t="s">
        <v>890</v>
      </c>
      <c r="E487" s="20" t="s">
        <v>16</v>
      </c>
      <c r="F487" s="18" t="str">
        <f>B487</f>
        <v>ECE</v>
      </c>
      <c r="G487" s="86">
        <v>3000</v>
      </c>
      <c r="H487" s="92">
        <v>45610</v>
      </c>
      <c r="I487" s="87"/>
      <c r="J487" s="57"/>
      <c r="K487" s="86" t="s">
        <v>889</v>
      </c>
      <c r="L487" s="86">
        <v>67</v>
      </c>
      <c r="M487" s="85"/>
    </row>
    <row r="488" spans="1:13" ht="15.75">
      <c r="A488" s="83">
        <v>1037</v>
      </c>
      <c r="B488" s="18" t="s">
        <v>5</v>
      </c>
      <c r="C488" s="21" t="s">
        <v>178</v>
      </c>
      <c r="D488" s="21" t="s">
        <v>737</v>
      </c>
      <c r="E488" s="20" t="s">
        <v>193</v>
      </c>
      <c r="F488" s="18" t="str">
        <f>B488</f>
        <v>ECE</v>
      </c>
      <c r="G488" s="86">
        <v>10000</v>
      </c>
      <c r="H488" s="92">
        <v>45610</v>
      </c>
      <c r="I488" s="87"/>
      <c r="J488" s="57"/>
      <c r="K488" s="95">
        <v>45484</v>
      </c>
      <c r="L488" s="86">
        <v>67</v>
      </c>
      <c r="M488" s="85"/>
    </row>
    <row r="489" spans="1:13" ht="31.5">
      <c r="A489" s="83">
        <v>1038</v>
      </c>
      <c r="B489" s="18" t="s">
        <v>5</v>
      </c>
      <c r="C489" s="21" t="s">
        <v>170</v>
      </c>
      <c r="D489" s="21" t="s">
        <v>888</v>
      </c>
      <c r="E489" s="20" t="s">
        <v>16</v>
      </c>
      <c r="F489" s="18" t="str">
        <f>B489</f>
        <v>ECE</v>
      </c>
      <c r="G489" s="86">
        <v>3000</v>
      </c>
      <c r="H489" s="92">
        <v>45610</v>
      </c>
      <c r="I489" s="87"/>
      <c r="J489" s="57"/>
      <c r="K489" s="86" t="s">
        <v>887</v>
      </c>
      <c r="L489" s="86">
        <v>67</v>
      </c>
      <c r="M489" s="85"/>
    </row>
    <row r="490" spans="1:13" ht="15.75">
      <c r="A490" s="83">
        <v>1039</v>
      </c>
      <c r="B490" s="18" t="s">
        <v>5</v>
      </c>
      <c r="C490" s="21" t="s">
        <v>170</v>
      </c>
      <c r="D490" s="21" t="s">
        <v>198</v>
      </c>
      <c r="E490" s="20" t="s">
        <v>193</v>
      </c>
      <c r="F490" s="18" t="str">
        <f>B490</f>
        <v>ECE</v>
      </c>
      <c r="G490" s="86">
        <v>4000</v>
      </c>
      <c r="H490" s="92">
        <v>45610</v>
      </c>
      <c r="I490" s="87"/>
      <c r="J490" s="57"/>
      <c r="K490" s="95">
        <v>45454</v>
      </c>
      <c r="L490" s="86">
        <v>67</v>
      </c>
      <c r="M490" s="85"/>
    </row>
    <row r="491" spans="1:13" ht="47.25">
      <c r="A491" s="97">
        <v>1040</v>
      </c>
      <c r="B491" s="18" t="s">
        <v>0</v>
      </c>
      <c r="C491" s="21" t="s">
        <v>886</v>
      </c>
      <c r="D491" s="21" t="s">
        <v>885</v>
      </c>
      <c r="E491" s="20" t="s">
        <v>324</v>
      </c>
      <c r="F491" s="18" t="str">
        <f>B491</f>
        <v>Maths</v>
      </c>
      <c r="G491" s="86">
        <v>3000</v>
      </c>
      <c r="H491" s="92">
        <v>45610</v>
      </c>
      <c r="I491" s="87"/>
      <c r="J491" s="57"/>
      <c r="K491" s="86" t="s">
        <v>884</v>
      </c>
      <c r="L491" s="86">
        <v>67</v>
      </c>
      <c r="M491" s="85"/>
    </row>
    <row r="492" spans="1:13" ht="47.25">
      <c r="A492" s="97">
        <v>1041</v>
      </c>
      <c r="B492" s="18" t="s">
        <v>5</v>
      </c>
      <c r="C492" s="21" t="s">
        <v>21</v>
      </c>
      <c r="D492" s="21" t="s">
        <v>883</v>
      </c>
      <c r="E492" s="20" t="s">
        <v>23</v>
      </c>
      <c r="F492" s="18" t="str">
        <f>B492</f>
        <v>ECE</v>
      </c>
      <c r="G492" s="86">
        <v>6000</v>
      </c>
      <c r="H492" s="92">
        <v>45610</v>
      </c>
      <c r="I492" s="87"/>
      <c r="J492" s="57"/>
      <c r="K492" s="86" t="s">
        <v>846</v>
      </c>
      <c r="L492" s="86">
        <v>67</v>
      </c>
      <c r="M492" s="85"/>
    </row>
    <row r="493" spans="1:13" ht="31.5">
      <c r="A493" s="97">
        <v>1042</v>
      </c>
      <c r="B493" s="18" t="s">
        <v>2</v>
      </c>
      <c r="C493" s="21" t="s">
        <v>243</v>
      </c>
      <c r="D493" s="21" t="s">
        <v>882</v>
      </c>
      <c r="E493" s="20" t="s">
        <v>324</v>
      </c>
      <c r="F493" s="18" t="str">
        <f>B493</f>
        <v>Mech</v>
      </c>
      <c r="G493" s="86">
        <v>2500</v>
      </c>
      <c r="H493" s="92">
        <v>45610</v>
      </c>
      <c r="I493" s="87"/>
      <c r="J493" s="57"/>
      <c r="K493" s="86" t="s">
        <v>824</v>
      </c>
      <c r="L493" s="86">
        <v>67</v>
      </c>
      <c r="M493" s="85"/>
    </row>
    <row r="494" spans="1:13" ht="15.75">
      <c r="A494" s="83">
        <v>1043</v>
      </c>
      <c r="B494" s="18" t="s">
        <v>2</v>
      </c>
      <c r="C494" s="21" t="s">
        <v>243</v>
      </c>
      <c r="D494" s="21" t="s">
        <v>737</v>
      </c>
      <c r="E494" s="20" t="s">
        <v>193</v>
      </c>
      <c r="F494" s="18" t="str">
        <f>B494</f>
        <v>Mech</v>
      </c>
      <c r="G494" s="86">
        <v>10000</v>
      </c>
      <c r="H494" s="92">
        <v>45610</v>
      </c>
      <c r="I494" s="87"/>
      <c r="J494" s="57"/>
      <c r="K494" s="95">
        <v>45393</v>
      </c>
      <c r="L494" s="86">
        <v>67</v>
      </c>
      <c r="M494" s="85"/>
    </row>
    <row r="495" spans="1:13" ht="31.5">
      <c r="A495" s="97">
        <v>1044</v>
      </c>
      <c r="B495" s="18" t="s">
        <v>5</v>
      </c>
      <c r="C495" s="21" t="s">
        <v>294</v>
      </c>
      <c r="D495" s="21" t="s">
        <v>881</v>
      </c>
      <c r="E495" s="20" t="s">
        <v>187</v>
      </c>
      <c r="F495" s="18" t="str">
        <f>B495</f>
        <v>ECE</v>
      </c>
      <c r="G495" s="86">
        <v>1800</v>
      </c>
      <c r="H495" s="92">
        <v>45610</v>
      </c>
      <c r="I495" s="87"/>
      <c r="J495" s="57"/>
      <c r="K495" s="95">
        <v>45422</v>
      </c>
      <c r="L495" s="86">
        <v>67</v>
      </c>
      <c r="M495" s="85"/>
    </row>
    <row r="496" spans="1:13" ht="15.75">
      <c r="A496" s="46"/>
      <c r="B496" s="46"/>
      <c r="C496" s="46"/>
      <c r="D496" s="46" t="s">
        <v>11</v>
      </c>
      <c r="E496" s="42"/>
      <c r="F496" s="90"/>
      <c r="G496" s="89">
        <f>SUM(G457:G495)</f>
        <v>195500</v>
      </c>
      <c r="H496" s="42" t="s">
        <v>718</v>
      </c>
      <c r="I496" s="42"/>
      <c r="J496" s="45">
        <f>G496</f>
        <v>195500</v>
      </c>
      <c r="K496" s="42"/>
      <c r="L496" s="46">
        <v>67</v>
      </c>
      <c r="M496" s="88"/>
    </row>
    <row r="497" spans="1:13" ht="15.75">
      <c r="A497" s="97">
        <v>1045</v>
      </c>
      <c r="B497" s="18" t="s">
        <v>5</v>
      </c>
      <c r="C497" s="21" t="s">
        <v>544</v>
      </c>
      <c r="D497" s="21" t="s">
        <v>880</v>
      </c>
      <c r="E497" s="20" t="s">
        <v>23</v>
      </c>
      <c r="F497" s="18" t="str">
        <f>B497</f>
        <v>ECE</v>
      </c>
      <c r="G497" s="86">
        <v>10000</v>
      </c>
      <c r="H497" s="92">
        <v>45618</v>
      </c>
      <c r="I497" s="87"/>
      <c r="J497" s="57"/>
      <c r="K497" s="95">
        <v>45512</v>
      </c>
      <c r="L497" s="86">
        <v>68</v>
      </c>
      <c r="M497" s="85"/>
    </row>
    <row r="498" spans="1:13" ht="31.5">
      <c r="A498" s="97">
        <v>1046</v>
      </c>
      <c r="B498" s="18" t="s">
        <v>5</v>
      </c>
      <c r="C498" s="21" t="s">
        <v>544</v>
      </c>
      <c r="D498" s="21" t="s">
        <v>879</v>
      </c>
      <c r="E498" s="20" t="s">
        <v>16</v>
      </c>
      <c r="F498" s="18" t="str">
        <f>B498</f>
        <v>ECE</v>
      </c>
      <c r="G498" s="86">
        <v>1800</v>
      </c>
      <c r="H498" s="92">
        <v>45618</v>
      </c>
      <c r="I498" s="87"/>
      <c r="J498" s="57"/>
      <c r="K498" s="86" t="s">
        <v>729</v>
      </c>
      <c r="L498" s="86">
        <v>68</v>
      </c>
      <c r="M498" s="85"/>
    </row>
    <row r="499" spans="1:13" ht="15.75">
      <c r="A499" s="97">
        <v>1047</v>
      </c>
      <c r="B499" s="18" t="s">
        <v>5</v>
      </c>
      <c r="C499" s="21" t="s">
        <v>544</v>
      </c>
      <c r="D499" s="21" t="s">
        <v>878</v>
      </c>
      <c r="E499" s="20" t="s">
        <v>16</v>
      </c>
      <c r="F499" s="18" t="str">
        <f>B499</f>
        <v>ECE</v>
      </c>
      <c r="G499" s="86">
        <v>1800</v>
      </c>
      <c r="H499" s="92">
        <v>45618</v>
      </c>
      <c r="I499" s="87"/>
      <c r="J499" s="57"/>
      <c r="K499" s="95">
        <v>45051</v>
      </c>
      <c r="L499" s="86">
        <v>68</v>
      </c>
      <c r="M499" s="85"/>
    </row>
    <row r="500" spans="1:13" ht="15.75">
      <c r="A500" s="97">
        <v>1048</v>
      </c>
      <c r="B500" s="18" t="s">
        <v>5</v>
      </c>
      <c r="C500" s="21" t="s">
        <v>544</v>
      </c>
      <c r="D500" s="21" t="s">
        <v>877</v>
      </c>
      <c r="E500" s="20" t="s">
        <v>16</v>
      </c>
      <c r="F500" s="18" t="str">
        <f>B500</f>
        <v>ECE</v>
      </c>
      <c r="G500" s="86">
        <v>3000</v>
      </c>
      <c r="H500" s="92">
        <v>45618</v>
      </c>
      <c r="I500" s="87"/>
      <c r="J500" s="57"/>
      <c r="K500" s="95">
        <v>45332</v>
      </c>
      <c r="L500" s="86">
        <v>68</v>
      </c>
      <c r="M500" s="85"/>
    </row>
    <row r="501" spans="1:13" ht="31.5">
      <c r="A501" s="97">
        <v>1049</v>
      </c>
      <c r="B501" s="18" t="s">
        <v>5</v>
      </c>
      <c r="C501" s="21" t="s">
        <v>650</v>
      </c>
      <c r="D501" s="21" t="s">
        <v>876</v>
      </c>
      <c r="E501" s="20" t="s">
        <v>16</v>
      </c>
      <c r="F501" s="18" t="str">
        <f>B501</f>
        <v>ECE</v>
      </c>
      <c r="G501" s="86">
        <v>1800</v>
      </c>
      <c r="H501" s="92">
        <v>45618</v>
      </c>
      <c r="I501" s="87"/>
      <c r="J501" s="57"/>
      <c r="K501" s="95">
        <v>45302</v>
      </c>
      <c r="L501" s="86">
        <v>68</v>
      </c>
      <c r="M501" s="85"/>
    </row>
    <row r="502" spans="1:13" ht="47.25">
      <c r="A502" s="97">
        <v>1050</v>
      </c>
      <c r="B502" s="18" t="s">
        <v>5</v>
      </c>
      <c r="C502" s="21" t="s">
        <v>178</v>
      </c>
      <c r="D502" s="21" t="s">
        <v>875</v>
      </c>
      <c r="E502" s="20" t="s">
        <v>23</v>
      </c>
      <c r="F502" s="18" t="str">
        <f>B502</f>
        <v>ECE</v>
      </c>
      <c r="G502" s="86">
        <v>10000</v>
      </c>
      <c r="H502" s="92">
        <v>45618</v>
      </c>
      <c r="I502" s="87"/>
      <c r="J502" s="57"/>
      <c r="K502" s="95">
        <v>45484</v>
      </c>
      <c r="L502" s="86">
        <v>68</v>
      </c>
      <c r="M502" s="85"/>
    </row>
    <row r="503" spans="1:13" ht="31.5">
      <c r="A503" s="97">
        <v>1051</v>
      </c>
      <c r="B503" s="18" t="s">
        <v>1</v>
      </c>
      <c r="C503" s="21" t="s">
        <v>140</v>
      </c>
      <c r="D503" s="21" t="s">
        <v>874</v>
      </c>
      <c r="E503" s="20" t="s">
        <v>16</v>
      </c>
      <c r="F503" s="18" t="str">
        <f>B503</f>
        <v>S&amp;H</v>
      </c>
      <c r="G503" s="86">
        <v>3000</v>
      </c>
      <c r="H503" s="92">
        <v>45618</v>
      </c>
      <c r="I503" s="87"/>
      <c r="J503" s="57"/>
      <c r="K503" s="95">
        <v>45484</v>
      </c>
      <c r="L503" s="86">
        <v>68</v>
      </c>
      <c r="M503" s="85"/>
    </row>
    <row r="504" spans="1:13" ht="47.25">
      <c r="A504" s="97">
        <v>1052</v>
      </c>
      <c r="B504" s="18" t="s">
        <v>2</v>
      </c>
      <c r="C504" s="21" t="s">
        <v>48</v>
      </c>
      <c r="D504" s="21" t="s">
        <v>873</v>
      </c>
      <c r="E504" s="20" t="s">
        <v>23</v>
      </c>
      <c r="F504" s="18" t="str">
        <f>B504</f>
        <v>Mech</v>
      </c>
      <c r="G504" s="86">
        <v>5000</v>
      </c>
      <c r="H504" s="92">
        <v>45618</v>
      </c>
      <c r="I504" s="87"/>
      <c r="J504" s="57"/>
      <c r="K504" s="86" t="s">
        <v>872</v>
      </c>
      <c r="L504" s="86">
        <v>68</v>
      </c>
      <c r="M504" s="85"/>
    </row>
    <row r="505" spans="1:13" ht="15.75">
      <c r="A505" s="100">
        <v>1053</v>
      </c>
      <c r="B505" s="18" t="s">
        <v>2</v>
      </c>
      <c r="C505" s="21" t="s">
        <v>48</v>
      </c>
      <c r="D505" s="21" t="s">
        <v>871</v>
      </c>
      <c r="E505" s="20" t="s">
        <v>193</v>
      </c>
      <c r="F505" s="18" t="str">
        <f>B505</f>
        <v>Mech</v>
      </c>
      <c r="G505" s="86">
        <v>28000</v>
      </c>
      <c r="H505" s="92">
        <v>45618</v>
      </c>
      <c r="I505" s="87"/>
      <c r="J505" s="57"/>
      <c r="K505" s="95">
        <v>45454</v>
      </c>
      <c r="L505" s="86">
        <v>68</v>
      </c>
      <c r="M505" s="85"/>
    </row>
    <row r="506" spans="1:13" ht="31.5">
      <c r="A506" s="97">
        <v>1054</v>
      </c>
      <c r="B506" s="18" t="s">
        <v>2</v>
      </c>
      <c r="C506" s="21" t="s">
        <v>93</v>
      </c>
      <c r="D506" s="21" t="s">
        <v>870</v>
      </c>
      <c r="E506" s="20" t="s">
        <v>23</v>
      </c>
      <c r="F506" s="18" t="str">
        <f>B506</f>
        <v>Mech</v>
      </c>
      <c r="G506" s="86">
        <v>6000</v>
      </c>
      <c r="H506" s="92">
        <v>45618</v>
      </c>
      <c r="I506" s="87"/>
      <c r="J506" s="57"/>
      <c r="K506" s="86" t="s">
        <v>853</v>
      </c>
      <c r="L506" s="86">
        <v>68</v>
      </c>
      <c r="M506" s="85"/>
    </row>
    <row r="507" spans="1:13" ht="15.75">
      <c r="A507" s="100">
        <v>1055</v>
      </c>
      <c r="B507" s="18" t="s">
        <v>2</v>
      </c>
      <c r="C507" s="21" t="s">
        <v>93</v>
      </c>
      <c r="D507" s="21" t="s">
        <v>840</v>
      </c>
      <c r="E507" s="20" t="s">
        <v>193</v>
      </c>
      <c r="F507" s="18" t="str">
        <f>B507</f>
        <v>Mech</v>
      </c>
      <c r="G507" s="86">
        <v>16000</v>
      </c>
      <c r="H507" s="92">
        <v>45618</v>
      </c>
      <c r="I507" s="87"/>
      <c r="J507" s="57"/>
      <c r="K507" s="95">
        <v>45454</v>
      </c>
      <c r="L507" s="86">
        <v>68</v>
      </c>
      <c r="M507" s="85"/>
    </row>
    <row r="508" spans="1:13" ht="31.5">
      <c r="A508" s="97">
        <v>1056</v>
      </c>
      <c r="B508" s="18" t="s">
        <v>6</v>
      </c>
      <c r="C508" s="21" t="s">
        <v>869</v>
      </c>
      <c r="D508" s="21" t="s">
        <v>868</v>
      </c>
      <c r="E508" s="20" t="s">
        <v>16</v>
      </c>
      <c r="F508" s="18" t="str">
        <f>B508</f>
        <v>CSE</v>
      </c>
      <c r="G508" s="86">
        <v>1800</v>
      </c>
      <c r="H508" s="92">
        <v>45618</v>
      </c>
      <c r="I508" s="87"/>
      <c r="J508" s="57"/>
      <c r="K508" s="95">
        <v>45515</v>
      </c>
      <c r="L508" s="86">
        <v>68</v>
      </c>
      <c r="M508" s="85"/>
    </row>
    <row r="509" spans="1:13" ht="31.5">
      <c r="A509" s="97">
        <v>1057</v>
      </c>
      <c r="B509" s="18" t="s">
        <v>5</v>
      </c>
      <c r="C509" s="21" t="s">
        <v>175</v>
      </c>
      <c r="D509" s="21" t="s">
        <v>867</v>
      </c>
      <c r="E509" s="20" t="s">
        <v>16</v>
      </c>
      <c r="F509" s="18" t="str">
        <f>B509</f>
        <v>ECE</v>
      </c>
      <c r="G509" s="86">
        <v>3000</v>
      </c>
      <c r="H509" s="92">
        <v>45618</v>
      </c>
      <c r="I509" s="87"/>
      <c r="J509" s="57"/>
      <c r="K509" s="86" t="s">
        <v>866</v>
      </c>
      <c r="L509" s="86">
        <v>68</v>
      </c>
      <c r="M509" s="85"/>
    </row>
    <row r="510" spans="1:13" ht="15.75">
      <c r="A510" s="100">
        <v>1058</v>
      </c>
      <c r="B510" s="18" t="s">
        <v>5</v>
      </c>
      <c r="C510" s="21" t="s">
        <v>175</v>
      </c>
      <c r="D510" s="21" t="s">
        <v>319</v>
      </c>
      <c r="E510" s="20" t="s">
        <v>193</v>
      </c>
      <c r="F510" s="18" t="str">
        <f>B510</f>
        <v>ECE</v>
      </c>
      <c r="G510" s="86">
        <v>8000</v>
      </c>
      <c r="H510" s="92">
        <v>45618</v>
      </c>
      <c r="I510" s="87"/>
      <c r="J510" s="57"/>
      <c r="K510" s="95">
        <v>45484</v>
      </c>
      <c r="L510" s="86">
        <v>68</v>
      </c>
      <c r="M510" s="85"/>
    </row>
    <row r="511" spans="1:13" ht="31.5">
      <c r="A511" s="97">
        <v>1059</v>
      </c>
      <c r="B511" s="18" t="s">
        <v>4</v>
      </c>
      <c r="C511" s="21" t="s">
        <v>856</v>
      </c>
      <c r="D511" s="21" t="s">
        <v>865</v>
      </c>
      <c r="E511" s="20" t="s">
        <v>23</v>
      </c>
      <c r="F511" s="18" t="str">
        <f>B511</f>
        <v>EEE</v>
      </c>
      <c r="G511" s="86">
        <v>6000</v>
      </c>
      <c r="H511" s="92">
        <v>45618</v>
      </c>
      <c r="I511" s="87"/>
      <c r="J511" s="57"/>
      <c r="K511" s="86" t="s">
        <v>864</v>
      </c>
      <c r="L511" s="86">
        <v>68</v>
      </c>
      <c r="M511" s="85"/>
    </row>
    <row r="512" spans="1:13" ht="31.5">
      <c r="A512" s="97">
        <v>1060</v>
      </c>
      <c r="B512" s="18" t="s">
        <v>4</v>
      </c>
      <c r="C512" s="21" t="s">
        <v>856</v>
      </c>
      <c r="D512" s="21" t="s">
        <v>863</v>
      </c>
      <c r="E512" s="20" t="s">
        <v>23</v>
      </c>
      <c r="F512" s="18" t="str">
        <f>B512</f>
        <v>EEE</v>
      </c>
      <c r="G512" s="86">
        <v>6000</v>
      </c>
      <c r="H512" s="92">
        <v>45618</v>
      </c>
      <c r="I512" s="87"/>
      <c r="J512" s="57"/>
      <c r="K512" s="86" t="s">
        <v>862</v>
      </c>
      <c r="L512" s="86">
        <v>68</v>
      </c>
      <c r="M512" s="85"/>
    </row>
    <row r="513" spans="1:13" ht="47.25">
      <c r="A513" s="97">
        <v>1061</v>
      </c>
      <c r="B513" s="18" t="s">
        <v>4</v>
      </c>
      <c r="C513" s="21" t="s">
        <v>856</v>
      </c>
      <c r="D513" s="21" t="s">
        <v>861</v>
      </c>
      <c r="E513" s="20" t="s">
        <v>324</v>
      </c>
      <c r="F513" s="18" t="str">
        <f>B513</f>
        <v>EEE</v>
      </c>
      <c r="G513" s="86">
        <v>3000</v>
      </c>
      <c r="H513" s="92">
        <v>45618</v>
      </c>
      <c r="I513" s="87"/>
      <c r="J513" s="57"/>
      <c r="K513" s="95">
        <v>45632</v>
      </c>
      <c r="L513" s="86">
        <v>68</v>
      </c>
      <c r="M513" s="85"/>
    </row>
    <row r="514" spans="1:13" ht="47.25">
      <c r="A514" s="97">
        <v>1062</v>
      </c>
      <c r="B514" s="18" t="s">
        <v>4</v>
      </c>
      <c r="C514" s="21" t="s">
        <v>856</v>
      </c>
      <c r="D514" s="21" t="s">
        <v>860</v>
      </c>
      <c r="E514" s="20" t="s">
        <v>324</v>
      </c>
      <c r="F514" s="18" t="str">
        <f>B514</f>
        <v>EEE</v>
      </c>
      <c r="G514" s="86">
        <v>3000</v>
      </c>
      <c r="H514" s="92">
        <v>45618</v>
      </c>
      <c r="I514" s="87"/>
      <c r="J514" s="57"/>
      <c r="K514" s="95">
        <v>45574</v>
      </c>
      <c r="L514" s="86">
        <v>68</v>
      </c>
      <c r="M514" s="85"/>
    </row>
    <row r="515" spans="1:13" ht="31.5">
      <c r="A515" s="97">
        <v>1063</v>
      </c>
      <c r="B515" s="18" t="s">
        <v>4</v>
      </c>
      <c r="C515" s="21" t="s">
        <v>856</v>
      </c>
      <c r="D515" s="21" t="s">
        <v>859</v>
      </c>
      <c r="E515" s="20" t="s">
        <v>16</v>
      </c>
      <c r="F515" s="18" t="str">
        <f>B515</f>
        <v>EEE</v>
      </c>
      <c r="G515" s="86">
        <v>1800</v>
      </c>
      <c r="H515" s="92">
        <v>45618</v>
      </c>
      <c r="I515" s="87"/>
      <c r="J515" s="57"/>
      <c r="K515" s="95">
        <v>45452</v>
      </c>
      <c r="L515" s="86">
        <v>68</v>
      </c>
      <c r="M515" s="85"/>
    </row>
    <row r="516" spans="1:13" ht="31.5">
      <c r="A516" s="97">
        <v>1064</v>
      </c>
      <c r="B516" s="18" t="s">
        <v>4</v>
      </c>
      <c r="C516" s="21" t="s">
        <v>856</v>
      </c>
      <c r="D516" s="21" t="s">
        <v>858</v>
      </c>
      <c r="E516" s="20" t="s">
        <v>16</v>
      </c>
      <c r="F516" s="18" t="str">
        <f>B516</f>
        <v>EEE</v>
      </c>
      <c r="G516" s="86">
        <v>1800</v>
      </c>
      <c r="H516" s="92">
        <v>45618</v>
      </c>
      <c r="I516" s="87"/>
      <c r="J516" s="57"/>
      <c r="K516" s="86" t="s">
        <v>857</v>
      </c>
      <c r="L516" s="86">
        <v>68</v>
      </c>
      <c r="M516" s="85"/>
    </row>
    <row r="517" spans="1:13" ht="31.5">
      <c r="A517" s="97">
        <v>1065</v>
      </c>
      <c r="B517" s="18" t="s">
        <v>4</v>
      </c>
      <c r="C517" s="21" t="s">
        <v>856</v>
      </c>
      <c r="D517" s="21" t="s">
        <v>855</v>
      </c>
      <c r="E517" s="20" t="s">
        <v>16</v>
      </c>
      <c r="F517" s="18" t="str">
        <f>B517</f>
        <v>EEE</v>
      </c>
      <c r="G517" s="86">
        <v>1800</v>
      </c>
      <c r="H517" s="92">
        <v>45618</v>
      </c>
      <c r="I517" s="87"/>
      <c r="J517" s="57"/>
      <c r="K517" s="95">
        <v>45629</v>
      </c>
      <c r="L517" s="86">
        <v>68</v>
      </c>
      <c r="M517" s="85"/>
    </row>
    <row r="518" spans="1:13" ht="31.5">
      <c r="A518" s="97">
        <v>1066</v>
      </c>
      <c r="B518" s="18" t="s">
        <v>2</v>
      </c>
      <c r="C518" s="21" t="s">
        <v>243</v>
      </c>
      <c r="D518" s="21" t="s">
        <v>854</v>
      </c>
      <c r="E518" s="20" t="s">
        <v>16</v>
      </c>
      <c r="F518" s="18" t="str">
        <f>B518</f>
        <v>Mech</v>
      </c>
      <c r="G518" s="86">
        <v>3000</v>
      </c>
      <c r="H518" s="92">
        <v>45618</v>
      </c>
      <c r="I518" s="87"/>
      <c r="J518" s="57"/>
      <c r="K518" s="95">
        <v>45393</v>
      </c>
      <c r="L518" s="86">
        <v>68</v>
      </c>
      <c r="M518" s="85"/>
    </row>
    <row r="519" spans="1:13" ht="15.75">
      <c r="A519" s="100">
        <v>1067</v>
      </c>
      <c r="B519" s="18" t="s">
        <v>2</v>
      </c>
      <c r="C519" s="21" t="s">
        <v>243</v>
      </c>
      <c r="D519" s="21" t="s">
        <v>166</v>
      </c>
      <c r="E519" s="20" t="s">
        <v>193</v>
      </c>
      <c r="F519" s="18" t="str">
        <f>B519</f>
        <v>Mech</v>
      </c>
      <c r="G519" s="86">
        <v>2000</v>
      </c>
      <c r="H519" s="92">
        <v>45618</v>
      </c>
      <c r="I519" s="87"/>
      <c r="J519" s="57"/>
      <c r="K519" s="86" t="s">
        <v>853</v>
      </c>
      <c r="L519" s="86">
        <v>68</v>
      </c>
      <c r="M519" s="85"/>
    </row>
    <row r="520" spans="1:13" ht="47.25">
      <c r="A520" s="97">
        <v>1068</v>
      </c>
      <c r="B520" s="18" t="s">
        <v>2</v>
      </c>
      <c r="C520" s="21" t="s">
        <v>209</v>
      </c>
      <c r="D520" s="21" t="s">
        <v>852</v>
      </c>
      <c r="E520" s="20" t="s">
        <v>16</v>
      </c>
      <c r="F520" s="18" t="str">
        <f>B520</f>
        <v>Mech</v>
      </c>
      <c r="G520" s="86">
        <v>3000</v>
      </c>
      <c r="H520" s="92">
        <v>45618</v>
      </c>
      <c r="I520" s="87"/>
      <c r="J520" s="57"/>
      <c r="K520" s="96">
        <v>45606</v>
      </c>
      <c r="L520" s="86">
        <v>68</v>
      </c>
      <c r="M520" s="85"/>
    </row>
    <row r="521" spans="1:13" ht="31.5">
      <c r="A521" s="97">
        <v>1069</v>
      </c>
      <c r="B521" s="18" t="s">
        <v>2</v>
      </c>
      <c r="C521" s="21" t="s">
        <v>209</v>
      </c>
      <c r="D521" s="21" t="s">
        <v>851</v>
      </c>
      <c r="E521" s="20" t="s">
        <v>16</v>
      </c>
      <c r="F521" s="18" t="str">
        <f>B521</f>
        <v>Mech</v>
      </c>
      <c r="G521" s="86">
        <v>3000</v>
      </c>
      <c r="H521" s="92">
        <v>45618</v>
      </c>
      <c r="I521" s="87"/>
      <c r="J521" s="57"/>
      <c r="K521" s="96">
        <v>45606</v>
      </c>
      <c r="L521" s="86">
        <v>68</v>
      </c>
      <c r="M521" s="85"/>
    </row>
    <row r="522" spans="1:13" ht="31.5">
      <c r="A522" s="97">
        <v>1070</v>
      </c>
      <c r="B522" s="18" t="s">
        <v>2</v>
      </c>
      <c r="C522" s="21" t="s">
        <v>209</v>
      </c>
      <c r="D522" s="21" t="s">
        <v>850</v>
      </c>
      <c r="E522" s="20" t="s">
        <v>16</v>
      </c>
      <c r="F522" s="18" t="str">
        <f>B522</f>
        <v>Mech</v>
      </c>
      <c r="G522" s="86">
        <v>1800</v>
      </c>
      <c r="H522" s="92">
        <v>45618</v>
      </c>
      <c r="I522" s="87"/>
      <c r="J522" s="57"/>
      <c r="K522" s="96" t="s">
        <v>849</v>
      </c>
      <c r="L522" s="86">
        <v>68</v>
      </c>
      <c r="M522" s="85"/>
    </row>
    <row r="523" spans="1:13" ht="31.5">
      <c r="A523" s="97">
        <v>1071</v>
      </c>
      <c r="B523" s="18" t="s">
        <v>2</v>
      </c>
      <c r="C523" s="21" t="s">
        <v>580</v>
      </c>
      <c r="D523" s="21" t="s">
        <v>848</v>
      </c>
      <c r="E523" s="20" t="s">
        <v>23</v>
      </c>
      <c r="F523" s="18" t="str">
        <f>B523</f>
        <v>Mech</v>
      </c>
      <c r="G523" s="86">
        <v>10000</v>
      </c>
      <c r="H523" s="92">
        <v>45618</v>
      </c>
      <c r="I523" s="87"/>
      <c r="J523" s="57"/>
      <c r="K523" s="95">
        <v>45391</v>
      </c>
      <c r="L523" s="86">
        <v>68</v>
      </c>
      <c r="M523" s="85"/>
    </row>
    <row r="524" spans="1:13" ht="47.25">
      <c r="A524" s="97">
        <v>1072</v>
      </c>
      <c r="B524" s="18" t="s">
        <v>2</v>
      </c>
      <c r="C524" s="21" t="s">
        <v>580</v>
      </c>
      <c r="D524" s="21" t="s">
        <v>847</v>
      </c>
      <c r="E524" s="20" t="s">
        <v>23</v>
      </c>
      <c r="F524" s="18" t="str">
        <f>B524</f>
        <v>Mech</v>
      </c>
      <c r="G524" s="86">
        <v>6000</v>
      </c>
      <c r="H524" s="92">
        <v>45618</v>
      </c>
      <c r="I524" s="87"/>
      <c r="J524" s="57"/>
      <c r="K524" s="86" t="s">
        <v>846</v>
      </c>
      <c r="L524" s="86">
        <v>68</v>
      </c>
      <c r="M524" s="85"/>
    </row>
    <row r="525" spans="1:13" ht="31.5">
      <c r="A525" s="97">
        <v>1073</v>
      </c>
      <c r="B525" s="18" t="s">
        <v>2</v>
      </c>
      <c r="C525" s="21" t="s">
        <v>99</v>
      </c>
      <c r="D525" s="21" t="s">
        <v>845</v>
      </c>
      <c r="E525" s="20" t="s">
        <v>16</v>
      </c>
      <c r="F525" s="18" t="str">
        <f>B525</f>
        <v>Mech</v>
      </c>
      <c r="G525" s="86">
        <v>3000</v>
      </c>
      <c r="H525" s="92">
        <v>45618</v>
      </c>
      <c r="I525" s="87"/>
      <c r="J525" s="57"/>
      <c r="K525" s="96">
        <v>45606</v>
      </c>
      <c r="L525" s="86">
        <v>68</v>
      </c>
      <c r="M525" s="85"/>
    </row>
    <row r="526" spans="1:13" ht="31.5">
      <c r="A526" s="97">
        <v>1074</v>
      </c>
      <c r="B526" s="18" t="s">
        <v>2</v>
      </c>
      <c r="C526" s="21" t="s">
        <v>99</v>
      </c>
      <c r="D526" s="21" t="s">
        <v>844</v>
      </c>
      <c r="E526" s="20" t="s">
        <v>16</v>
      </c>
      <c r="F526" s="18" t="str">
        <f>B526</f>
        <v>Mech</v>
      </c>
      <c r="G526" s="86">
        <v>3000</v>
      </c>
      <c r="H526" s="92">
        <v>45618</v>
      </c>
      <c r="I526" s="87"/>
      <c r="J526" s="57"/>
      <c r="K526" s="96">
        <v>45606</v>
      </c>
      <c r="L526" s="86">
        <v>68</v>
      </c>
      <c r="M526" s="85"/>
    </row>
    <row r="527" spans="1:13" ht="31.5">
      <c r="A527" s="97">
        <v>1075</v>
      </c>
      <c r="B527" s="18" t="s">
        <v>2</v>
      </c>
      <c r="C527" s="21" t="s">
        <v>99</v>
      </c>
      <c r="D527" s="21" t="s">
        <v>843</v>
      </c>
      <c r="E527" s="20" t="s">
        <v>16</v>
      </c>
      <c r="F527" s="18" t="str">
        <f>B527</f>
        <v>Mech</v>
      </c>
      <c r="G527" s="86">
        <v>3000</v>
      </c>
      <c r="H527" s="92">
        <v>45618</v>
      </c>
      <c r="I527" s="87"/>
      <c r="J527" s="57"/>
      <c r="K527" s="96">
        <v>45606</v>
      </c>
      <c r="L527" s="86">
        <v>68</v>
      </c>
      <c r="M527" s="85"/>
    </row>
    <row r="528" spans="1:13" ht="31.5">
      <c r="A528" s="97">
        <v>1076</v>
      </c>
      <c r="B528" s="18" t="s">
        <v>2</v>
      </c>
      <c r="C528" s="21" t="s">
        <v>99</v>
      </c>
      <c r="D528" s="21" t="s">
        <v>842</v>
      </c>
      <c r="E528" s="20" t="s">
        <v>16</v>
      </c>
      <c r="F528" s="18" t="str">
        <f>B528</f>
        <v>Mech</v>
      </c>
      <c r="G528" s="86">
        <v>3000</v>
      </c>
      <c r="H528" s="92">
        <v>45618</v>
      </c>
      <c r="I528" s="87"/>
      <c r="J528" s="57"/>
      <c r="K528" s="96">
        <v>45606</v>
      </c>
      <c r="L528" s="86">
        <v>68</v>
      </c>
      <c r="M528" s="85"/>
    </row>
    <row r="529" spans="1:13" ht="31.5">
      <c r="A529" s="97">
        <v>1077</v>
      </c>
      <c r="B529" s="18" t="s">
        <v>2</v>
      </c>
      <c r="C529" s="21" t="s">
        <v>99</v>
      </c>
      <c r="D529" s="21" t="s">
        <v>841</v>
      </c>
      <c r="E529" s="20" t="s">
        <v>187</v>
      </c>
      <c r="F529" s="18" t="str">
        <f>B529</f>
        <v>Mech</v>
      </c>
      <c r="G529" s="86">
        <v>3000</v>
      </c>
      <c r="H529" s="92">
        <v>45618</v>
      </c>
      <c r="I529" s="87"/>
      <c r="J529" s="57"/>
      <c r="K529" s="96">
        <v>45606</v>
      </c>
      <c r="L529" s="86">
        <v>68</v>
      </c>
      <c r="M529" s="85"/>
    </row>
    <row r="530" spans="1:13" ht="15.75">
      <c r="A530" s="83">
        <v>1078</v>
      </c>
      <c r="B530" s="18" t="s">
        <v>2</v>
      </c>
      <c r="C530" s="21" t="s">
        <v>99</v>
      </c>
      <c r="D530" s="21" t="s">
        <v>840</v>
      </c>
      <c r="E530" s="20" t="s">
        <v>193</v>
      </c>
      <c r="F530" s="18" t="str">
        <f>B530</f>
        <v>Mech</v>
      </c>
      <c r="G530" s="86">
        <v>16000</v>
      </c>
      <c r="H530" s="92">
        <v>45618</v>
      </c>
      <c r="I530" s="87"/>
      <c r="J530" s="57"/>
      <c r="K530" s="86" t="s">
        <v>839</v>
      </c>
      <c r="L530" s="86">
        <v>68</v>
      </c>
      <c r="M530" s="85"/>
    </row>
    <row r="531" spans="1:13" ht="15.75">
      <c r="A531" s="100">
        <v>1079</v>
      </c>
      <c r="B531" s="18" t="s">
        <v>5</v>
      </c>
      <c r="C531" s="21" t="s">
        <v>544</v>
      </c>
      <c r="D531" s="21" t="s">
        <v>239</v>
      </c>
      <c r="E531" s="20" t="s">
        <v>193</v>
      </c>
      <c r="F531" s="18" t="str">
        <f>B531</f>
        <v>ECE</v>
      </c>
      <c r="G531" s="86">
        <v>6000</v>
      </c>
      <c r="H531" s="92">
        <v>45618</v>
      </c>
      <c r="I531" s="87"/>
      <c r="J531" s="57"/>
      <c r="K531" s="95">
        <v>45484</v>
      </c>
      <c r="L531" s="86">
        <v>68</v>
      </c>
      <c r="M531" s="85"/>
    </row>
    <row r="532" spans="1:13" ht="15.75">
      <c r="A532" s="100">
        <v>1080</v>
      </c>
      <c r="B532" s="18" t="s">
        <v>2</v>
      </c>
      <c r="C532" s="21" t="s">
        <v>580</v>
      </c>
      <c r="D532" s="21" t="s">
        <v>166</v>
      </c>
      <c r="E532" s="20" t="s">
        <v>193</v>
      </c>
      <c r="F532" s="18" t="str">
        <f>B532</f>
        <v>Mech</v>
      </c>
      <c r="G532" s="86">
        <v>2000</v>
      </c>
      <c r="H532" s="92">
        <v>45618</v>
      </c>
      <c r="I532" s="87"/>
      <c r="J532" s="57"/>
      <c r="K532" s="86" t="s">
        <v>803</v>
      </c>
      <c r="L532" s="86">
        <v>68</v>
      </c>
      <c r="M532" s="85"/>
    </row>
    <row r="533" spans="1:13" ht="15.75">
      <c r="A533" s="46"/>
      <c r="B533" s="46"/>
      <c r="C533" s="46"/>
      <c r="D533" s="46" t="s">
        <v>11</v>
      </c>
      <c r="E533" s="42"/>
      <c r="F533" s="90"/>
      <c r="G533" s="89">
        <f>SUM(G497:G532)</f>
        <v>190400</v>
      </c>
      <c r="H533" s="42" t="s">
        <v>718</v>
      </c>
      <c r="I533" s="42"/>
      <c r="J533" s="45">
        <f>G533</f>
        <v>190400</v>
      </c>
      <c r="K533" s="42"/>
      <c r="L533" s="46">
        <v>68</v>
      </c>
      <c r="M533" s="88"/>
    </row>
    <row r="534" spans="1:13" ht="31.5">
      <c r="A534" s="97">
        <v>1081</v>
      </c>
      <c r="B534" s="18" t="s">
        <v>36</v>
      </c>
      <c r="C534" s="21" t="s">
        <v>837</v>
      </c>
      <c r="D534" s="21" t="s">
        <v>838</v>
      </c>
      <c r="E534" s="20" t="s">
        <v>16</v>
      </c>
      <c r="F534" s="18" t="str">
        <f>B534</f>
        <v>AIDS</v>
      </c>
      <c r="G534" s="86">
        <v>1800</v>
      </c>
      <c r="H534" s="92">
        <v>45629</v>
      </c>
      <c r="I534" s="87"/>
      <c r="J534" s="57"/>
      <c r="K534" s="86" t="s">
        <v>787</v>
      </c>
      <c r="L534" s="86">
        <v>69</v>
      </c>
      <c r="M534" s="85"/>
    </row>
    <row r="535" spans="1:13" ht="31.5">
      <c r="A535" s="97">
        <v>1082</v>
      </c>
      <c r="B535" s="18" t="s">
        <v>36</v>
      </c>
      <c r="C535" s="21" t="s">
        <v>837</v>
      </c>
      <c r="D535" s="21" t="s">
        <v>836</v>
      </c>
      <c r="E535" s="20" t="s">
        <v>16</v>
      </c>
      <c r="F535" s="18" t="str">
        <f>B535</f>
        <v>AIDS</v>
      </c>
      <c r="G535" s="86">
        <v>1800</v>
      </c>
      <c r="H535" s="92">
        <v>45629</v>
      </c>
      <c r="I535" s="87"/>
      <c r="J535" s="57"/>
      <c r="K535" s="86" t="s">
        <v>787</v>
      </c>
      <c r="L535" s="86">
        <v>69</v>
      </c>
      <c r="M535" s="85"/>
    </row>
    <row r="536" spans="1:13" ht="15.75">
      <c r="A536" s="97">
        <v>1083</v>
      </c>
      <c r="B536" s="18" t="s">
        <v>6</v>
      </c>
      <c r="C536" s="21" t="s">
        <v>835</v>
      </c>
      <c r="D536" s="21" t="s">
        <v>834</v>
      </c>
      <c r="E536" s="20" t="s">
        <v>324</v>
      </c>
      <c r="F536" s="18" t="str">
        <f>B536</f>
        <v>CSE</v>
      </c>
      <c r="G536" s="86">
        <v>3000</v>
      </c>
      <c r="H536" s="92">
        <v>45629</v>
      </c>
      <c r="I536" s="87"/>
      <c r="J536" s="57"/>
      <c r="K536" s="86" t="s">
        <v>832</v>
      </c>
      <c r="L536" s="86">
        <v>69</v>
      </c>
      <c r="M536" s="85"/>
    </row>
    <row r="537" spans="1:13" ht="31.5">
      <c r="A537" s="97">
        <v>1084</v>
      </c>
      <c r="B537" s="18" t="s">
        <v>5</v>
      </c>
      <c r="C537" s="21" t="s">
        <v>831</v>
      </c>
      <c r="D537" s="51" t="s">
        <v>833</v>
      </c>
      <c r="E537" s="20" t="s">
        <v>16</v>
      </c>
      <c r="F537" s="18" t="str">
        <f>B537</f>
        <v>ECE</v>
      </c>
      <c r="G537" s="86">
        <v>3000</v>
      </c>
      <c r="H537" s="92">
        <v>45629</v>
      </c>
      <c r="I537" s="87"/>
      <c r="J537" s="57"/>
      <c r="K537" s="86" t="s">
        <v>832</v>
      </c>
      <c r="L537" s="86">
        <v>69</v>
      </c>
      <c r="M537" s="85"/>
    </row>
    <row r="538" spans="1:13" ht="31.5">
      <c r="A538" s="97">
        <v>1085</v>
      </c>
      <c r="B538" s="18" t="s">
        <v>5</v>
      </c>
      <c r="C538" s="21" t="s">
        <v>831</v>
      </c>
      <c r="D538" s="51" t="s">
        <v>830</v>
      </c>
      <c r="E538" s="20" t="s">
        <v>23</v>
      </c>
      <c r="F538" s="18" t="str">
        <f>B538</f>
        <v>ECE</v>
      </c>
      <c r="G538" s="86">
        <v>6000</v>
      </c>
      <c r="H538" s="92">
        <v>45629</v>
      </c>
      <c r="I538" s="87"/>
      <c r="J538" s="57"/>
      <c r="K538" s="86" t="s">
        <v>829</v>
      </c>
      <c r="L538" s="86">
        <v>69</v>
      </c>
      <c r="M538" s="85"/>
    </row>
    <row r="539" spans="1:13" ht="31.5">
      <c r="A539" s="97">
        <v>1086</v>
      </c>
      <c r="B539" s="18" t="s">
        <v>5</v>
      </c>
      <c r="C539" s="21" t="s">
        <v>267</v>
      </c>
      <c r="D539" s="21" t="s">
        <v>828</v>
      </c>
      <c r="E539" s="20" t="s">
        <v>23</v>
      </c>
      <c r="F539" s="18" t="str">
        <f>B539</f>
        <v>ECE</v>
      </c>
      <c r="G539" s="86">
        <v>6000</v>
      </c>
      <c r="H539" s="92">
        <v>45629</v>
      </c>
      <c r="I539" s="87"/>
      <c r="J539" s="57"/>
      <c r="K539" s="86" t="s">
        <v>827</v>
      </c>
      <c r="L539" s="86">
        <v>69</v>
      </c>
      <c r="M539" s="85"/>
    </row>
    <row r="540" spans="1:13" ht="47.25">
      <c r="A540" s="97">
        <v>1087</v>
      </c>
      <c r="B540" s="18" t="s">
        <v>5</v>
      </c>
      <c r="C540" s="21" t="s">
        <v>826</v>
      </c>
      <c r="D540" s="21" t="s">
        <v>825</v>
      </c>
      <c r="E540" s="20" t="s">
        <v>23</v>
      </c>
      <c r="F540" s="18" t="str">
        <f>B540</f>
        <v>ECE</v>
      </c>
      <c r="G540" s="86">
        <v>5000</v>
      </c>
      <c r="H540" s="92">
        <v>45629</v>
      </c>
      <c r="I540" s="87"/>
      <c r="J540" s="57"/>
      <c r="K540" s="86" t="s">
        <v>824</v>
      </c>
      <c r="L540" s="86">
        <v>69</v>
      </c>
      <c r="M540" s="85"/>
    </row>
    <row r="541" spans="1:13" ht="31.5">
      <c r="A541" s="97">
        <v>1088</v>
      </c>
      <c r="B541" s="18" t="s">
        <v>5</v>
      </c>
      <c r="C541" s="21" t="s">
        <v>178</v>
      </c>
      <c r="D541" s="21" t="s">
        <v>823</v>
      </c>
      <c r="E541" s="20" t="s">
        <v>23</v>
      </c>
      <c r="F541" s="18" t="str">
        <f>B541</f>
        <v>ECE</v>
      </c>
      <c r="G541" s="86">
        <v>10000</v>
      </c>
      <c r="H541" s="92">
        <v>45629</v>
      </c>
      <c r="I541" s="87"/>
      <c r="J541" s="57"/>
      <c r="K541" s="86" t="s">
        <v>822</v>
      </c>
      <c r="L541" s="86">
        <v>69</v>
      </c>
      <c r="M541" s="85"/>
    </row>
    <row r="542" spans="1:13" ht="31.5">
      <c r="A542" s="97">
        <v>1089</v>
      </c>
      <c r="B542" s="18" t="s">
        <v>5</v>
      </c>
      <c r="C542" s="21" t="s">
        <v>173</v>
      </c>
      <c r="D542" s="21" t="s">
        <v>821</v>
      </c>
      <c r="E542" s="20" t="s">
        <v>23</v>
      </c>
      <c r="F542" s="18" t="str">
        <f>B542</f>
        <v>ECE</v>
      </c>
      <c r="G542" s="86">
        <v>10000</v>
      </c>
      <c r="H542" s="92">
        <v>45629</v>
      </c>
      <c r="I542" s="87" t="s">
        <v>12</v>
      </c>
      <c r="J542" s="57"/>
      <c r="K542" s="91">
        <v>45597</v>
      </c>
      <c r="L542" s="86">
        <v>69</v>
      </c>
      <c r="M542" s="85"/>
    </row>
    <row r="543" spans="1:13" ht="31.5">
      <c r="A543" s="97">
        <v>1090</v>
      </c>
      <c r="B543" s="18" t="s">
        <v>5</v>
      </c>
      <c r="C543" s="21" t="s">
        <v>173</v>
      </c>
      <c r="D543" s="21" t="s">
        <v>820</v>
      </c>
      <c r="E543" s="20" t="s">
        <v>23</v>
      </c>
      <c r="F543" s="18" t="str">
        <f>B543</f>
        <v>ECE</v>
      </c>
      <c r="G543" s="86">
        <v>10000</v>
      </c>
      <c r="H543" s="92">
        <v>45629</v>
      </c>
      <c r="I543" s="87" t="s">
        <v>12</v>
      </c>
      <c r="J543" s="57"/>
      <c r="K543" s="91">
        <v>45597</v>
      </c>
      <c r="L543" s="86">
        <v>69</v>
      </c>
      <c r="M543" s="85"/>
    </row>
    <row r="544" spans="1:13" ht="31.5">
      <c r="A544" s="97">
        <v>1091</v>
      </c>
      <c r="B544" s="18" t="s">
        <v>5</v>
      </c>
      <c r="C544" s="21" t="s">
        <v>173</v>
      </c>
      <c r="D544" s="21" t="s">
        <v>819</v>
      </c>
      <c r="E544" s="20" t="s">
        <v>324</v>
      </c>
      <c r="F544" s="18" t="str">
        <f>B544</f>
        <v>ECE</v>
      </c>
      <c r="G544" s="86">
        <v>3000</v>
      </c>
      <c r="H544" s="92">
        <v>45629</v>
      </c>
      <c r="I544" s="87" t="s">
        <v>12</v>
      </c>
      <c r="J544" s="57"/>
      <c r="K544" s="99">
        <v>45474</v>
      </c>
      <c r="L544" s="86">
        <v>69</v>
      </c>
      <c r="M544" s="85"/>
    </row>
    <row r="545" spans="1:13" ht="31.5">
      <c r="A545" s="97">
        <v>1092</v>
      </c>
      <c r="B545" s="18" t="s">
        <v>5</v>
      </c>
      <c r="C545" s="21" t="s">
        <v>173</v>
      </c>
      <c r="D545" s="21" t="s">
        <v>818</v>
      </c>
      <c r="E545" s="20" t="s">
        <v>23</v>
      </c>
      <c r="F545" s="18" t="str">
        <f>B545</f>
        <v>ECE</v>
      </c>
      <c r="G545" s="86">
        <v>6000</v>
      </c>
      <c r="H545" s="92">
        <v>45629</v>
      </c>
      <c r="I545" s="87" t="s">
        <v>12</v>
      </c>
      <c r="J545" s="57"/>
      <c r="K545" s="99">
        <v>45505</v>
      </c>
      <c r="L545" s="86">
        <v>69</v>
      </c>
      <c r="M545" s="85"/>
    </row>
    <row r="546" spans="1:13" ht="31.5">
      <c r="A546" s="97">
        <v>1093</v>
      </c>
      <c r="B546" s="18" t="s">
        <v>5</v>
      </c>
      <c r="C546" s="21" t="s">
        <v>173</v>
      </c>
      <c r="D546" s="21" t="s">
        <v>817</v>
      </c>
      <c r="E546" s="20" t="s">
        <v>16</v>
      </c>
      <c r="F546" s="18" t="str">
        <f>B546</f>
        <v>ECE</v>
      </c>
      <c r="G546" s="86">
        <v>1800</v>
      </c>
      <c r="H546" s="92">
        <v>45629</v>
      </c>
      <c r="I546" s="87" t="s">
        <v>12</v>
      </c>
      <c r="J546" s="57"/>
      <c r="K546" s="91">
        <v>45566</v>
      </c>
      <c r="L546" s="86">
        <v>69</v>
      </c>
      <c r="M546" s="85"/>
    </row>
    <row r="547" spans="1:13" ht="15.75">
      <c r="A547" s="97">
        <v>1094</v>
      </c>
      <c r="B547" s="18" t="s">
        <v>5</v>
      </c>
      <c r="C547" s="21" t="s">
        <v>173</v>
      </c>
      <c r="D547" s="21" t="s">
        <v>816</v>
      </c>
      <c r="E547" s="20" t="s">
        <v>16</v>
      </c>
      <c r="F547" s="18" t="str">
        <f>B547</f>
        <v>ECE</v>
      </c>
      <c r="G547" s="86">
        <v>3000</v>
      </c>
      <c r="H547" s="92">
        <v>45629</v>
      </c>
      <c r="I547" s="87" t="s">
        <v>12</v>
      </c>
      <c r="J547" s="57"/>
      <c r="K547" s="91">
        <v>45566</v>
      </c>
      <c r="L547" s="86">
        <v>69</v>
      </c>
      <c r="M547" s="85"/>
    </row>
    <row r="548" spans="1:13" ht="31.5">
      <c r="A548" s="97">
        <v>1095</v>
      </c>
      <c r="B548" s="18" t="s">
        <v>5</v>
      </c>
      <c r="C548" s="21" t="s">
        <v>173</v>
      </c>
      <c r="D548" s="21" t="s">
        <v>815</v>
      </c>
      <c r="E548" s="20" t="s">
        <v>16</v>
      </c>
      <c r="F548" s="18" t="str">
        <f>B548</f>
        <v>ECE</v>
      </c>
      <c r="G548" s="86">
        <v>3000</v>
      </c>
      <c r="H548" s="92">
        <v>45629</v>
      </c>
      <c r="I548" s="87" t="s">
        <v>12</v>
      </c>
      <c r="J548" s="57"/>
      <c r="K548" s="91">
        <v>45566</v>
      </c>
      <c r="L548" s="86">
        <v>69</v>
      </c>
      <c r="M548" s="85"/>
    </row>
    <row r="549" spans="1:13" ht="31.5">
      <c r="A549" s="97">
        <v>1096</v>
      </c>
      <c r="B549" s="18" t="s">
        <v>5</v>
      </c>
      <c r="C549" s="21" t="s">
        <v>18</v>
      </c>
      <c r="D549" s="21" t="s">
        <v>814</v>
      </c>
      <c r="E549" s="20" t="s">
        <v>16</v>
      </c>
      <c r="F549" s="18" t="str">
        <f>B549</f>
        <v>ECE</v>
      </c>
      <c r="G549" s="86">
        <v>3000</v>
      </c>
      <c r="H549" s="92">
        <v>45629</v>
      </c>
      <c r="I549" s="87"/>
      <c r="J549" s="57"/>
      <c r="K549" s="86" t="s">
        <v>812</v>
      </c>
      <c r="L549" s="86">
        <v>69</v>
      </c>
      <c r="M549" s="85"/>
    </row>
    <row r="550" spans="1:13" ht="15.75">
      <c r="A550" s="97">
        <v>1097</v>
      </c>
      <c r="B550" s="18" t="s">
        <v>5</v>
      </c>
      <c r="C550" s="21" t="s">
        <v>18</v>
      </c>
      <c r="D550" s="21" t="s">
        <v>813</v>
      </c>
      <c r="E550" s="20" t="s">
        <v>16</v>
      </c>
      <c r="F550" s="18" t="str">
        <f>B550</f>
        <v>ECE</v>
      </c>
      <c r="G550" s="86">
        <v>900</v>
      </c>
      <c r="H550" s="92">
        <v>45629</v>
      </c>
      <c r="I550" s="87"/>
      <c r="J550" s="57"/>
      <c r="K550" s="86" t="s">
        <v>812</v>
      </c>
      <c r="L550" s="86">
        <v>69</v>
      </c>
      <c r="M550" s="85"/>
    </row>
    <row r="551" spans="1:13" ht="31.5">
      <c r="A551" s="97">
        <v>1098</v>
      </c>
      <c r="B551" s="18" t="s">
        <v>4</v>
      </c>
      <c r="C551" s="21" t="s">
        <v>532</v>
      </c>
      <c r="D551" s="21" t="s">
        <v>811</v>
      </c>
      <c r="E551" s="20" t="s">
        <v>187</v>
      </c>
      <c r="F551" s="18" t="str">
        <f>B551</f>
        <v>EEE</v>
      </c>
      <c r="G551" s="86">
        <v>1800</v>
      </c>
      <c r="H551" s="92">
        <v>45629</v>
      </c>
      <c r="I551" s="87"/>
      <c r="J551" s="57"/>
      <c r="K551" s="98">
        <v>45505</v>
      </c>
      <c r="L551" s="86">
        <v>69</v>
      </c>
      <c r="M551" s="85"/>
    </row>
    <row r="552" spans="1:13" ht="15.75">
      <c r="A552" s="97">
        <v>1099</v>
      </c>
      <c r="B552" s="18" t="s">
        <v>3</v>
      </c>
      <c r="C552" s="21" t="s">
        <v>809</v>
      </c>
      <c r="D552" s="21" t="s">
        <v>810</v>
      </c>
      <c r="E552" s="20" t="s">
        <v>16</v>
      </c>
      <c r="F552" s="18" t="str">
        <f>B552</f>
        <v>IT</v>
      </c>
      <c r="G552" s="86">
        <v>1800</v>
      </c>
      <c r="H552" s="92">
        <v>45629</v>
      </c>
      <c r="I552" s="87"/>
      <c r="J552" s="57"/>
      <c r="K552" s="95">
        <v>45633</v>
      </c>
      <c r="L552" s="86">
        <v>69</v>
      </c>
      <c r="M552" s="85"/>
    </row>
    <row r="553" spans="1:13" ht="31.5">
      <c r="A553" s="97">
        <v>1100</v>
      </c>
      <c r="B553" s="18" t="s">
        <v>3</v>
      </c>
      <c r="C553" s="21" t="s">
        <v>809</v>
      </c>
      <c r="D553" s="21" t="s">
        <v>808</v>
      </c>
      <c r="E553" s="20" t="s">
        <v>16</v>
      </c>
      <c r="F553" s="18" t="str">
        <f>B553</f>
        <v>IT</v>
      </c>
      <c r="G553" s="86">
        <v>3000</v>
      </c>
      <c r="H553" s="92">
        <v>45629</v>
      </c>
      <c r="I553" s="87"/>
      <c r="J553" s="57"/>
      <c r="K553" s="95">
        <v>45392</v>
      </c>
      <c r="L553" s="86">
        <v>69</v>
      </c>
      <c r="M553" s="85"/>
    </row>
    <row r="554" spans="1:13" ht="31.5">
      <c r="A554" s="97">
        <v>1101</v>
      </c>
      <c r="B554" s="18" t="s">
        <v>3</v>
      </c>
      <c r="C554" s="21" t="s">
        <v>673</v>
      </c>
      <c r="D554" s="21" t="s">
        <v>807</v>
      </c>
      <c r="E554" s="20" t="s">
        <v>16</v>
      </c>
      <c r="F554" s="18" t="str">
        <f>B554</f>
        <v>IT</v>
      </c>
      <c r="G554" s="86">
        <v>3000</v>
      </c>
      <c r="H554" s="92">
        <v>45629</v>
      </c>
      <c r="I554" s="87"/>
      <c r="J554" s="57"/>
      <c r="K554" s="95">
        <v>45392</v>
      </c>
      <c r="L554" s="86">
        <v>69</v>
      </c>
      <c r="M554" s="85"/>
    </row>
    <row r="555" spans="1:13" ht="31.5">
      <c r="A555" s="97">
        <v>1102</v>
      </c>
      <c r="B555" s="18" t="s">
        <v>3</v>
      </c>
      <c r="C555" s="21" t="s">
        <v>673</v>
      </c>
      <c r="D555" s="21" t="s">
        <v>806</v>
      </c>
      <c r="E555" s="20" t="s">
        <v>16</v>
      </c>
      <c r="F555" s="18" t="str">
        <f>B555</f>
        <v>IT</v>
      </c>
      <c r="G555" s="86">
        <v>3000</v>
      </c>
      <c r="H555" s="92">
        <v>45629</v>
      </c>
      <c r="I555" s="87"/>
      <c r="J555" s="57"/>
      <c r="K555" s="95">
        <v>45392</v>
      </c>
      <c r="L555" s="86">
        <v>69</v>
      </c>
      <c r="M555" s="85"/>
    </row>
    <row r="556" spans="1:13" ht="15.75">
      <c r="A556" s="97">
        <v>1103</v>
      </c>
      <c r="B556" s="18" t="s">
        <v>1</v>
      </c>
      <c r="C556" s="21" t="s">
        <v>167</v>
      </c>
      <c r="D556" s="21" t="s">
        <v>805</v>
      </c>
      <c r="E556" s="20" t="s">
        <v>187</v>
      </c>
      <c r="F556" s="18" t="str">
        <f>B556</f>
        <v>S&amp;H</v>
      </c>
      <c r="G556" s="86">
        <v>3000</v>
      </c>
      <c r="H556" s="92">
        <v>45629</v>
      </c>
      <c r="I556" s="87"/>
      <c r="J556" s="57"/>
      <c r="K556" s="86" t="s">
        <v>804</v>
      </c>
      <c r="L556" s="86">
        <v>69</v>
      </c>
      <c r="M556" s="85"/>
    </row>
    <row r="557" spans="1:13" ht="15.75">
      <c r="A557" s="97">
        <v>1104</v>
      </c>
      <c r="B557" s="18" t="s">
        <v>1</v>
      </c>
      <c r="C557" s="21" t="s">
        <v>167</v>
      </c>
      <c r="D557" s="21" t="s">
        <v>198</v>
      </c>
      <c r="E557" s="20" t="s">
        <v>193</v>
      </c>
      <c r="F557" s="18" t="str">
        <f>B557</f>
        <v>S&amp;H</v>
      </c>
      <c r="G557" s="86">
        <v>4000</v>
      </c>
      <c r="H557" s="92">
        <v>45629</v>
      </c>
      <c r="I557" s="87"/>
      <c r="J557" s="57"/>
      <c r="K557" s="86" t="s">
        <v>803</v>
      </c>
      <c r="L557" s="86">
        <v>69</v>
      </c>
      <c r="M557" s="85"/>
    </row>
    <row r="558" spans="1:13" ht="31.5">
      <c r="A558" s="97">
        <v>1105</v>
      </c>
      <c r="B558" s="18" t="s">
        <v>1</v>
      </c>
      <c r="C558" s="21" t="s">
        <v>801</v>
      </c>
      <c r="D558" s="21" t="s">
        <v>802</v>
      </c>
      <c r="E558" s="20" t="s">
        <v>16</v>
      </c>
      <c r="F558" s="18" t="str">
        <f>B558</f>
        <v>S&amp;H</v>
      </c>
      <c r="G558" s="86">
        <v>1800</v>
      </c>
      <c r="H558" s="92">
        <v>45629</v>
      </c>
      <c r="I558" s="87"/>
      <c r="J558" s="57"/>
      <c r="K558" s="86" t="s">
        <v>799</v>
      </c>
      <c r="L558" s="86">
        <v>69</v>
      </c>
      <c r="M558" s="85"/>
    </row>
    <row r="559" spans="1:13" ht="15.75">
      <c r="A559" s="97">
        <v>1106</v>
      </c>
      <c r="B559" s="18" t="s">
        <v>1</v>
      </c>
      <c r="C559" s="21" t="s">
        <v>801</v>
      </c>
      <c r="D559" s="21" t="s">
        <v>800</v>
      </c>
      <c r="E559" s="20" t="s">
        <v>16</v>
      </c>
      <c r="F559" s="18" t="str">
        <f>B559</f>
        <v>S&amp;H</v>
      </c>
      <c r="G559" s="86">
        <v>1800</v>
      </c>
      <c r="H559" s="92">
        <v>45629</v>
      </c>
      <c r="I559" s="87"/>
      <c r="J559" s="57"/>
      <c r="K559" s="86" t="s">
        <v>799</v>
      </c>
      <c r="L559" s="86">
        <v>69</v>
      </c>
      <c r="M559" s="85"/>
    </row>
    <row r="560" spans="1:13" ht="31.5">
      <c r="A560" s="97">
        <v>1107</v>
      </c>
      <c r="B560" s="18" t="s">
        <v>1</v>
      </c>
      <c r="C560" s="21" t="s">
        <v>797</v>
      </c>
      <c r="D560" s="21" t="s">
        <v>798</v>
      </c>
      <c r="E560" s="20" t="s">
        <v>16</v>
      </c>
      <c r="F560" s="18" t="str">
        <f>B560</f>
        <v>S&amp;H</v>
      </c>
      <c r="G560" s="86">
        <v>3000</v>
      </c>
      <c r="H560" s="92">
        <v>45629</v>
      </c>
      <c r="I560" s="87"/>
      <c r="J560" s="57"/>
      <c r="K560" s="86" t="s">
        <v>768</v>
      </c>
      <c r="L560" s="86">
        <v>69</v>
      </c>
      <c r="M560" s="85"/>
    </row>
    <row r="561" spans="1:13" ht="31.5">
      <c r="A561" s="97">
        <v>1108</v>
      </c>
      <c r="B561" s="18" t="s">
        <v>1</v>
      </c>
      <c r="C561" s="21" t="s">
        <v>797</v>
      </c>
      <c r="D561" s="21" t="s">
        <v>796</v>
      </c>
      <c r="E561" s="20" t="s">
        <v>16</v>
      </c>
      <c r="F561" s="18" t="str">
        <f>B561</f>
        <v>S&amp;H</v>
      </c>
      <c r="G561" s="86">
        <v>1800</v>
      </c>
      <c r="H561" s="92">
        <v>45629</v>
      </c>
      <c r="I561" s="87"/>
      <c r="J561" s="57"/>
      <c r="K561" s="86" t="s">
        <v>795</v>
      </c>
      <c r="L561" s="86">
        <v>69</v>
      </c>
      <c r="M561" s="85"/>
    </row>
    <row r="562" spans="1:13" ht="15.75">
      <c r="A562" s="97">
        <v>1109</v>
      </c>
      <c r="B562" s="18" t="s">
        <v>1</v>
      </c>
      <c r="C562" s="21" t="s">
        <v>794</v>
      </c>
      <c r="D562" s="21" t="s">
        <v>793</v>
      </c>
      <c r="E562" s="20" t="s">
        <v>16</v>
      </c>
      <c r="F562" s="18" t="str">
        <f>B562</f>
        <v>S&amp;H</v>
      </c>
      <c r="G562" s="86">
        <v>3000</v>
      </c>
      <c r="H562" s="92">
        <v>45629</v>
      </c>
      <c r="I562" s="87"/>
      <c r="J562" s="57"/>
      <c r="K562" s="86" t="s">
        <v>768</v>
      </c>
      <c r="L562" s="86">
        <v>69</v>
      </c>
      <c r="M562" s="85"/>
    </row>
    <row r="563" spans="1:13" ht="31.5">
      <c r="A563" s="97">
        <v>1110</v>
      </c>
      <c r="B563" s="18" t="s">
        <v>1</v>
      </c>
      <c r="C563" s="21" t="s">
        <v>792</v>
      </c>
      <c r="D563" s="21" t="s">
        <v>791</v>
      </c>
      <c r="E563" s="20" t="s">
        <v>16</v>
      </c>
      <c r="F563" s="18" t="str">
        <f>B563</f>
        <v>S&amp;H</v>
      </c>
      <c r="G563" s="86">
        <v>3000</v>
      </c>
      <c r="H563" s="92">
        <v>45629</v>
      </c>
      <c r="I563" s="87"/>
      <c r="J563" s="57"/>
      <c r="K563" s="86" t="s">
        <v>790</v>
      </c>
      <c r="L563" s="86">
        <v>69</v>
      </c>
      <c r="M563" s="85"/>
    </row>
    <row r="564" spans="1:13" ht="15.75">
      <c r="A564" s="97">
        <v>1111</v>
      </c>
      <c r="B564" s="18" t="s">
        <v>0</v>
      </c>
      <c r="C564" s="21" t="s">
        <v>789</v>
      </c>
      <c r="D564" s="21" t="s">
        <v>788</v>
      </c>
      <c r="E564" s="20" t="s">
        <v>324</v>
      </c>
      <c r="F564" s="18" t="str">
        <f>B564</f>
        <v>Maths</v>
      </c>
      <c r="G564" s="86">
        <v>3000</v>
      </c>
      <c r="H564" s="92">
        <v>45629</v>
      </c>
      <c r="I564" s="87"/>
      <c r="J564" s="57"/>
      <c r="K564" s="86" t="s">
        <v>787</v>
      </c>
      <c r="L564" s="86">
        <v>69</v>
      </c>
      <c r="M564" s="85"/>
    </row>
    <row r="565" spans="1:13" ht="15.75">
      <c r="A565" s="97">
        <v>1112</v>
      </c>
      <c r="B565" s="18" t="s">
        <v>0</v>
      </c>
      <c r="C565" s="21" t="s">
        <v>786</v>
      </c>
      <c r="D565" s="21" t="s">
        <v>785</v>
      </c>
      <c r="E565" s="20" t="s">
        <v>324</v>
      </c>
      <c r="F565" s="18" t="str">
        <f>B565</f>
        <v>Maths</v>
      </c>
      <c r="G565" s="86">
        <v>5000</v>
      </c>
      <c r="H565" s="92">
        <v>45629</v>
      </c>
      <c r="I565" s="87"/>
      <c r="J565" s="57"/>
      <c r="K565" s="86" t="s">
        <v>784</v>
      </c>
      <c r="L565" s="86">
        <v>69</v>
      </c>
      <c r="M565" s="85"/>
    </row>
    <row r="566" spans="1:13" ht="15.75">
      <c r="A566" s="46"/>
      <c r="B566" s="46"/>
      <c r="C566" s="46"/>
      <c r="D566" s="46" t="s">
        <v>11</v>
      </c>
      <c r="E566" s="42"/>
      <c r="F566" s="90"/>
      <c r="G566" s="89">
        <f>SUM(G534:G565)</f>
        <v>119300</v>
      </c>
      <c r="H566" s="42" t="s">
        <v>718</v>
      </c>
      <c r="I566" s="42"/>
      <c r="J566" s="45">
        <f>G566</f>
        <v>119300</v>
      </c>
      <c r="K566" s="42"/>
      <c r="L566" s="46">
        <v>69</v>
      </c>
      <c r="M566" s="88"/>
    </row>
    <row r="567" spans="1:13" ht="15.75">
      <c r="A567" s="83">
        <v>1113</v>
      </c>
      <c r="B567" s="18" t="s">
        <v>8</v>
      </c>
      <c r="C567" s="21" t="s">
        <v>34</v>
      </c>
      <c r="D567" s="21" t="s">
        <v>783</v>
      </c>
      <c r="E567" s="20" t="s">
        <v>324</v>
      </c>
      <c r="F567" s="18" t="str">
        <f>B567</f>
        <v>CCE</v>
      </c>
      <c r="G567" s="86">
        <v>3000</v>
      </c>
      <c r="H567" s="92">
        <v>45649</v>
      </c>
      <c r="I567" s="87"/>
      <c r="J567" s="57"/>
      <c r="K567" s="86"/>
      <c r="L567" s="86">
        <v>70</v>
      </c>
      <c r="M567" s="85"/>
    </row>
    <row r="568" spans="1:13" ht="31.5">
      <c r="A568" s="83">
        <v>1114</v>
      </c>
      <c r="B568" s="18" t="s">
        <v>8</v>
      </c>
      <c r="C568" s="21" t="s">
        <v>34</v>
      </c>
      <c r="D568" s="21" t="s">
        <v>782</v>
      </c>
      <c r="E568" s="20" t="s">
        <v>23</v>
      </c>
      <c r="F568" s="18" t="str">
        <f>B568</f>
        <v>CCE</v>
      </c>
      <c r="G568" s="86">
        <v>10000</v>
      </c>
      <c r="H568" s="92">
        <v>45649</v>
      </c>
      <c r="I568" s="87"/>
      <c r="J568" s="57"/>
      <c r="K568" s="86"/>
      <c r="L568" s="86">
        <v>70</v>
      </c>
      <c r="M568" s="85"/>
    </row>
    <row r="569" spans="1:13" ht="31.5">
      <c r="A569" s="83">
        <v>1115</v>
      </c>
      <c r="B569" s="18" t="s">
        <v>5</v>
      </c>
      <c r="C569" s="21" t="s">
        <v>781</v>
      </c>
      <c r="D569" s="21" t="s">
        <v>780</v>
      </c>
      <c r="E569" s="20" t="s">
        <v>23</v>
      </c>
      <c r="F569" s="18" t="str">
        <f>B569</f>
        <v>ECE</v>
      </c>
      <c r="G569" s="86">
        <v>3000</v>
      </c>
      <c r="H569" s="92">
        <v>45649</v>
      </c>
      <c r="I569" s="87"/>
      <c r="J569" s="57"/>
      <c r="K569" s="96">
        <v>45302</v>
      </c>
      <c r="L569" s="86">
        <v>70</v>
      </c>
      <c r="M569" s="85"/>
    </row>
    <row r="570" spans="1:13" ht="31.5">
      <c r="A570" s="83">
        <v>1116</v>
      </c>
      <c r="B570" s="18" t="s">
        <v>5</v>
      </c>
      <c r="C570" s="21" t="s">
        <v>170</v>
      </c>
      <c r="D570" s="21" t="s">
        <v>779</v>
      </c>
      <c r="E570" s="20" t="s">
        <v>16</v>
      </c>
      <c r="F570" s="18" t="str">
        <f>B570</f>
        <v>ECE</v>
      </c>
      <c r="G570" s="86">
        <v>1800</v>
      </c>
      <c r="H570" s="92">
        <v>45649</v>
      </c>
      <c r="I570" s="87"/>
      <c r="J570" s="57"/>
      <c r="K570" s="86" t="s">
        <v>778</v>
      </c>
      <c r="L570" s="86">
        <v>70</v>
      </c>
      <c r="M570" s="85"/>
    </row>
    <row r="571" spans="1:13" ht="15.75">
      <c r="A571" s="83">
        <v>1117</v>
      </c>
      <c r="B571" s="18" t="s">
        <v>5</v>
      </c>
      <c r="C571" s="21" t="s">
        <v>170</v>
      </c>
      <c r="D571" s="21" t="s">
        <v>166</v>
      </c>
      <c r="E571" s="20" t="s">
        <v>193</v>
      </c>
      <c r="F571" s="18" t="str">
        <f>B571</f>
        <v>ECE</v>
      </c>
      <c r="G571" s="86">
        <v>2000</v>
      </c>
      <c r="H571" s="92">
        <v>45649</v>
      </c>
      <c r="I571" s="87"/>
      <c r="J571" s="57"/>
      <c r="K571" s="96">
        <v>45608</v>
      </c>
      <c r="L571" s="86">
        <v>70</v>
      </c>
      <c r="M571" s="85"/>
    </row>
    <row r="572" spans="1:13" ht="31.5">
      <c r="A572" s="83">
        <v>1118</v>
      </c>
      <c r="B572" s="18" t="s">
        <v>5</v>
      </c>
      <c r="C572" s="51" t="s">
        <v>777</v>
      </c>
      <c r="D572" s="21" t="s">
        <v>776</v>
      </c>
      <c r="E572" s="20" t="s">
        <v>16</v>
      </c>
      <c r="F572" s="18" t="str">
        <f>B572</f>
        <v>ECE</v>
      </c>
      <c r="G572" s="86">
        <v>1800</v>
      </c>
      <c r="H572" s="92">
        <v>45649</v>
      </c>
      <c r="I572" s="87"/>
      <c r="J572" s="57"/>
      <c r="K572" s="95">
        <v>45360</v>
      </c>
      <c r="L572" s="86">
        <v>70</v>
      </c>
      <c r="M572" s="85"/>
    </row>
    <row r="573" spans="1:13" ht="31.5">
      <c r="A573" s="83">
        <v>1119</v>
      </c>
      <c r="B573" s="18" t="s">
        <v>5</v>
      </c>
      <c r="C573" s="21" t="s">
        <v>115</v>
      </c>
      <c r="D573" s="21" t="s">
        <v>775</v>
      </c>
      <c r="E573" s="20" t="s">
        <v>23</v>
      </c>
      <c r="F573" s="18" t="str">
        <f>B573</f>
        <v>ECE</v>
      </c>
      <c r="G573" s="86">
        <v>25000</v>
      </c>
      <c r="H573" s="92">
        <v>45649</v>
      </c>
      <c r="I573" s="87"/>
      <c r="J573" s="57"/>
      <c r="K573" s="86" t="s">
        <v>766</v>
      </c>
      <c r="L573" s="86">
        <v>70</v>
      </c>
      <c r="M573" s="85"/>
    </row>
    <row r="574" spans="1:13" ht="31.5">
      <c r="A574" s="83">
        <v>1120</v>
      </c>
      <c r="B574" s="18" t="s">
        <v>5</v>
      </c>
      <c r="C574" s="21" t="s">
        <v>773</v>
      </c>
      <c r="D574" s="21" t="s">
        <v>774</v>
      </c>
      <c r="E574" s="20" t="s">
        <v>23</v>
      </c>
      <c r="F574" s="18" t="str">
        <f>B574</f>
        <v>ECE</v>
      </c>
      <c r="G574" s="86">
        <v>6000</v>
      </c>
      <c r="H574" s="92">
        <v>45649</v>
      </c>
      <c r="I574" s="87"/>
      <c r="J574" s="57"/>
      <c r="K574" s="95">
        <v>45390</v>
      </c>
      <c r="L574" s="86">
        <v>70</v>
      </c>
      <c r="M574" s="85"/>
    </row>
    <row r="575" spans="1:13" ht="15.75">
      <c r="A575" s="83">
        <v>1121</v>
      </c>
      <c r="B575" s="18" t="s">
        <v>5</v>
      </c>
      <c r="C575" s="21" t="s">
        <v>773</v>
      </c>
      <c r="D575" s="21" t="s">
        <v>166</v>
      </c>
      <c r="E575" s="20" t="s">
        <v>193</v>
      </c>
      <c r="F575" s="18" t="str">
        <f>B575</f>
        <v>ECE</v>
      </c>
      <c r="G575" s="86">
        <v>2000</v>
      </c>
      <c r="H575" s="92">
        <v>45649</v>
      </c>
      <c r="I575" s="87"/>
      <c r="J575" s="57"/>
      <c r="K575" s="95">
        <v>45455</v>
      </c>
      <c r="L575" s="86">
        <v>70</v>
      </c>
      <c r="M575" s="85"/>
    </row>
    <row r="576" spans="1:13" ht="15.75">
      <c r="A576" s="83">
        <v>1122</v>
      </c>
      <c r="B576" s="18" t="s">
        <v>5</v>
      </c>
      <c r="C576" s="21" t="s">
        <v>72</v>
      </c>
      <c r="D576" s="21" t="s">
        <v>198</v>
      </c>
      <c r="E576" s="20" t="s">
        <v>193</v>
      </c>
      <c r="F576" s="18" t="str">
        <f>B576</f>
        <v>ECE</v>
      </c>
      <c r="G576" s="86">
        <v>4000</v>
      </c>
      <c r="H576" s="92">
        <v>45649</v>
      </c>
      <c r="I576" s="87"/>
      <c r="J576" s="57"/>
      <c r="K576" s="95">
        <v>45424</v>
      </c>
      <c r="L576" s="86">
        <v>70</v>
      </c>
      <c r="M576" s="85"/>
    </row>
    <row r="577" spans="1:13" ht="15.75">
      <c r="A577" s="83">
        <v>1123</v>
      </c>
      <c r="B577" s="18" t="s">
        <v>5</v>
      </c>
      <c r="C577" s="21" t="s">
        <v>178</v>
      </c>
      <c r="D577" s="21" t="s">
        <v>198</v>
      </c>
      <c r="E577" s="20" t="s">
        <v>193</v>
      </c>
      <c r="F577" s="18" t="str">
        <f>B577</f>
        <v>ECE</v>
      </c>
      <c r="G577" s="86">
        <v>4000</v>
      </c>
      <c r="H577" s="92">
        <v>45649</v>
      </c>
      <c r="I577" s="87"/>
      <c r="J577" s="57"/>
      <c r="K577" s="95">
        <v>45334</v>
      </c>
      <c r="L577" s="86">
        <v>70</v>
      </c>
      <c r="M577" s="85"/>
    </row>
    <row r="578" spans="1:13" ht="15.75">
      <c r="A578" s="83">
        <v>1124</v>
      </c>
      <c r="B578" s="18" t="s">
        <v>4</v>
      </c>
      <c r="C578" s="21" t="s">
        <v>772</v>
      </c>
      <c r="D578" s="21" t="s">
        <v>319</v>
      </c>
      <c r="E578" s="20" t="s">
        <v>193</v>
      </c>
      <c r="F578" s="18" t="str">
        <f>B578</f>
        <v>EEE</v>
      </c>
      <c r="G578" s="86">
        <v>8000</v>
      </c>
      <c r="H578" s="92">
        <v>45649</v>
      </c>
      <c r="I578" s="87"/>
      <c r="J578" s="57"/>
      <c r="K578" s="95">
        <v>45455</v>
      </c>
      <c r="L578" s="86">
        <v>70</v>
      </c>
      <c r="M578" s="85"/>
    </row>
    <row r="579" spans="1:13" ht="31.5">
      <c r="A579" s="83">
        <v>1125</v>
      </c>
      <c r="B579" s="18" t="s">
        <v>1</v>
      </c>
      <c r="C579" s="21" t="s">
        <v>770</v>
      </c>
      <c r="D579" s="21" t="s">
        <v>771</v>
      </c>
      <c r="E579" s="20" t="s">
        <v>16</v>
      </c>
      <c r="F579" s="18" t="str">
        <f>B579</f>
        <v>S&amp;H</v>
      </c>
      <c r="G579" s="86">
        <v>1800</v>
      </c>
      <c r="H579" s="92">
        <v>45649</v>
      </c>
      <c r="I579" s="87"/>
      <c r="J579" s="57"/>
      <c r="K579" s="95">
        <v>45391</v>
      </c>
      <c r="L579" s="86">
        <v>70</v>
      </c>
      <c r="M579" s="85"/>
    </row>
    <row r="580" spans="1:13" ht="31.5">
      <c r="A580" s="83">
        <v>1126</v>
      </c>
      <c r="B580" s="18" t="s">
        <v>1</v>
      </c>
      <c r="C580" s="21" t="s">
        <v>770</v>
      </c>
      <c r="D580" s="21" t="s">
        <v>769</v>
      </c>
      <c r="E580" s="20" t="s">
        <v>16</v>
      </c>
      <c r="F580" s="18" t="str">
        <f>B580</f>
        <v>S&amp;H</v>
      </c>
      <c r="G580" s="86">
        <v>1800</v>
      </c>
      <c r="H580" s="92">
        <v>45649</v>
      </c>
      <c r="I580" s="87"/>
      <c r="J580" s="57"/>
      <c r="K580" s="86" t="s">
        <v>768</v>
      </c>
      <c r="L580" s="86">
        <v>70</v>
      </c>
      <c r="M580" s="85"/>
    </row>
    <row r="581" spans="1:13" ht="31.5">
      <c r="A581" s="83">
        <v>1127</v>
      </c>
      <c r="B581" s="18" t="s">
        <v>5</v>
      </c>
      <c r="C581" s="21" t="s">
        <v>26</v>
      </c>
      <c r="D581" s="21" t="s">
        <v>767</v>
      </c>
      <c r="E581" s="20" t="s">
        <v>23</v>
      </c>
      <c r="F581" s="18" t="str">
        <f>B581</f>
        <v>ECE</v>
      </c>
      <c r="G581" s="86">
        <v>3000</v>
      </c>
      <c r="H581" s="92">
        <v>45649</v>
      </c>
      <c r="I581" s="87"/>
      <c r="J581" s="57"/>
      <c r="K581" s="86" t="s">
        <v>766</v>
      </c>
      <c r="L581" s="86">
        <v>70</v>
      </c>
      <c r="M581" s="85"/>
    </row>
    <row r="582" spans="1:13" ht="15.75">
      <c r="A582" s="83">
        <v>1128</v>
      </c>
      <c r="B582" s="18" t="s">
        <v>5</v>
      </c>
      <c r="C582" s="21" t="s">
        <v>26</v>
      </c>
      <c r="D582" s="21" t="s">
        <v>198</v>
      </c>
      <c r="E582" s="20" t="s">
        <v>193</v>
      </c>
      <c r="F582" s="18" t="str">
        <f>B582</f>
        <v>ECE</v>
      </c>
      <c r="G582" s="86">
        <v>4000</v>
      </c>
      <c r="H582" s="92">
        <v>45649</v>
      </c>
      <c r="I582" s="87"/>
      <c r="J582" s="57"/>
      <c r="K582" s="96">
        <v>45638</v>
      </c>
      <c r="L582" s="86">
        <v>70</v>
      </c>
      <c r="M582" s="85"/>
    </row>
    <row r="583" spans="1:13" ht="15.75">
      <c r="A583" s="46"/>
      <c r="B583" s="46"/>
      <c r="C583" s="46"/>
      <c r="D583" s="46" t="s">
        <v>11</v>
      </c>
      <c r="E583" s="42"/>
      <c r="F583" s="90"/>
      <c r="G583" s="89">
        <f>SUM(G567:G582)</f>
        <v>81200</v>
      </c>
      <c r="H583" s="42" t="s">
        <v>718</v>
      </c>
      <c r="I583" s="42"/>
      <c r="J583" s="45">
        <f>G583</f>
        <v>81200</v>
      </c>
      <c r="K583" s="42"/>
      <c r="L583" s="46">
        <v>70</v>
      </c>
      <c r="M583" s="88"/>
    </row>
    <row r="584" spans="1:13" ht="31.5">
      <c r="A584" s="94">
        <v>1129</v>
      </c>
      <c r="B584" s="18" t="s">
        <v>8</v>
      </c>
      <c r="C584" s="21" t="s">
        <v>405</v>
      </c>
      <c r="D584" s="21" t="s">
        <v>765</v>
      </c>
      <c r="E584" s="20" t="s">
        <v>23</v>
      </c>
      <c r="F584" s="18" t="str">
        <f>B584</f>
        <v>CCE</v>
      </c>
      <c r="G584" s="86">
        <v>10000</v>
      </c>
      <c r="H584" s="92">
        <v>45649</v>
      </c>
      <c r="I584" s="87"/>
      <c r="J584" s="57"/>
      <c r="K584" s="95">
        <v>45360</v>
      </c>
      <c r="L584" s="86">
        <v>71</v>
      </c>
      <c r="M584" s="85"/>
    </row>
    <row r="585" spans="1:13" ht="15.75">
      <c r="A585" s="94">
        <v>1130</v>
      </c>
      <c r="B585" s="18" t="s">
        <v>8</v>
      </c>
      <c r="C585" s="21" t="s">
        <v>405</v>
      </c>
      <c r="D585" s="21" t="s">
        <v>764</v>
      </c>
      <c r="E585" s="20" t="s">
        <v>324</v>
      </c>
      <c r="F585" s="18" t="str">
        <f>B585</f>
        <v>CCE</v>
      </c>
      <c r="G585" s="86">
        <v>5000</v>
      </c>
      <c r="H585" s="92">
        <v>45649</v>
      </c>
      <c r="I585" s="87"/>
      <c r="J585" s="57"/>
      <c r="K585" s="86" t="s">
        <v>721</v>
      </c>
      <c r="L585" s="86">
        <v>71</v>
      </c>
      <c r="M585" s="85"/>
    </row>
    <row r="586" spans="1:13" ht="15.75">
      <c r="A586" s="94">
        <v>1131</v>
      </c>
      <c r="B586" s="18" t="s">
        <v>8</v>
      </c>
      <c r="C586" s="21" t="s">
        <v>405</v>
      </c>
      <c r="D586" s="21" t="s">
        <v>763</v>
      </c>
      <c r="E586" s="20" t="s">
        <v>16</v>
      </c>
      <c r="F586" s="18" t="str">
        <f>B586</f>
        <v>CCE</v>
      </c>
      <c r="G586" s="86">
        <v>1800</v>
      </c>
      <c r="H586" s="92">
        <v>45649</v>
      </c>
      <c r="I586" s="87"/>
      <c r="J586" s="57"/>
      <c r="K586" s="95">
        <v>45329</v>
      </c>
      <c r="L586" s="86">
        <v>71</v>
      </c>
      <c r="M586" s="85"/>
    </row>
    <row r="587" spans="1:13" ht="31.5">
      <c r="A587" s="94">
        <v>1132</v>
      </c>
      <c r="B587" s="18" t="s">
        <v>8</v>
      </c>
      <c r="C587" s="21" t="s">
        <v>405</v>
      </c>
      <c r="D587" s="21" t="s">
        <v>762</v>
      </c>
      <c r="E587" s="20" t="s">
        <v>16</v>
      </c>
      <c r="F587" s="18" t="str">
        <f>B587</f>
        <v>CCE</v>
      </c>
      <c r="G587" s="86">
        <v>1800</v>
      </c>
      <c r="H587" s="92">
        <v>45649</v>
      </c>
      <c r="I587" s="87"/>
      <c r="J587" s="57"/>
      <c r="K587" s="95">
        <v>45571</v>
      </c>
      <c r="L587" s="86">
        <v>71</v>
      </c>
      <c r="M587" s="85"/>
    </row>
    <row r="588" spans="1:13" ht="15.75">
      <c r="A588" s="94">
        <v>1133</v>
      </c>
      <c r="B588" s="18" t="s">
        <v>8</v>
      </c>
      <c r="C588" s="21" t="s">
        <v>405</v>
      </c>
      <c r="D588" s="21" t="s">
        <v>761</v>
      </c>
      <c r="E588" s="20" t="s">
        <v>16</v>
      </c>
      <c r="F588" s="18" t="str">
        <f>B588</f>
        <v>CCE</v>
      </c>
      <c r="G588" s="86">
        <v>1500</v>
      </c>
      <c r="H588" s="92">
        <v>45649</v>
      </c>
      <c r="I588" s="87"/>
      <c r="J588" s="57"/>
      <c r="K588" s="86" t="s">
        <v>743</v>
      </c>
      <c r="L588" s="86">
        <v>71</v>
      </c>
      <c r="M588" s="85"/>
    </row>
    <row r="589" spans="1:13" ht="15.75">
      <c r="A589" s="94">
        <v>1134</v>
      </c>
      <c r="B589" s="18" t="s">
        <v>8</v>
      </c>
      <c r="C589" s="21" t="s">
        <v>405</v>
      </c>
      <c r="D589" s="21" t="s">
        <v>737</v>
      </c>
      <c r="E589" s="20" t="s">
        <v>193</v>
      </c>
      <c r="F589" s="18" t="str">
        <f>B592</f>
        <v>CCE</v>
      </c>
      <c r="G589" s="86">
        <v>10000</v>
      </c>
      <c r="H589" s="92">
        <v>45649</v>
      </c>
      <c r="I589" s="87"/>
      <c r="J589" s="57"/>
      <c r="K589" s="86"/>
      <c r="L589" s="86">
        <v>71</v>
      </c>
      <c r="M589" s="85"/>
    </row>
    <row r="590" spans="1:13" ht="47.25">
      <c r="A590" s="94">
        <v>1135</v>
      </c>
      <c r="B590" s="18" t="s">
        <v>758</v>
      </c>
      <c r="C590" s="21" t="s">
        <v>760</v>
      </c>
      <c r="D590" s="21" t="s">
        <v>759</v>
      </c>
      <c r="E590" s="20" t="s">
        <v>23</v>
      </c>
      <c r="F590" s="18" t="str">
        <f>B590</f>
        <v>AI-ML</v>
      </c>
      <c r="G590" s="93">
        <v>6000</v>
      </c>
      <c r="H590" s="92">
        <v>45649</v>
      </c>
      <c r="I590" s="87"/>
      <c r="J590" s="57"/>
      <c r="K590" s="86" t="s">
        <v>721</v>
      </c>
      <c r="L590" s="86">
        <v>71</v>
      </c>
      <c r="M590" s="85"/>
    </row>
    <row r="591" spans="1:13" ht="15.75">
      <c r="A591" s="94">
        <v>1136</v>
      </c>
      <c r="B591" s="18" t="s">
        <v>758</v>
      </c>
      <c r="C591" s="21" t="s">
        <v>757</v>
      </c>
      <c r="D591" s="21" t="s">
        <v>756</v>
      </c>
      <c r="E591" s="20" t="s">
        <v>16</v>
      </c>
      <c r="F591" s="18" t="str">
        <f>B591</f>
        <v>AI-ML</v>
      </c>
      <c r="G591" s="93">
        <v>1800</v>
      </c>
      <c r="H591" s="92">
        <v>45649</v>
      </c>
      <c r="I591" s="87"/>
      <c r="J591" s="57"/>
      <c r="K591" s="95">
        <v>45422</v>
      </c>
      <c r="L591" s="86">
        <v>71</v>
      </c>
      <c r="M591" s="85"/>
    </row>
    <row r="592" spans="1:13" ht="31.5">
      <c r="A592" s="94">
        <v>1137</v>
      </c>
      <c r="B592" s="18" t="s">
        <v>8</v>
      </c>
      <c r="C592" s="21" t="s">
        <v>307</v>
      </c>
      <c r="D592" s="21" t="s">
        <v>755</v>
      </c>
      <c r="E592" s="20" t="s">
        <v>16</v>
      </c>
      <c r="F592" s="18" t="str">
        <f>B592</f>
        <v>CCE</v>
      </c>
      <c r="G592" s="93">
        <v>3000</v>
      </c>
      <c r="H592" s="92">
        <v>45649</v>
      </c>
      <c r="I592" s="87"/>
      <c r="J592" s="57"/>
      <c r="K592" s="95">
        <v>45393</v>
      </c>
      <c r="L592" s="86">
        <v>71</v>
      </c>
      <c r="M592" s="85"/>
    </row>
    <row r="593" spans="1:13" ht="31.5">
      <c r="A593" s="94">
        <v>1138</v>
      </c>
      <c r="B593" s="18" t="s">
        <v>8</v>
      </c>
      <c r="C593" s="21" t="s">
        <v>307</v>
      </c>
      <c r="D593" s="21" t="s">
        <v>754</v>
      </c>
      <c r="E593" s="20" t="s">
        <v>16</v>
      </c>
      <c r="F593" s="18" t="str">
        <f>B593</f>
        <v>CCE</v>
      </c>
      <c r="G593" s="93">
        <v>3000</v>
      </c>
      <c r="H593" s="92">
        <v>45649</v>
      </c>
      <c r="I593" s="87"/>
      <c r="J593" s="57"/>
      <c r="K593" s="95">
        <v>45393</v>
      </c>
      <c r="L593" s="86">
        <v>71</v>
      </c>
      <c r="M593" s="85"/>
    </row>
    <row r="594" spans="1:13" ht="15.75">
      <c r="A594" s="94">
        <v>1139</v>
      </c>
      <c r="B594" s="18" t="s">
        <v>8</v>
      </c>
      <c r="C594" s="21" t="s">
        <v>307</v>
      </c>
      <c r="D594" s="21" t="s">
        <v>753</v>
      </c>
      <c r="E594" s="20" t="s">
        <v>16</v>
      </c>
      <c r="F594" s="18" t="str">
        <f>B594</f>
        <v>CCE</v>
      </c>
      <c r="G594" s="93">
        <v>3000</v>
      </c>
      <c r="H594" s="92">
        <v>45649</v>
      </c>
      <c r="I594" s="87"/>
      <c r="J594" s="57"/>
      <c r="K594" s="86" t="s">
        <v>751</v>
      </c>
      <c r="L594" s="86">
        <v>71</v>
      </c>
      <c r="M594" s="85"/>
    </row>
    <row r="595" spans="1:13" ht="31.5">
      <c r="A595" s="94">
        <v>1140</v>
      </c>
      <c r="B595" s="18" t="s">
        <v>6</v>
      </c>
      <c r="C595" s="21" t="s">
        <v>750</v>
      </c>
      <c r="D595" s="21" t="s">
        <v>752</v>
      </c>
      <c r="E595" s="20" t="s">
        <v>16</v>
      </c>
      <c r="F595" s="18" t="str">
        <f>B595</f>
        <v>CSE</v>
      </c>
      <c r="G595" s="93">
        <v>3000</v>
      </c>
      <c r="H595" s="92">
        <v>45649</v>
      </c>
      <c r="I595" s="87"/>
      <c r="J595" s="57"/>
      <c r="K595" s="86" t="s">
        <v>751</v>
      </c>
      <c r="L595" s="86">
        <v>71</v>
      </c>
      <c r="M595" s="85"/>
    </row>
    <row r="596" spans="1:13" ht="15.75">
      <c r="A596" s="94">
        <v>1141</v>
      </c>
      <c r="B596" s="18" t="s">
        <v>6</v>
      </c>
      <c r="C596" s="21" t="s">
        <v>750</v>
      </c>
      <c r="D596" s="21" t="s">
        <v>749</v>
      </c>
      <c r="E596" s="20" t="s">
        <v>16</v>
      </c>
      <c r="F596" s="18" t="str">
        <f>B596</f>
        <v>CSE</v>
      </c>
      <c r="G596" s="93">
        <v>1800</v>
      </c>
      <c r="H596" s="92">
        <v>45649</v>
      </c>
      <c r="I596" s="87"/>
      <c r="J596" s="57"/>
      <c r="K596" s="86" t="s">
        <v>748</v>
      </c>
      <c r="L596" s="86">
        <v>71</v>
      </c>
      <c r="M596" s="85"/>
    </row>
    <row r="597" spans="1:13" ht="31.5">
      <c r="A597" s="94">
        <v>1142</v>
      </c>
      <c r="B597" s="18" t="s">
        <v>5</v>
      </c>
      <c r="C597" s="21" t="s">
        <v>52</v>
      </c>
      <c r="D597" s="21" t="s">
        <v>747</v>
      </c>
      <c r="E597" s="20" t="s">
        <v>16</v>
      </c>
      <c r="F597" s="18" t="str">
        <f>B597</f>
        <v>ECE</v>
      </c>
      <c r="G597" s="93">
        <v>3000</v>
      </c>
      <c r="H597" s="92">
        <v>45649</v>
      </c>
      <c r="I597" s="87"/>
      <c r="J597" s="57"/>
      <c r="K597" s="96">
        <v>45577</v>
      </c>
      <c r="L597" s="86">
        <v>71</v>
      </c>
      <c r="M597" s="85"/>
    </row>
    <row r="598" spans="1:13" ht="31.5">
      <c r="A598" s="94">
        <v>1143</v>
      </c>
      <c r="B598" s="18" t="s">
        <v>5</v>
      </c>
      <c r="C598" s="21" t="s">
        <v>52</v>
      </c>
      <c r="D598" s="21" t="s">
        <v>746</v>
      </c>
      <c r="E598" s="20" t="s">
        <v>16</v>
      </c>
      <c r="F598" s="18" t="str">
        <f>B598</f>
        <v>ECE</v>
      </c>
      <c r="G598" s="93">
        <v>3000</v>
      </c>
      <c r="H598" s="92">
        <v>45649</v>
      </c>
      <c r="I598" s="87"/>
      <c r="J598" s="57"/>
      <c r="K598" s="96">
        <v>45577</v>
      </c>
      <c r="L598" s="86">
        <v>71</v>
      </c>
      <c r="M598" s="85"/>
    </row>
    <row r="599" spans="1:13" ht="31.5">
      <c r="A599" s="94">
        <v>1144</v>
      </c>
      <c r="B599" s="18" t="s">
        <v>5</v>
      </c>
      <c r="C599" s="21" t="s">
        <v>52</v>
      </c>
      <c r="D599" s="21" t="s">
        <v>745</v>
      </c>
      <c r="E599" s="20" t="s">
        <v>16</v>
      </c>
      <c r="F599" s="18" t="str">
        <f>B599</f>
        <v>ECE</v>
      </c>
      <c r="G599" s="93">
        <v>3000</v>
      </c>
      <c r="H599" s="92">
        <v>45649</v>
      </c>
      <c r="I599" s="87"/>
      <c r="J599" s="57"/>
      <c r="K599" s="96">
        <v>45577</v>
      </c>
      <c r="L599" s="86">
        <v>71</v>
      </c>
      <c r="M599" s="85"/>
    </row>
    <row r="600" spans="1:13" ht="15.75">
      <c r="A600" s="94">
        <v>1145</v>
      </c>
      <c r="B600" s="18" t="s">
        <v>5</v>
      </c>
      <c r="C600" s="21" t="s">
        <v>52</v>
      </c>
      <c r="D600" s="21" t="s">
        <v>744</v>
      </c>
      <c r="E600" s="20" t="s">
        <v>16</v>
      </c>
      <c r="F600" s="18" t="str">
        <f>B600</f>
        <v>ECE</v>
      </c>
      <c r="G600" s="93">
        <v>3000</v>
      </c>
      <c r="H600" s="92">
        <v>45649</v>
      </c>
      <c r="I600" s="87"/>
      <c r="J600" s="57"/>
      <c r="K600" s="96">
        <v>45577</v>
      </c>
      <c r="L600" s="86">
        <v>71</v>
      </c>
      <c r="M600" s="85"/>
    </row>
    <row r="601" spans="1:13" ht="15.75">
      <c r="A601" s="94">
        <v>1146</v>
      </c>
      <c r="B601" s="18" t="s">
        <v>5</v>
      </c>
      <c r="C601" s="21" t="s">
        <v>52</v>
      </c>
      <c r="D601" s="21" t="s">
        <v>239</v>
      </c>
      <c r="E601" s="20" t="s">
        <v>193</v>
      </c>
      <c r="F601" s="18" t="str">
        <f>B601</f>
        <v>ECE</v>
      </c>
      <c r="G601" s="93">
        <v>6000</v>
      </c>
      <c r="H601" s="92">
        <v>45649</v>
      </c>
      <c r="I601" s="87"/>
      <c r="J601" s="57"/>
      <c r="K601" s="86" t="s">
        <v>743</v>
      </c>
      <c r="L601" s="86">
        <v>71</v>
      </c>
      <c r="M601" s="85"/>
    </row>
    <row r="602" spans="1:13" ht="31.5">
      <c r="A602" s="97">
        <v>1147</v>
      </c>
      <c r="B602" s="18" t="s">
        <v>5</v>
      </c>
      <c r="C602" s="21" t="s">
        <v>178</v>
      </c>
      <c r="D602" s="21" t="s">
        <v>742</v>
      </c>
      <c r="E602" s="20" t="s">
        <v>16</v>
      </c>
      <c r="F602" s="18" t="str">
        <f>B602</f>
        <v>ECE</v>
      </c>
      <c r="G602" s="93">
        <v>3000</v>
      </c>
      <c r="H602" s="92">
        <v>45649</v>
      </c>
      <c r="I602" s="87"/>
      <c r="J602" s="57"/>
      <c r="K602" s="95">
        <v>45547</v>
      </c>
      <c r="L602" s="86">
        <v>71</v>
      </c>
      <c r="M602" s="85"/>
    </row>
    <row r="603" spans="1:13" ht="31.5">
      <c r="A603" s="97">
        <v>1148</v>
      </c>
      <c r="B603" s="18" t="s">
        <v>5</v>
      </c>
      <c r="C603" s="21" t="s">
        <v>26</v>
      </c>
      <c r="D603" s="21" t="s">
        <v>741</v>
      </c>
      <c r="E603" s="20" t="s">
        <v>324</v>
      </c>
      <c r="F603" s="18" t="str">
        <f>B603</f>
        <v>ECE</v>
      </c>
      <c r="G603" s="93">
        <v>5000</v>
      </c>
      <c r="H603" s="92">
        <v>45649</v>
      </c>
      <c r="I603" s="87"/>
      <c r="J603" s="57"/>
      <c r="K603" s="95">
        <v>45424</v>
      </c>
      <c r="L603" s="86">
        <v>71</v>
      </c>
      <c r="M603" s="85"/>
    </row>
    <row r="604" spans="1:13" ht="31.5">
      <c r="A604" s="97">
        <v>1149</v>
      </c>
      <c r="B604" s="18" t="s">
        <v>5</v>
      </c>
      <c r="C604" s="21" t="s">
        <v>66</v>
      </c>
      <c r="D604" s="21" t="s">
        <v>740</v>
      </c>
      <c r="E604" s="20" t="s">
        <v>16</v>
      </c>
      <c r="F604" s="18" t="str">
        <f>B604</f>
        <v>ECE</v>
      </c>
      <c r="G604" s="93">
        <v>900</v>
      </c>
      <c r="H604" s="92">
        <v>45649</v>
      </c>
      <c r="I604" s="87"/>
      <c r="J604" s="57"/>
      <c r="K604" s="95">
        <v>45516</v>
      </c>
      <c r="L604" s="86">
        <v>71</v>
      </c>
      <c r="M604" s="85"/>
    </row>
    <row r="605" spans="1:13" ht="15.75">
      <c r="A605" s="97">
        <v>1150</v>
      </c>
      <c r="B605" s="18" t="s">
        <v>5</v>
      </c>
      <c r="C605" s="21" t="s">
        <v>66</v>
      </c>
      <c r="D605" s="21" t="s">
        <v>739</v>
      </c>
      <c r="E605" s="20" t="s">
        <v>16</v>
      </c>
      <c r="F605" s="18" t="str">
        <f>B605</f>
        <v>ECE</v>
      </c>
      <c r="G605" s="93">
        <v>3000</v>
      </c>
      <c r="H605" s="92">
        <v>45649</v>
      </c>
      <c r="I605" s="87"/>
      <c r="J605" s="57"/>
      <c r="K605" s="86" t="s">
        <v>738</v>
      </c>
      <c r="L605" s="86">
        <v>71</v>
      </c>
      <c r="M605" s="85"/>
    </row>
    <row r="606" spans="1:13" ht="15.75">
      <c r="A606" s="83">
        <v>1151</v>
      </c>
      <c r="B606" s="18" t="s">
        <v>5</v>
      </c>
      <c r="C606" s="21" t="s">
        <v>66</v>
      </c>
      <c r="D606" s="21" t="s">
        <v>737</v>
      </c>
      <c r="E606" s="20" t="s">
        <v>193</v>
      </c>
      <c r="F606" s="18" t="str">
        <f>B606</f>
        <v>ECE</v>
      </c>
      <c r="G606" s="93">
        <v>10000</v>
      </c>
      <c r="H606" s="92">
        <v>45649</v>
      </c>
      <c r="I606" s="87"/>
      <c r="J606" s="57"/>
      <c r="K606" s="86" t="s">
        <v>736</v>
      </c>
      <c r="L606" s="86">
        <v>71</v>
      </c>
      <c r="M606" s="85"/>
    </row>
    <row r="607" spans="1:13" ht="15.75">
      <c r="A607" s="83">
        <v>1152</v>
      </c>
      <c r="B607" s="18" t="s">
        <v>5</v>
      </c>
      <c r="C607" s="21" t="s">
        <v>403</v>
      </c>
      <c r="D607" s="21" t="s">
        <v>735</v>
      </c>
      <c r="E607" s="20" t="s">
        <v>193</v>
      </c>
      <c r="F607" s="18" t="str">
        <f>B607</f>
        <v>ECE</v>
      </c>
      <c r="G607" s="93">
        <v>50000</v>
      </c>
      <c r="H607" s="92">
        <v>45649</v>
      </c>
      <c r="I607" s="87"/>
      <c r="J607" s="57"/>
      <c r="K607" s="86" t="s">
        <v>734</v>
      </c>
      <c r="L607" s="86">
        <v>71</v>
      </c>
      <c r="M607" s="85"/>
    </row>
    <row r="608" spans="1:13" ht="31.5">
      <c r="A608" s="97">
        <v>1153</v>
      </c>
      <c r="B608" s="18" t="s">
        <v>4</v>
      </c>
      <c r="C608" s="21" t="s">
        <v>482</v>
      </c>
      <c r="D608" s="21" t="s">
        <v>733</v>
      </c>
      <c r="E608" s="20" t="s">
        <v>23</v>
      </c>
      <c r="F608" s="18" t="str">
        <f>B608</f>
        <v>EEE</v>
      </c>
      <c r="G608" s="93">
        <v>6000</v>
      </c>
      <c r="H608" s="92">
        <v>45649</v>
      </c>
      <c r="I608" s="87"/>
      <c r="J608" s="57"/>
      <c r="K608" s="86" t="s">
        <v>732</v>
      </c>
      <c r="L608" s="86">
        <v>71</v>
      </c>
      <c r="M608" s="85"/>
    </row>
    <row r="609" spans="1:13" ht="31.5">
      <c r="A609" s="94">
        <v>1154</v>
      </c>
      <c r="B609" s="18" t="s">
        <v>4</v>
      </c>
      <c r="C609" s="21" t="s">
        <v>532</v>
      </c>
      <c r="D609" s="21" t="s">
        <v>731</v>
      </c>
      <c r="E609" s="20" t="s">
        <v>16</v>
      </c>
      <c r="F609" s="18" t="str">
        <f>B609</f>
        <v>EEE</v>
      </c>
      <c r="G609" s="93">
        <v>3000</v>
      </c>
      <c r="H609" s="92">
        <v>45649</v>
      </c>
      <c r="I609" s="87"/>
      <c r="J609" s="57"/>
      <c r="K609" s="86" t="s">
        <v>729</v>
      </c>
      <c r="L609" s="86">
        <v>71</v>
      </c>
      <c r="M609" s="85"/>
    </row>
    <row r="610" spans="1:13" ht="31.5">
      <c r="A610" s="94">
        <v>1155</v>
      </c>
      <c r="B610" s="18" t="s">
        <v>4</v>
      </c>
      <c r="C610" s="21" t="s">
        <v>532</v>
      </c>
      <c r="D610" s="21" t="s">
        <v>730</v>
      </c>
      <c r="E610" s="20" t="s">
        <v>16</v>
      </c>
      <c r="F610" s="18" t="str">
        <f>B610</f>
        <v>EEE</v>
      </c>
      <c r="G610" s="93">
        <v>3000</v>
      </c>
      <c r="H610" s="92">
        <v>45649</v>
      </c>
      <c r="I610" s="87"/>
      <c r="J610" s="57"/>
      <c r="K610" s="86" t="s">
        <v>729</v>
      </c>
      <c r="L610" s="86">
        <v>71</v>
      </c>
      <c r="M610" s="85"/>
    </row>
    <row r="611" spans="1:13" ht="31.5">
      <c r="A611" s="94">
        <v>1156</v>
      </c>
      <c r="B611" s="18" t="s">
        <v>2</v>
      </c>
      <c r="C611" s="21" t="s">
        <v>74</v>
      </c>
      <c r="D611" s="21" t="s">
        <v>728</v>
      </c>
      <c r="E611" s="20" t="s">
        <v>23</v>
      </c>
      <c r="F611" s="18" t="str">
        <f>B611</f>
        <v>Mech</v>
      </c>
      <c r="G611" s="93">
        <v>6000</v>
      </c>
      <c r="H611" s="92">
        <v>45649</v>
      </c>
      <c r="I611" s="87"/>
      <c r="J611" s="57"/>
      <c r="K611" s="96">
        <v>45303</v>
      </c>
      <c r="L611" s="86">
        <v>71</v>
      </c>
      <c r="M611" s="85"/>
    </row>
    <row r="612" spans="1:13" ht="31.5">
      <c r="A612" s="94">
        <v>1157</v>
      </c>
      <c r="B612" s="18" t="s">
        <v>2</v>
      </c>
      <c r="C612" s="21" t="s">
        <v>74</v>
      </c>
      <c r="D612" s="21" t="s">
        <v>727</v>
      </c>
      <c r="E612" s="20" t="s">
        <v>23</v>
      </c>
      <c r="F612" s="18" t="str">
        <f>B612</f>
        <v>Mech</v>
      </c>
      <c r="G612" s="93">
        <v>10000</v>
      </c>
      <c r="H612" s="92">
        <v>45649</v>
      </c>
      <c r="I612" s="87"/>
      <c r="J612" s="57"/>
      <c r="K612" s="96">
        <v>45303</v>
      </c>
      <c r="L612" s="86">
        <v>71</v>
      </c>
      <c r="M612" s="85"/>
    </row>
    <row r="613" spans="1:13" ht="31.5">
      <c r="A613" s="94">
        <v>1158</v>
      </c>
      <c r="B613" s="18" t="s">
        <v>2</v>
      </c>
      <c r="C613" s="21" t="s">
        <v>74</v>
      </c>
      <c r="D613" s="21" t="s">
        <v>726</v>
      </c>
      <c r="E613" s="20" t="s">
        <v>324</v>
      </c>
      <c r="F613" s="18" t="str">
        <f>B613</f>
        <v>Mech</v>
      </c>
      <c r="G613" s="93">
        <v>3000</v>
      </c>
      <c r="H613" s="92">
        <v>45649</v>
      </c>
      <c r="I613" s="87"/>
      <c r="J613" s="57"/>
      <c r="K613" s="96">
        <v>45303</v>
      </c>
      <c r="L613" s="86">
        <v>71</v>
      </c>
      <c r="M613" s="85"/>
    </row>
    <row r="614" spans="1:13" ht="15.75">
      <c r="A614" s="94">
        <v>1159</v>
      </c>
      <c r="B614" s="18" t="s">
        <v>2</v>
      </c>
      <c r="C614" s="21" t="s">
        <v>74</v>
      </c>
      <c r="D614" s="21" t="s">
        <v>725</v>
      </c>
      <c r="E614" s="20" t="s">
        <v>193</v>
      </c>
      <c r="F614" s="18" t="str">
        <f>B614</f>
        <v>Mech</v>
      </c>
      <c r="G614" s="93">
        <v>12000</v>
      </c>
      <c r="H614" s="92">
        <v>45649</v>
      </c>
      <c r="I614" s="87"/>
      <c r="J614" s="57"/>
      <c r="K614" s="86" t="s">
        <v>724</v>
      </c>
      <c r="L614" s="86">
        <v>71</v>
      </c>
      <c r="M614" s="85"/>
    </row>
    <row r="615" spans="1:13" ht="31.5">
      <c r="A615" s="94">
        <v>1160</v>
      </c>
      <c r="B615" s="18" t="s">
        <v>1</v>
      </c>
      <c r="C615" s="21" t="s">
        <v>722</v>
      </c>
      <c r="D615" s="21" t="s">
        <v>723</v>
      </c>
      <c r="E615" s="20" t="s">
        <v>23</v>
      </c>
      <c r="F615" s="18" t="str">
        <f>B615</f>
        <v>S&amp;H</v>
      </c>
      <c r="G615" s="93">
        <v>10000</v>
      </c>
      <c r="H615" s="92">
        <v>45649</v>
      </c>
      <c r="I615" s="87"/>
      <c r="J615" s="57"/>
      <c r="K615" s="95">
        <v>45424</v>
      </c>
      <c r="L615" s="86">
        <v>71</v>
      </c>
      <c r="M615" s="85"/>
    </row>
    <row r="616" spans="1:13" ht="15.75">
      <c r="A616" s="94">
        <v>1161</v>
      </c>
      <c r="B616" s="18" t="s">
        <v>1</v>
      </c>
      <c r="C616" s="21" t="s">
        <v>722</v>
      </c>
      <c r="D616" s="21" t="s">
        <v>166</v>
      </c>
      <c r="E616" s="20" t="s">
        <v>193</v>
      </c>
      <c r="F616" s="18" t="str">
        <f>B616</f>
        <v>S&amp;H</v>
      </c>
      <c r="G616" s="93">
        <v>2000</v>
      </c>
      <c r="H616" s="92">
        <v>45649</v>
      </c>
      <c r="I616" s="87"/>
      <c r="J616" s="57"/>
      <c r="K616" s="86" t="s">
        <v>721</v>
      </c>
      <c r="L616" s="86">
        <v>71</v>
      </c>
      <c r="M616" s="85"/>
    </row>
    <row r="617" spans="1:13" ht="15.75">
      <c r="A617" s="94">
        <v>1162</v>
      </c>
      <c r="B617" s="18" t="s">
        <v>1</v>
      </c>
      <c r="C617" s="21" t="s">
        <v>720</v>
      </c>
      <c r="D617" s="21" t="s">
        <v>719</v>
      </c>
      <c r="E617" s="20" t="s">
        <v>16</v>
      </c>
      <c r="F617" s="18" t="str">
        <f>B617</f>
        <v>S&amp;H</v>
      </c>
      <c r="G617" s="93">
        <v>1800</v>
      </c>
      <c r="H617" s="92">
        <v>45649</v>
      </c>
      <c r="I617" s="87"/>
      <c r="J617" s="57"/>
      <c r="K617" s="91">
        <v>45566</v>
      </c>
      <c r="L617" s="86">
        <v>71</v>
      </c>
      <c r="M617" s="85"/>
    </row>
    <row r="618" spans="1:13" ht="15.75">
      <c r="A618" s="46"/>
      <c r="B618" s="46"/>
      <c r="C618" s="46"/>
      <c r="D618" s="46" t="s">
        <v>11</v>
      </c>
      <c r="E618" s="42"/>
      <c r="F618" s="90"/>
      <c r="G618" s="89">
        <f>SUM(G584:G617)</f>
        <v>198400</v>
      </c>
      <c r="H618" s="42" t="s">
        <v>718</v>
      </c>
      <c r="I618" s="42"/>
      <c r="J618" s="45">
        <f>G618</f>
        <v>198400</v>
      </c>
      <c r="K618" s="42"/>
      <c r="L618" s="46">
        <v>71</v>
      </c>
      <c r="M618" s="88"/>
    </row>
    <row r="619" spans="1:13" ht="15.75">
      <c r="A619" s="83"/>
      <c r="B619" s="18"/>
      <c r="C619" s="21"/>
      <c r="D619" s="21"/>
      <c r="E619" s="20"/>
      <c r="F619" s="18">
        <f>B619</f>
        <v>0</v>
      </c>
      <c r="G619" s="86"/>
      <c r="H619" s="86"/>
      <c r="I619" s="87"/>
      <c r="J619" s="57"/>
      <c r="K619" s="86"/>
      <c r="L619" s="86"/>
      <c r="M619" s="85"/>
    </row>
    <row r="620" spans="1:13" ht="15.75">
      <c r="A620" s="83"/>
      <c r="B620" s="18"/>
      <c r="C620" s="21"/>
      <c r="D620" s="21"/>
      <c r="E620" s="20"/>
      <c r="F620" s="18">
        <f>B620</f>
        <v>0</v>
      </c>
      <c r="G620" s="86"/>
      <c r="H620" s="86"/>
      <c r="I620" s="87"/>
      <c r="J620" s="57"/>
      <c r="K620" s="86"/>
      <c r="L620" s="86"/>
      <c r="M620" s="85"/>
    </row>
    <row r="621" spans="1:13" ht="15.75">
      <c r="A621" s="83"/>
      <c r="B621" s="18"/>
      <c r="C621" s="21"/>
      <c r="D621" s="21"/>
      <c r="E621" s="20"/>
      <c r="F621" s="18">
        <f>B621</f>
        <v>0</v>
      </c>
      <c r="G621" s="86"/>
      <c r="H621" s="86"/>
      <c r="I621" s="87"/>
      <c r="J621" s="57"/>
      <c r="K621" s="86"/>
      <c r="L621" s="86"/>
      <c r="M621" s="85"/>
    </row>
    <row r="622" spans="1:13" ht="15.75">
      <c r="A622" s="83"/>
      <c r="B622" s="18"/>
      <c r="C622" s="21"/>
      <c r="D622" s="21"/>
      <c r="E622" s="20"/>
      <c r="F622" s="18">
        <f>B622</f>
        <v>0</v>
      </c>
      <c r="G622" s="86"/>
      <c r="H622" s="86"/>
      <c r="I622" s="87"/>
      <c r="J622" s="57"/>
      <c r="K622" s="86"/>
      <c r="L622" s="86"/>
      <c r="M622" s="85"/>
    </row>
    <row r="623" spans="1:13" ht="15.75">
      <c r="A623" s="83"/>
      <c r="B623" s="18"/>
      <c r="C623" s="21"/>
      <c r="D623" s="21"/>
      <c r="E623" s="20"/>
      <c r="F623" s="18">
        <f>B623</f>
        <v>0</v>
      </c>
      <c r="G623" s="86"/>
      <c r="H623" s="86"/>
      <c r="I623" s="87"/>
      <c r="J623" s="57"/>
      <c r="K623" s="86"/>
      <c r="L623" s="86"/>
      <c r="M623" s="85"/>
    </row>
    <row r="624" spans="1:13" ht="15.75">
      <c r="A624" s="83"/>
      <c r="B624" s="18"/>
      <c r="C624" s="21"/>
      <c r="D624" s="21"/>
      <c r="E624" s="20"/>
      <c r="F624" s="18">
        <f>B624</f>
        <v>0</v>
      </c>
      <c r="G624" s="86"/>
      <c r="H624" s="86"/>
      <c r="I624" s="87"/>
      <c r="J624" s="57"/>
      <c r="K624" s="86"/>
      <c r="L624" s="86"/>
      <c r="M624" s="85"/>
    </row>
    <row r="625" spans="1:13" ht="15.75">
      <c r="A625" s="83"/>
      <c r="B625" s="18"/>
      <c r="C625" s="21"/>
      <c r="D625" s="21"/>
      <c r="E625" s="20"/>
      <c r="F625" s="18">
        <f>B625</f>
        <v>0</v>
      </c>
      <c r="G625" s="86"/>
      <c r="H625" s="86"/>
      <c r="I625" s="87"/>
      <c r="J625" s="57"/>
      <c r="K625" s="86"/>
      <c r="L625" s="86"/>
      <c r="M625" s="85"/>
    </row>
    <row r="626" spans="1:13" ht="15.75">
      <c r="A626" s="83"/>
      <c r="B626" s="18"/>
      <c r="C626" s="21"/>
      <c r="D626" s="21"/>
      <c r="E626" s="20"/>
      <c r="F626" s="18">
        <f>B626</f>
        <v>0</v>
      </c>
      <c r="G626" s="86"/>
      <c r="H626" s="86"/>
      <c r="I626" s="87"/>
      <c r="J626" s="57"/>
      <c r="K626" s="86"/>
      <c r="L626" s="86"/>
      <c r="M626" s="85"/>
    </row>
    <row r="627" spans="1:13" ht="15.75">
      <c r="A627" s="83"/>
      <c r="B627" s="18"/>
      <c r="C627" s="21"/>
      <c r="D627" s="21"/>
      <c r="E627" s="20"/>
      <c r="F627" s="18">
        <f>B627</f>
        <v>0</v>
      </c>
      <c r="G627" s="86"/>
      <c r="H627" s="86"/>
      <c r="I627" s="87"/>
      <c r="J627" s="57"/>
      <c r="K627" s="86"/>
      <c r="L627" s="86"/>
      <c r="M627" s="85"/>
    </row>
    <row r="628" spans="1:13" ht="15.75">
      <c r="A628" s="83"/>
      <c r="B628" s="18"/>
      <c r="C628" s="21"/>
      <c r="D628" s="21"/>
      <c r="E628" s="20"/>
      <c r="F628" s="18">
        <f>B628</f>
        <v>0</v>
      </c>
      <c r="G628" s="86"/>
      <c r="H628" s="86"/>
      <c r="I628" s="87"/>
      <c r="J628" s="57"/>
      <c r="K628" s="86"/>
      <c r="L628" s="86"/>
      <c r="M628" s="85"/>
    </row>
    <row r="629" spans="1:13" ht="15.75">
      <c r="A629" s="83"/>
      <c r="B629" s="18"/>
      <c r="C629" s="21"/>
      <c r="D629" s="21"/>
      <c r="E629" s="20"/>
      <c r="F629" s="18">
        <f>B629</f>
        <v>0</v>
      </c>
      <c r="G629" s="86"/>
      <c r="H629" s="86"/>
      <c r="I629" s="87"/>
      <c r="J629" s="57"/>
      <c r="K629" s="86"/>
      <c r="L629" s="86"/>
      <c r="M629" s="85"/>
    </row>
    <row r="630" spans="1:13" ht="15.75">
      <c r="A630" s="83"/>
      <c r="B630" s="18"/>
      <c r="C630" s="21"/>
      <c r="D630" s="21"/>
      <c r="E630" s="20"/>
      <c r="F630" s="18">
        <f>B630</f>
        <v>0</v>
      </c>
      <c r="G630" s="86"/>
      <c r="H630" s="86"/>
      <c r="I630" s="87"/>
      <c r="J630" s="57"/>
      <c r="K630" s="86"/>
      <c r="L630" s="86"/>
      <c r="M630" s="85"/>
    </row>
    <row r="631" spans="1:13" ht="15.75">
      <c r="A631" s="83"/>
      <c r="B631" s="18"/>
      <c r="C631" s="21"/>
      <c r="D631" s="21"/>
      <c r="E631" s="20"/>
      <c r="F631" s="18">
        <f>B631</f>
        <v>0</v>
      </c>
      <c r="G631" s="86"/>
      <c r="H631" s="86"/>
      <c r="I631" s="87"/>
      <c r="J631" s="57"/>
      <c r="K631" s="86"/>
      <c r="L631" s="86"/>
      <c r="M631" s="85"/>
    </row>
    <row r="632" spans="1:13" ht="15.75">
      <c r="A632" s="83"/>
      <c r="B632" s="18"/>
      <c r="C632" s="21"/>
      <c r="D632" s="21"/>
      <c r="E632" s="20"/>
      <c r="F632" s="18">
        <f>B632</f>
        <v>0</v>
      </c>
      <c r="G632" s="86"/>
      <c r="H632" s="86"/>
      <c r="I632" s="87"/>
      <c r="J632" s="57"/>
      <c r="K632" s="86"/>
      <c r="L632" s="86"/>
      <c r="M632" s="85"/>
    </row>
    <row r="633" spans="1:13" ht="15.75">
      <c r="A633" s="83"/>
      <c r="B633" s="18"/>
      <c r="C633" s="21"/>
      <c r="D633" s="21"/>
      <c r="E633" s="20"/>
      <c r="F633" s="18">
        <f>B633</f>
        <v>0</v>
      </c>
      <c r="G633" s="86"/>
      <c r="H633" s="86"/>
      <c r="I633" s="87"/>
      <c r="J633" s="57"/>
      <c r="K633" s="86"/>
      <c r="L633" s="86"/>
      <c r="M633" s="85"/>
    </row>
    <row r="634" spans="1:13" ht="15.75">
      <c r="A634" s="83"/>
      <c r="B634" s="18"/>
      <c r="C634" s="21"/>
      <c r="D634" s="21"/>
      <c r="E634" s="20"/>
      <c r="F634" s="18">
        <f>B634</f>
        <v>0</v>
      </c>
      <c r="G634" s="86"/>
      <c r="H634" s="86"/>
      <c r="I634" s="87"/>
      <c r="J634" s="57"/>
      <c r="K634" s="86"/>
      <c r="L634" s="86"/>
      <c r="M634" s="85"/>
    </row>
    <row r="635" spans="1:13" ht="15.75">
      <c r="A635" s="83"/>
      <c r="B635" s="18"/>
      <c r="C635" s="21"/>
      <c r="D635" s="21"/>
      <c r="E635" s="20"/>
      <c r="F635" s="18">
        <f>B635</f>
        <v>0</v>
      </c>
      <c r="G635" s="86"/>
      <c r="H635" s="86"/>
      <c r="I635" s="87"/>
      <c r="J635" s="57"/>
      <c r="K635" s="86"/>
      <c r="L635" s="86"/>
      <c r="M635" s="85"/>
    </row>
    <row r="636" spans="1:13" ht="15.75">
      <c r="A636" s="83"/>
      <c r="B636" s="18"/>
      <c r="C636" s="21"/>
      <c r="D636" s="21"/>
      <c r="E636" s="20"/>
      <c r="F636" s="18">
        <f>B636</f>
        <v>0</v>
      </c>
      <c r="G636" s="86"/>
      <c r="H636" s="86"/>
      <c r="I636" s="87"/>
      <c r="J636" s="57"/>
      <c r="K636" s="86"/>
      <c r="L636" s="86"/>
      <c r="M636" s="85"/>
    </row>
    <row r="637" spans="1:13" ht="15.75">
      <c r="A637" s="83"/>
      <c r="B637" s="18"/>
      <c r="C637" s="21"/>
      <c r="D637" s="21"/>
      <c r="E637" s="20"/>
      <c r="F637" s="18">
        <f>B637</f>
        <v>0</v>
      </c>
      <c r="G637" s="86"/>
      <c r="H637" s="86"/>
      <c r="I637" s="87"/>
      <c r="J637" s="57"/>
      <c r="K637" s="86"/>
      <c r="L637" s="86"/>
      <c r="M637" s="85"/>
    </row>
    <row r="638" spans="1:13" ht="15.75">
      <c r="A638" s="83"/>
      <c r="B638" s="18"/>
      <c r="C638" s="21"/>
      <c r="D638" s="21"/>
      <c r="E638" s="20"/>
      <c r="F638" s="18">
        <f>B638</f>
        <v>0</v>
      </c>
      <c r="G638" s="86"/>
      <c r="H638" s="86"/>
      <c r="I638" s="87"/>
      <c r="J638" s="57"/>
      <c r="K638" s="86"/>
      <c r="L638" s="86"/>
      <c r="M638" s="85"/>
    </row>
    <row r="639" spans="1:13" ht="15.75">
      <c r="A639" s="83"/>
      <c r="B639" s="18"/>
      <c r="C639" s="21"/>
      <c r="D639" s="21"/>
      <c r="E639" s="20"/>
      <c r="F639" s="18">
        <f>B639</f>
        <v>0</v>
      </c>
      <c r="G639" s="86"/>
      <c r="H639" s="86"/>
      <c r="I639" s="87"/>
      <c r="J639" s="57"/>
      <c r="K639" s="86"/>
      <c r="L639" s="86"/>
      <c r="M639" s="85"/>
    </row>
    <row r="640" spans="1:13" ht="15.75">
      <c r="A640" s="83"/>
      <c r="B640" s="18"/>
      <c r="C640" s="21"/>
      <c r="D640" s="21"/>
      <c r="E640" s="20"/>
      <c r="F640" s="18">
        <f>B640</f>
        <v>0</v>
      </c>
      <c r="G640" s="86"/>
      <c r="H640" s="86"/>
      <c r="I640" s="87"/>
      <c r="J640" s="57"/>
      <c r="K640" s="86"/>
      <c r="L640" s="86"/>
      <c r="M640" s="85"/>
    </row>
    <row r="641" spans="1:13" ht="15.75">
      <c r="A641" s="83"/>
      <c r="B641" s="18"/>
      <c r="C641" s="21"/>
      <c r="D641" s="21"/>
      <c r="E641" s="20"/>
      <c r="F641" s="18">
        <f>B641</f>
        <v>0</v>
      </c>
      <c r="G641" s="86"/>
      <c r="H641" s="86"/>
      <c r="I641" s="87"/>
      <c r="J641" s="57"/>
      <c r="K641" s="86"/>
      <c r="L641" s="86"/>
      <c r="M641" s="85"/>
    </row>
    <row r="642" spans="1:13" ht="15.75">
      <c r="B642" s="18"/>
      <c r="C642" s="21"/>
      <c r="D642" s="21"/>
      <c r="E642" s="20"/>
      <c r="F642" s="18">
        <f>B642</f>
        <v>0</v>
      </c>
      <c r="G642" s="86"/>
      <c r="H642" s="86"/>
      <c r="I642" s="87"/>
      <c r="J642" s="57"/>
      <c r="K642" s="86"/>
      <c r="L642" s="86"/>
      <c r="M642" s="85"/>
    </row>
    <row r="643" spans="1:13" ht="15.75">
      <c r="A643" s="83"/>
      <c r="B643" s="18"/>
      <c r="C643" s="21"/>
      <c r="D643" s="21"/>
      <c r="E643" s="20"/>
      <c r="F643" s="18">
        <f>B643</f>
        <v>0</v>
      </c>
      <c r="G643" s="86"/>
      <c r="H643" s="86"/>
      <c r="I643" s="87"/>
      <c r="J643" s="57"/>
      <c r="K643" s="86"/>
      <c r="L643" s="86"/>
      <c r="M643" s="85"/>
    </row>
    <row r="644" spans="1:13" ht="15.75">
      <c r="A644" s="83"/>
      <c r="B644" s="18"/>
      <c r="C644" s="21"/>
      <c r="D644" s="21"/>
      <c r="E644" s="20"/>
      <c r="F644" s="18">
        <f>B644</f>
        <v>0</v>
      </c>
      <c r="G644" s="86"/>
      <c r="H644" s="86"/>
      <c r="I644" s="87"/>
      <c r="J644" s="57"/>
      <c r="K644" s="86"/>
      <c r="L644" s="86"/>
      <c r="M644" s="85"/>
    </row>
    <row r="645" spans="1:13" ht="15.75">
      <c r="A645" s="83"/>
      <c r="B645" s="18"/>
      <c r="C645" s="21"/>
      <c r="D645" s="21"/>
      <c r="E645" s="20"/>
      <c r="F645" s="18">
        <f>B645</f>
        <v>0</v>
      </c>
      <c r="G645" s="86"/>
      <c r="H645" s="86"/>
      <c r="I645" s="87"/>
      <c r="J645" s="57"/>
      <c r="K645" s="86"/>
      <c r="L645" s="86"/>
      <c r="M645" s="85"/>
    </row>
    <row r="646" spans="1:13" ht="15.75">
      <c r="A646" s="83"/>
      <c r="B646" s="18"/>
      <c r="C646" s="21"/>
      <c r="D646" s="21"/>
      <c r="E646" s="20"/>
      <c r="F646" s="18">
        <f>B646</f>
        <v>0</v>
      </c>
      <c r="G646" s="86"/>
      <c r="H646" s="86"/>
      <c r="I646" s="87"/>
      <c r="J646" s="57"/>
      <c r="K646" s="86"/>
      <c r="L646" s="86"/>
      <c r="M646" s="85"/>
    </row>
    <row r="647" spans="1:13" ht="15.75">
      <c r="A647" s="83"/>
      <c r="B647" s="18"/>
      <c r="C647" s="21"/>
      <c r="D647" s="21"/>
      <c r="E647" s="20"/>
      <c r="F647" s="18">
        <f>B647</f>
        <v>0</v>
      </c>
      <c r="G647" s="86"/>
      <c r="H647" s="86"/>
      <c r="I647" s="87"/>
      <c r="J647" s="57"/>
      <c r="K647" s="86"/>
      <c r="L647" s="86"/>
      <c r="M647" s="85"/>
    </row>
    <row r="648" spans="1:13" ht="15.75">
      <c r="A648" s="83"/>
      <c r="B648" s="18"/>
      <c r="C648" s="21"/>
      <c r="D648" s="21"/>
      <c r="E648" s="20"/>
      <c r="F648" s="18">
        <f>B648</f>
        <v>0</v>
      </c>
      <c r="G648" s="86"/>
      <c r="H648" s="86"/>
      <c r="I648" s="87"/>
      <c r="J648" s="57"/>
      <c r="K648" s="86"/>
      <c r="L648" s="86"/>
      <c r="M648" s="85"/>
    </row>
    <row r="649" spans="1:13" ht="15.75">
      <c r="A649" s="83"/>
      <c r="B649" s="18"/>
      <c r="C649" s="21"/>
      <c r="D649" s="21"/>
      <c r="E649" s="20"/>
      <c r="F649" s="18">
        <f>B649</f>
        <v>0</v>
      </c>
      <c r="G649" s="86"/>
      <c r="H649" s="86"/>
      <c r="I649" s="87"/>
      <c r="J649" s="57"/>
      <c r="K649" s="86"/>
      <c r="L649" s="86"/>
      <c r="M649" s="85"/>
    </row>
    <row r="650" spans="1:13" ht="15.75">
      <c r="A650" s="83"/>
      <c r="B650" s="18"/>
      <c r="C650" s="21"/>
      <c r="D650" s="21"/>
      <c r="E650" s="20"/>
      <c r="F650" s="18">
        <f>B650</f>
        <v>0</v>
      </c>
      <c r="G650" s="86"/>
      <c r="H650" s="86"/>
      <c r="I650" s="87"/>
      <c r="J650" s="57"/>
      <c r="K650" s="86"/>
      <c r="L650" s="86"/>
      <c r="M650" s="85"/>
    </row>
    <row r="651" spans="1:13" ht="15.75">
      <c r="A651" s="83"/>
      <c r="B651" s="18"/>
      <c r="C651" s="21"/>
      <c r="D651" s="21"/>
      <c r="E651" s="20"/>
      <c r="F651" s="18">
        <f>B651</f>
        <v>0</v>
      </c>
      <c r="G651" s="86"/>
      <c r="H651" s="86"/>
      <c r="I651" s="87"/>
      <c r="J651" s="57"/>
      <c r="K651" s="86"/>
      <c r="L651" s="86"/>
      <c r="M651" s="85"/>
    </row>
    <row r="652" spans="1:13" ht="15.75">
      <c r="A652" s="83"/>
      <c r="B652" s="18"/>
      <c r="C652" s="21"/>
      <c r="D652" s="21"/>
      <c r="E652" s="20"/>
      <c r="F652" s="18">
        <f>B652</f>
        <v>0</v>
      </c>
      <c r="G652" s="86"/>
      <c r="H652" s="86"/>
      <c r="I652" s="87"/>
      <c r="J652" s="57"/>
      <c r="K652" s="86"/>
      <c r="L652" s="86"/>
      <c r="M652" s="85"/>
    </row>
    <row r="653" spans="1:13" ht="15.75">
      <c r="A653" s="83"/>
      <c r="B653" s="18"/>
      <c r="C653" s="21"/>
      <c r="D653" s="21"/>
      <c r="E653" s="20"/>
      <c r="F653" s="18">
        <f>B653</f>
        <v>0</v>
      </c>
      <c r="G653" s="86"/>
      <c r="H653" s="86"/>
      <c r="I653" s="87"/>
      <c r="J653" s="57"/>
      <c r="K653" s="86"/>
      <c r="L653" s="86"/>
      <c r="M653" s="85"/>
    </row>
    <row r="654" spans="1:13" ht="15.75">
      <c r="A654" s="83"/>
      <c r="B654" s="18"/>
      <c r="C654" s="21"/>
      <c r="D654" s="21"/>
      <c r="E654" s="20"/>
      <c r="F654" s="18">
        <f>B654</f>
        <v>0</v>
      </c>
      <c r="G654" s="86"/>
      <c r="H654" s="86"/>
      <c r="I654" s="87"/>
      <c r="J654" s="57"/>
      <c r="K654" s="86"/>
      <c r="L654" s="86"/>
      <c r="M654" s="85"/>
    </row>
    <row r="655" spans="1:13" ht="15.75">
      <c r="A655" s="83"/>
      <c r="B655" s="18"/>
      <c r="C655" s="21"/>
      <c r="D655" s="21"/>
      <c r="E655" s="20"/>
      <c r="F655" s="18">
        <f>B655</f>
        <v>0</v>
      </c>
      <c r="G655" s="86"/>
      <c r="H655" s="86"/>
      <c r="I655" s="87"/>
      <c r="J655" s="57"/>
      <c r="K655" s="86"/>
      <c r="L655" s="86"/>
      <c r="M655" s="85"/>
    </row>
    <row r="656" spans="1:13" ht="15.75">
      <c r="A656" s="83"/>
      <c r="B656" s="18"/>
      <c r="C656" s="21"/>
      <c r="D656" s="21"/>
      <c r="E656" s="20"/>
      <c r="F656" s="18">
        <f>B656</f>
        <v>0</v>
      </c>
      <c r="G656" s="86"/>
      <c r="H656" s="86"/>
      <c r="I656" s="87"/>
      <c r="J656" s="57"/>
      <c r="K656" s="86"/>
      <c r="L656" s="86"/>
      <c r="M656" s="85"/>
    </row>
    <row r="657" spans="1:13" ht="15.75">
      <c r="A657" s="83"/>
      <c r="B657" s="18"/>
      <c r="C657" s="21"/>
      <c r="D657" s="21"/>
      <c r="E657" s="20"/>
      <c r="F657" s="18">
        <f>B657</f>
        <v>0</v>
      </c>
      <c r="G657" s="86"/>
      <c r="H657" s="86"/>
      <c r="I657" s="87"/>
      <c r="J657" s="57"/>
      <c r="K657" s="86"/>
      <c r="L657" s="86"/>
      <c r="M657" s="85"/>
    </row>
    <row r="658" spans="1:13" ht="15.75">
      <c r="A658" s="83"/>
      <c r="B658" s="18"/>
      <c r="C658" s="21"/>
      <c r="D658" s="21"/>
      <c r="E658" s="20"/>
      <c r="F658" s="18">
        <f>B658</f>
        <v>0</v>
      </c>
      <c r="G658" s="86"/>
      <c r="H658" s="86"/>
      <c r="I658" s="87"/>
      <c r="J658" s="57"/>
      <c r="K658" s="86"/>
      <c r="L658" s="86"/>
      <c r="M658" s="85"/>
    </row>
    <row r="659" spans="1:13" ht="15.75">
      <c r="A659" s="83"/>
      <c r="B659" s="18"/>
      <c r="C659" s="21"/>
      <c r="D659" s="21"/>
      <c r="E659" s="20"/>
      <c r="F659" s="18">
        <f>B659</f>
        <v>0</v>
      </c>
      <c r="G659" s="86"/>
      <c r="H659" s="86"/>
      <c r="I659" s="87"/>
      <c r="J659" s="57"/>
      <c r="K659" s="86"/>
      <c r="L659" s="86"/>
      <c r="M659" s="85"/>
    </row>
    <row r="660" spans="1:13" ht="15.75">
      <c r="A660" s="83"/>
      <c r="B660" s="18"/>
      <c r="C660" s="21"/>
      <c r="D660" s="21"/>
      <c r="E660" s="20"/>
      <c r="F660" s="18">
        <f>B660</f>
        <v>0</v>
      </c>
      <c r="G660" s="86"/>
      <c r="H660" s="86"/>
      <c r="I660" s="87"/>
      <c r="J660" s="57"/>
      <c r="K660" s="86"/>
      <c r="L660" s="86"/>
      <c r="M660" s="85"/>
    </row>
    <row r="661" spans="1:13" ht="15.75">
      <c r="A661" s="83"/>
      <c r="B661" s="18"/>
      <c r="C661" s="21"/>
      <c r="D661" s="21"/>
      <c r="E661" s="20"/>
      <c r="F661" s="18">
        <f>B661</f>
        <v>0</v>
      </c>
      <c r="G661" s="86"/>
      <c r="H661" s="86"/>
      <c r="I661" s="87"/>
      <c r="J661" s="57"/>
      <c r="K661" s="86"/>
      <c r="L661" s="86"/>
      <c r="M661" s="85"/>
    </row>
    <row r="662" spans="1:13" ht="15.75">
      <c r="A662" s="83"/>
      <c r="B662" s="18"/>
      <c r="C662" s="21"/>
      <c r="D662" s="21"/>
      <c r="E662" s="20"/>
      <c r="F662" s="18">
        <f>B662</f>
        <v>0</v>
      </c>
      <c r="G662" s="86"/>
      <c r="H662" s="86"/>
      <c r="I662" s="87"/>
      <c r="J662" s="57"/>
      <c r="K662" s="86"/>
      <c r="L662" s="86"/>
      <c r="M662" s="85"/>
    </row>
    <row r="663" spans="1:13" ht="15.75">
      <c r="A663" s="83"/>
      <c r="B663" s="18"/>
      <c r="C663" s="21"/>
      <c r="D663" s="21"/>
      <c r="E663" s="20"/>
      <c r="F663" s="18">
        <f>B663</f>
        <v>0</v>
      </c>
      <c r="G663" s="86"/>
      <c r="H663" s="86"/>
      <c r="I663" s="87"/>
      <c r="J663" s="57"/>
      <c r="K663" s="86"/>
      <c r="L663" s="86"/>
      <c r="M663" s="85"/>
    </row>
    <row r="664" spans="1:13" ht="15.75">
      <c r="A664" s="83"/>
      <c r="B664" s="18"/>
      <c r="C664" s="21"/>
      <c r="D664" s="21"/>
      <c r="E664" s="20"/>
      <c r="F664" s="18">
        <f>B664</f>
        <v>0</v>
      </c>
      <c r="G664" s="86"/>
      <c r="H664" s="86"/>
      <c r="I664" s="87"/>
      <c r="J664" s="57"/>
      <c r="K664" s="86"/>
      <c r="L664" s="86"/>
      <c r="M664" s="85"/>
    </row>
    <row r="665" spans="1:13" ht="15.75">
      <c r="A665" s="83"/>
      <c r="B665" s="18"/>
      <c r="C665" s="21"/>
      <c r="D665" s="21"/>
      <c r="E665" s="20"/>
      <c r="F665" s="18">
        <f>B665</f>
        <v>0</v>
      </c>
      <c r="G665" s="86"/>
      <c r="H665" s="86"/>
      <c r="I665" s="87"/>
      <c r="J665" s="57"/>
      <c r="K665" s="86"/>
      <c r="L665" s="86"/>
      <c r="M665" s="85"/>
    </row>
    <row r="666" spans="1:13" ht="15.75">
      <c r="A666" s="83"/>
      <c r="B666" s="18"/>
      <c r="C666" s="21"/>
      <c r="D666" s="21"/>
      <c r="E666" s="20"/>
      <c r="F666" s="18">
        <f>B666</f>
        <v>0</v>
      </c>
      <c r="G666" s="86"/>
      <c r="H666" s="86"/>
      <c r="I666" s="87"/>
      <c r="J666" s="57"/>
      <c r="K666" s="86"/>
      <c r="L666" s="86"/>
      <c r="M666" s="85"/>
    </row>
    <row r="667" spans="1:13" ht="15.75">
      <c r="A667" s="83"/>
      <c r="B667" s="18"/>
      <c r="C667" s="21"/>
      <c r="D667" s="21"/>
      <c r="E667" s="20"/>
      <c r="F667" s="18">
        <f>B667</f>
        <v>0</v>
      </c>
      <c r="G667" s="86"/>
      <c r="H667" s="86"/>
      <c r="I667" s="87"/>
      <c r="J667" s="57"/>
      <c r="K667" s="86"/>
      <c r="L667" s="86"/>
      <c r="M667" s="85"/>
    </row>
    <row r="668" spans="1:13" ht="15.75">
      <c r="A668" s="83"/>
      <c r="B668" s="18"/>
      <c r="C668" s="21"/>
      <c r="D668" s="21"/>
      <c r="E668" s="20"/>
      <c r="F668" s="18">
        <f>B668</f>
        <v>0</v>
      </c>
      <c r="G668" s="86"/>
      <c r="H668" s="86"/>
      <c r="I668" s="87"/>
      <c r="J668" s="57"/>
      <c r="K668" s="86"/>
      <c r="L668" s="86"/>
      <c r="M668" s="85"/>
    </row>
    <row r="669" spans="1:13" ht="15.75">
      <c r="A669" s="83"/>
      <c r="B669" s="18"/>
      <c r="C669" s="21"/>
      <c r="D669" s="21"/>
      <c r="E669" s="20"/>
      <c r="F669" s="18">
        <f>B669</f>
        <v>0</v>
      </c>
      <c r="G669" s="86"/>
      <c r="H669" s="86"/>
      <c r="I669" s="87"/>
      <c r="J669" s="57"/>
      <c r="K669" s="86"/>
      <c r="L669" s="86"/>
      <c r="M669" s="85"/>
    </row>
    <row r="670" spans="1:13" ht="15.75">
      <c r="A670" s="83"/>
      <c r="B670" s="18"/>
      <c r="C670" s="21"/>
      <c r="D670" s="21"/>
      <c r="E670" s="20"/>
      <c r="F670" s="18">
        <f>B670</f>
        <v>0</v>
      </c>
      <c r="G670" s="86"/>
      <c r="H670" s="86"/>
      <c r="I670" s="87"/>
      <c r="J670" s="57"/>
      <c r="K670" s="86"/>
      <c r="L670" s="86"/>
      <c r="M670" s="85"/>
    </row>
    <row r="671" spans="1:13" ht="15.75">
      <c r="A671" s="83"/>
      <c r="B671" s="18"/>
      <c r="C671" s="21"/>
      <c r="D671" s="21"/>
      <c r="E671" s="20"/>
      <c r="F671" s="18">
        <f>B671</f>
        <v>0</v>
      </c>
      <c r="G671" s="86"/>
      <c r="H671" s="86"/>
      <c r="I671" s="87"/>
      <c r="J671" s="57"/>
      <c r="K671" s="86"/>
      <c r="L671" s="86"/>
      <c r="M671" s="85"/>
    </row>
    <row r="672" spans="1:13" ht="15.75">
      <c r="A672" s="83"/>
      <c r="B672" s="18"/>
      <c r="C672" s="21"/>
      <c r="D672" s="21"/>
      <c r="E672" s="20"/>
      <c r="F672" s="18">
        <f>B672</f>
        <v>0</v>
      </c>
      <c r="G672" s="86"/>
      <c r="H672" s="86"/>
      <c r="I672" s="87"/>
      <c r="J672" s="57"/>
      <c r="K672" s="86"/>
      <c r="L672" s="86"/>
      <c r="M672" s="85"/>
    </row>
    <row r="673" spans="1:13" ht="15.75">
      <c r="A673" s="83"/>
      <c r="B673" s="18"/>
      <c r="C673" s="21"/>
      <c r="D673" s="21"/>
      <c r="E673" s="20"/>
      <c r="F673" s="18">
        <f>B673</f>
        <v>0</v>
      </c>
      <c r="G673" s="86"/>
      <c r="H673" s="86"/>
      <c r="I673" s="87"/>
      <c r="J673" s="57"/>
      <c r="K673" s="86"/>
      <c r="L673" s="86"/>
      <c r="M673" s="85"/>
    </row>
    <row r="674" spans="1:13" ht="15.75">
      <c r="A674" s="83"/>
      <c r="B674" s="18"/>
      <c r="C674" s="21"/>
      <c r="D674" s="21"/>
      <c r="E674" s="20"/>
      <c r="F674" s="18">
        <f>B674</f>
        <v>0</v>
      </c>
      <c r="G674" s="86"/>
      <c r="H674" s="86"/>
      <c r="I674" s="87"/>
      <c r="J674" s="57"/>
      <c r="K674" s="86"/>
      <c r="L674" s="86"/>
      <c r="M674" s="85"/>
    </row>
    <row r="675" spans="1:13" ht="15.75">
      <c r="A675" s="83"/>
      <c r="B675" s="18"/>
      <c r="C675" s="21"/>
      <c r="D675" s="21"/>
      <c r="E675" s="20"/>
      <c r="F675" s="18">
        <f>B675</f>
        <v>0</v>
      </c>
      <c r="G675" s="86"/>
      <c r="H675" s="86"/>
      <c r="I675" s="87"/>
      <c r="J675" s="57"/>
      <c r="K675" s="86"/>
      <c r="L675" s="86"/>
      <c r="M675" s="85"/>
    </row>
    <row r="676" spans="1:13" ht="15.75">
      <c r="A676" s="83"/>
      <c r="B676" s="18"/>
      <c r="C676" s="21"/>
      <c r="D676" s="21"/>
      <c r="E676" s="20"/>
      <c r="F676" s="18">
        <f>B676</f>
        <v>0</v>
      </c>
      <c r="G676" s="86"/>
      <c r="H676" s="86"/>
      <c r="I676" s="87"/>
      <c r="J676" s="57"/>
      <c r="K676" s="86"/>
      <c r="L676" s="86"/>
      <c r="M676" s="85"/>
    </row>
    <row r="677" spans="1:13" ht="15.75">
      <c r="A677" s="83"/>
      <c r="B677" s="18"/>
      <c r="C677" s="21"/>
      <c r="D677" s="21"/>
      <c r="E677" s="20"/>
      <c r="F677" s="18">
        <f>B677</f>
        <v>0</v>
      </c>
      <c r="G677" s="86"/>
      <c r="H677" s="86"/>
      <c r="I677" s="87"/>
      <c r="J677" s="57"/>
      <c r="K677" s="86"/>
      <c r="L677" s="86"/>
      <c r="M677" s="85"/>
    </row>
    <row r="678" spans="1:13" ht="15.75">
      <c r="A678" s="83"/>
      <c r="B678" s="18"/>
      <c r="C678" s="21"/>
      <c r="D678" s="21"/>
      <c r="E678" s="20"/>
      <c r="F678" s="18">
        <f>B678</f>
        <v>0</v>
      </c>
      <c r="G678" s="86"/>
      <c r="H678" s="86"/>
      <c r="I678" s="87"/>
      <c r="J678" s="57"/>
      <c r="K678" s="86"/>
      <c r="L678" s="86"/>
      <c r="M678" s="85"/>
    </row>
    <row r="679" spans="1:13" ht="15.75">
      <c r="A679" s="83"/>
      <c r="B679" s="18"/>
      <c r="C679" s="21"/>
      <c r="D679" s="21"/>
      <c r="E679" s="20"/>
      <c r="F679" s="18">
        <f>B679</f>
        <v>0</v>
      </c>
      <c r="G679" s="86"/>
      <c r="H679" s="86"/>
      <c r="I679" s="87"/>
      <c r="J679" s="57"/>
      <c r="K679" s="86"/>
      <c r="L679" s="86"/>
      <c r="M679" s="85"/>
    </row>
    <row r="680" spans="1:13" ht="15.75">
      <c r="A680" s="83"/>
      <c r="B680" s="18"/>
      <c r="C680" s="21"/>
      <c r="D680" s="21"/>
      <c r="E680" s="20"/>
      <c r="F680" s="18">
        <f>B680</f>
        <v>0</v>
      </c>
      <c r="G680" s="86"/>
      <c r="H680" s="86"/>
      <c r="I680" s="87"/>
      <c r="J680" s="57"/>
      <c r="K680" s="86"/>
      <c r="L680" s="86"/>
      <c r="M680" s="85"/>
    </row>
    <row r="681" spans="1:13" ht="15.75">
      <c r="A681" s="83"/>
      <c r="B681" s="18"/>
      <c r="C681" s="21"/>
      <c r="D681" s="21"/>
      <c r="E681" s="20"/>
      <c r="F681" s="18">
        <f>B681</f>
        <v>0</v>
      </c>
      <c r="G681" s="86"/>
      <c r="H681" s="86"/>
      <c r="I681" s="87"/>
      <c r="J681" s="57"/>
      <c r="K681" s="86"/>
      <c r="L681" s="86"/>
      <c r="M681" s="85"/>
    </row>
    <row r="682" spans="1:13" ht="15.75">
      <c r="A682" s="83"/>
      <c r="B682" s="18"/>
      <c r="C682" s="21"/>
      <c r="D682" s="21"/>
      <c r="E682" s="20"/>
      <c r="F682" s="18">
        <f>B682</f>
        <v>0</v>
      </c>
      <c r="G682" s="86"/>
      <c r="H682" s="86"/>
      <c r="I682" s="87"/>
      <c r="J682" s="57"/>
      <c r="K682" s="86"/>
      <c r="L682" s="86"/>
      <c r="M682" s="85"/>
    </row>
    <row r="683" spans="1:13" ht="15.75">
      <c r="A683" s="83"/>
      <c r="B683" s="18"/>
      <c r="C683" s="21"/>
      <c r="D683" s="21"/>
      <c r="E683" s="20"/>
      <c r="F683" s="18">
        <f>B683</f>
        <v>0</v>
      </c>
      <c r="G683" s="86"/>
      <c r="H683" s="86"/>
      <c r="I683" s="87"/>
      <c r="J683" s="57"/>
      <c r="K683" s="86"/>
      <c r="L683" s="86"/>
      <c r="M683" s="85"/>
    </row>
    <row r="684" spans="1:13" ht="15.75">
      <c r="A684" s="83"/>
      <c r="B684" s="18"/>
      <c r="C684" s="21"/>
      <c r="D684" s="21"/>
      <c r="E684" s="20"/>
      <c r="F684" s="18">
        <f>B684</f>
        <v>0</v>
      </c>
      <c r="G684" s="86"/>
      <c r="H684" s="86"/>
      <c r="I684" s="87"/>
      <c r="J684" s="57"/>
      <c r="K684" s="86"/>
      <c r="L684" s="86"/>
      <c r="M684" s="85"/>
    </row>
    <row r="685" spans="1:13" ht="15.75">
      <c r="A685" s="83"/>
      <c r="B685" s="18"/>
      <c r="C685" s="21"/>
      <c r="D685" s="21"/>
      <c r="E685" s="20"/>
      <c r="F685" s="18">
        <f>B685</f>
        <v>0</v>
      </c>
      <c r="G685" s="86"/>
      <c r="H685" s="86"/>
      <c r="I685" s="87"/>
      <c r="J685" s="57"/>
      <c r="K685" s="86"/>
      <c r="L685" s="86"/>
      <c r="M685" s="85"/>
    </row>
    <row r="686" spans="1:13" ht="15.75">
      <c r="A686" s="83"/>
      <c r="B686" s="18"/>
      <c r="C686" s="21"/>
      <c r="D686" s="21"/>
      <c r="E686" s="20"/>
      <c r="F686" s="18">
        <f>B686</f>
        <v>0</v>
      </c>
      <c r="G686" s="86"/>
      <c r="H686" s="86"/>
      <c r="I686" s="87"/>
      <c r="J686" s="57"/>
      <c r="K686" s="86"/>
      <c r="L686" s="86"/>
      <c r="M686" s="85"/>
    </row>
    <row r="687" spans="1:13" ht="15.75">
      <c r="A687" s="83"/>
      <c r="B687" s="18"/>
      <c r="C687" s="21"/>
      <c r="D687" s="21"/>
      <c r="E687" s="20"/>
      <c r="F687" s="18">
        <f>B687</f>
        <v>0</v>
      </c>
      <c r="G687" s="86"/>
      <c r="H687" s="86"/>
      <c r="I687" s="87"/>
      <c r="J687" s="57"/>
      <c r="K687" s="86"/>
      <c r="L687" s="86"/>
      <c r="M687" s="85"/>
    </row>
    <row r="688" spans="1:13" ht="15.75">
      <c r="A688" s="83"/>
      <c r="B688" s="18"/>
      <c r="C688" s="21"/>
      <c r="D688" s="21"/>
      <c r="E688" s="20"/>
      <c r="F688" s="18">
        <f>B688</f>
        <v>0</v>
      </c>
      <c r="G688" s="86"/>
      <c r="H688" s="86"/>
      <c r="I688" s="87"/>
      <c r="J688" s="57"/>
      <c r="K688" s="86"/>
      <c r="L688" s="86"/>
      <c r="M688" s="85"/>
    </row>
    <row r="689" spans="1:13" ht="15.75">
      <c r="A689" s="83"/>
      <c r="B689" s="18"/>
      <c r="C689" s="21"/>
      <c r="D689" s="21"/>
      <c r="E689" s="20"/>
      <c r="F689" s="18">
        <f>B689</f>
        <v>0</v>
      </c>
      <c r="G689" s="86"/>
      <c r="H689" s="86"/>
      <c r="I689" s="87"/>
      <c r="J689" s="57"/>
      <c r="K689" s="86"/>
      <c r="L689" s="86"/>
      <c r="M689" s="85"/>
    </row>
    <row r="690" spans="1:13" ht="15.75">
      <c r="A690" s="83"/>
      <c r="B690" s="18"/>
      <c r="C690" s="21"/>
      <c r="D690" s="21"/>
      <c r="E690" s="20"/>
      <c r="F690" s="18">
        <f>B690</f>
        <v>0</v>
      </c>
      <c r="G690" s="86"/>
      <c r="H690" s="86"/>
      <c r="I690" s="87"/>
      <c r="J690" s="57"/>
      <c r="K690" s="86"/>
      <c r="L690" s="86"/>
      <c r="M690" s="85"/>
    </row>
    <row r="691" spans="1:13" ht="15.75">
      <c r="A691" s="83"/>
      <c r="B691" s="18"/>
      <c r="C691" s="21"/>
      <c r="D691" s="21"/>
      <c r="E691" s="20"/>
      <c r="F691" s="18">
        <f>B691</f>
        <v>0</v>
      </c>
      <c r="G691" s="86"/>
      <c r="H691" s="86"/>
      <c r="I691" s="87"/>
      <c r="J691" s="57"/>
      <c r="K691" s="86"/>
      <c r="L691" s="86"/>
      <c r="M691" s="85"/>
    </row>
    <row r="692" spans="1:13" ht="15.75">
      <c r="A692" s="83"/>
      <c r="B692" s="18"/>
      <c r="C692" s="21"/>
      <c r="D692" s="21"/>
      <c r="E692" s="20"/>
      <c r="F692" s="18">
        <f>B692</f>
        <v>0</v>
      </c>
      <c r="G692" s="86"/>
      <c r="H692" s="86"/>
      <c r="I692" s="87"/>
      <c r="J692" s="57"/>
      <c r="K692" s="86"/>
      <c r="L692" s="86"/>
      <c r="M692" s="85"/>
    </row>
    <row r="693" spans="1:13" ht="15.75">
      <c r="A693" s="83"/>
      <c r="B693" s="18"/>
      <c r="C693" s="21"/>
      <c r="D693" s="21"/>
      <c r="E693" s="20"/>
      <c r="F693" s="18">
        <f>B693</f>
        <v>0</v>
      </c>
      <c r="G693" s="86"/>
      <c r="H693" s="86"/>
      <c r="I693" s="87"/>
      <c r="J693" s="57"/>
      <c r="K693" s="86"/>
      <c r="L693" s="86"/>
      <c r="M693" s="85"/>
    </row>
    <row r="694" spans="1:13" ht="15.75">
      <c r="A694" s="83"/>
      <c r="B694" s="18"/>
      <c r="C694" s="21"/>
      <c r="D694" s="21"/>
      <c r="E694" s="20"/>
      <c r="F694" s="18">
        <f>B694</f>
        <v>0</v>
      </c>
      <c r="G694" s="86"/>
      <c r="H694" s="86"/>
      <c r="I694" s="87"/>
      <c r="J694" s="57"/>
      <c r="K694" s="86"/>
      <c r="L694" s="86"/>
      <c r="M694" s="85"/>
    </row>
    <row r="695" spans="1:13" ht="15.75">
      <c r="A695" s="83"/>
      <c r="B695" s="18"/>
      <c r="C695" s="21"/>
      <c r="D695" s="21"/>
      <c r="E695" s="20"/>
      <c r="F695" s="18">
        <f>B695</f>
        <v>0</v>
      </c>
      <c r="G695" s="86"/>
      <c r="H695" s="86"/>
      <c r="I695" s="87"/>
      <c r="J695" s="57"/>
      <c r="K695" s="86"/>
      <c r="L695" s="86"/>
      <c r="M695" s="85"/>
    </row>
    <row r="696" spans="1:13" ht="15.75">
      <c r="A696" s="83"/>
      <c r="B696" s="18"/>
      <c r="C696" s="21"/>
      <c r="D696" s="21"/>
      <c r="E696" s="20"/>
      <c r="F696" s="18">
        <f>B696</f>
        <v>0</v>
      </c>
      <c r="G696" s="86"/>
      <c r="H696" s="86"/>
      <c r="I696" s="87"/>
      <c r="J696" s="57"/>
      <c r="K696" s="86"/>
      <c r="L696" s="86"/>
      <c r="M696" s="85"/>
    </row>
    <row r="697" spans="1:13" ht="15.75">
      <c r="A697" s="83"/>
      <c r="B697" s="18"/>
      <c r="C697" s="21"/>
      <c r="D697" s="21"/>
      <c r="E697" s="20"/>
      <c r="F697" s="18">
        <f>B697</f>
        <v>0</v>
      </c>
      <c r="G697" s="86"/>
      <c r="H697" s="86"/>
      <c r="I697" s="87"/>
      <c r="J697" s="57"/>
      <c r="K697" s="86"/>
      <c r="L697" s="86"/>
      <c r="M697" s="85"/>
    </row>
    <row r="698" spans="1:13" ht="15.75">
      <c r="A698" s="83"/>
      <c r="B698" s="18"/>
      <c r="C698" s="21"/>
      <c r="D698" s="21"/>
      <c r="E698" s="20"/>
      <c r="F698" s="18">
        <f>B698</f>
        <v>0</v>
      </c>
      <c r="G698" s="86"/>
      <c r="H698" s="86"/>
      <c r="I698" s="87"/>
      <c r="J698" s="57"/>
      <c r="K698" s="86"/>
      <c r="L698" s="86"/>
      <c r="M698" s="85"/>
    </row>
    <row r="699" spans="1:13" ht="15.75">
      <c r="A699" s="83"/>
      <c r="B699" s="18"/>
      <c r="C699" s="21"/>
      <c r="D699" s="21"/>
      <c r="E699" s="20"/>
      <c r="F699" s="18">
        <f>B699</f>
        <v>0</v>
      </c>
      <c r="G699" s="86"/>
      <c r="H699" s="86"/>
      <c r="I699" s="87"/>
      <c r="J699" s="57"/>
      <c r="K699" s="86"/>
      <c r="L699" s="86"/>
      <c r="M699" s="85"/>
    </row>
    <row r="700" spans="1:13" ht="15.75">
      <c r="A700" s="83"/>
      <c r="B700" s="18"/>
      <c r="C700" s="21"/>
      <c r="D700" s="21"/>
      <c r="E700" s="20"/>
      <c r="F700" s="18">
        <f>B700</f>
        <v>0</v>
      </c>
      <c r="G700" s="86"/>
      <c r="H700" s="86"/>
      <c r="I700" s="87"/>
      <c r="J700" s="57"/>
      <c r="K700" s="86"/>
      <c r="L700" s="86"/>
      <c r="M700" s="85"/>
    </row>
    <row r="701" spans="1:13" ht="15.75">
      <c r="A701" s="83"/>
      <c r="B701" s="18"/>
      <c r="C701" s="21"/>
      <c r="D701" s="21"/>
      <c r="E701" s="20"/>
      <c r="F701" s="18">
        <f>B701</f>
        <v>0</v>
      </c>
      <c r="G701" s="86"/>
      <c r="H701" s="86"/>
      <c r="I701" s="87"/>
      <c r="J701" s="57"/>
      <c r="K701" s="86"/>
      <c r="L701" s="86"/>
      <c r="M701" s="85"/>
    </row>
    <row r="702" spans="1:13" ht="15.75">
      <c r="A702" s="83"/>
      <c r="B702" s="18"/>
      <c r="C702" s="21"/>
      <c r="D702" s="21"/>
      <c r="E702" s="20"/>
      <c r="F702" s="18">
        <f>B702</f>
        <v>0</v>
      </c>
      <c r="G702" s="86"/>
      <c r="H702" s="86"/>
      <c r="I702" s="87"/>
      <c r="J702" s="57"/>
      <c r="K702" s="86"/>
      <c r="L702" s="86"/>
      <c r="M702" s="85"/>
    </row>
    <row r="703" spans="1:13" ht="15.75">
      <c r="A703" s="83"/>
      <c r="B703" s="18"/>
      <c r="C703" s="21"/>
      <c r="D703" s="21"/>
      <c r="E703" s="20"/>
      <c r="F703" s="18">
        <f>B703</f>
        <v>0</v>
      </c>
      <c r="G703" s="86"/>
      <c r="H703" s="86"/>
      <c r="I703" s="87"/>
      <c r="J703" s="57"/>
      <c r="K703" s="86"/>
      <c r="L703" s="86"/>
      <c r="M703" s="85"/>
    </row>
    <row r="704" spans="1:13" ht="15.75">
      <c r="A704" s="83"/>
      <c r="B704" s="18"/>
      <c r="C704" s="21"/>
      <c r="D704" s="21"/>
      <c r="E704" s="20"/>
      <c r="F704" s="18">
        <f>B704</f>
        <v>0</v>
      </c>
      <c r="G704" s="86"/>
      <c r="H704" s="86"/>
      <c r="I704" s="87"/>
      <c r="J704" s="57"/>
      <c r="K704" s="86"/>
      <c r="L704" s="86"/>
      <c r="M704" s="85"/>
    </row>
    <row r="705" spans="1:13" ht="15.75">
      <c r="A705" s="83"/>
      <c r="B705" s="18"/>
      <c r="C705" s="21"/>
      <c r="D705" s="21"/>
      <c r="E705" s="20"/>
      <c r="F705" s="18">
        <f>B705</f>
        <v>0</v>
      </c>
      <c r="G705" s="86"/>
      <c r="H705" s="86"/>
      <c r="I705" s="87"/>
      <c r="J705" s="57"/>
      <c r="K705" s="86"/>
      <c r="L705" s="86"/>
      <c r="M705" s="85"/>
    </row>
    <row r="706" spans="1:13" ht="15.75">
      <c r="A706" s="83"/>
      <c r="B706" s="18"/>
      <c r="C706" s="21"/>
      <c r="D706" s="21"/>
      <c r="E706" s="20"/>
      <c r="F706" s="18">
        <f>B706</f>
        <v>0</v>
      </c>
      <c r="G706" s="86"/>
      <c r="H706" s="86"/>
      <c r="I706" s="87"/>
      <c r="J706" s="57"/>
      <c r="K706" s="86"/>
      <c r="L706" s="86"/>
      <c r="M706" s="85"/>
    </row>
    <row r="707" spans="1:13" ht="15.75">
      <c r="A707" s="83"/>
      <c r="B707" s="18"/>
      <c r="C707" s="21"/>
      <c r="D707" s="21"/>
      <c r="E707" s="20"/>
      <c r="F707" s="18">
        <f>B707</f>
        <v>0</v>
      </c>
      <c r="G707" s="86"/>
      <c r="H707" s="86"/>
      <c r="I707" s="87"/>
      <c r="J707" s="57"/>
      <c r="K707" s="86"/>
      <c r="L707" s="86"/>
      <c r="M707" s="85"/>
    </row>
    <row r="708" spans="1:13" ht="15.75">
      <c r="A708" s="83"/>
      <c r="B708" s="18"/>
      <c r="C708" s="21"/>
      <c r="D708" s="21"/>
      <c r="E708" s="20"/>
      <c r="F708" s="18">
        <f>B708</f>
        <v>0</v>
      </c>
      <c r="G708" s="86"/>
      <c r="H708" s="86"/>
      <c r="I708" s="87"/>
      <c r="J708" s="57"/>
      <c r="K708" s="86"/>
      <c r="L708" s="86"/>
      <c r="M708" s="85"/>
    </row>
    <row r="709" spans="1:13" ht="15.75">
      <c r="A709" s="83"/>
      <c r="B709" s="18"/>
      <c r="C709" s="21"/>
      <c r="D709" s="21"/>
      <c r="E709" s="20"/>
      <c r="F709" s="18">
        <f>B709</f>
        <v>0</v>
      </c>
      <c r="G709" s="86"/>
      <c r="H709" s="86"/>
      <c r="I709" s="87"/>
      <c r="J709" s="57"/>
      <c r="K709" s="86"/>
      <c r="L709" s="86"/>
      <c r="M709" s="85"/>
    </row>
    <row r="710" spans="1:13" ht="15.75">
      <c r="A710" s="83"/>
      <c r="B710" s="18"/>
      <c r="C710" s="21"/>
      <c r="D710" s="21"/>
      <c r="E710" s="20"/>
      <c r="F710" s="18">
        <f>B710</f>
        <v>0</v>
      </c>
      <c r="G710" s="86"/>
      <c r="H710" s="86"/>
      <c r="I710" s="87"/>
      <c r="J710" s="57"/>
      <c r="K710" s="86"/>
      <c r="L710" s="86"/>
      <c r="M710" s="85"/>
    </row>
    <row r="711" spans="1:13" ht="15.75">
      <c r="A711" s="83"/>
      <c r="B711" s="18"/>
      <c r="C711" s="21"/>
      <c r="D711" s="21"/>
      <c r="E711" s="20"/>
      <c r="F711" s="18">
        <f>B711</f>
        <v>0</v>
      </c>
      <c r="G711" s="86"/>
      <c r="H711" s="86"/>
      <c r="I711" s="87"/>
      <c r="J711" s="57"/>
      <c r="K711" s="86"/>
      <c r="L711" s="86"/>
      <c r="M711" s="85"/>
    </row>
    <row r="712" spans="1:13" ht="15.75">
      <c r="A712" s="83"/>
      <c r="B712" s="18"/>
      <c r="C712" s="21"/>
      <c r="D712" s="21"/>
      <c r="E712" s="20"/>
      <c r="F712" s="18">
        <f>B712</f>
        <v>0</v>
      </c>
      <c r="G712" s="86"/>
      <c r="H712" s="86"/>
      <c r="I712" s="87"/>
      <c r="J712" s="57"/>
      <c r="K712" s="86"/>
      <c r="L712" s="86"/>
      <c r="M712" s="85"/>
    </row>
    <row r="713" spans="1:13" ht="15.75">
      <c r="A713" s="83"/>
      <c r="B713" s="18"/>
      <c r="C713" s="21"/>
      <c r="D713" s="21"/>
      <c r="E713" s="20"/>
      <c r="F713" s="18">
        <f>B713</f>
        <v>0</v>
      </c>
      <c r="G713" s="86"/>
      <c r="H713" s="86"/>
      <c r="I713" s="87"/>
      <c r="J713" s="57"/>
      <c r="K713" s="86"/>
      <c r="L713" s="86"/>
      <c r="M713" s="85"/>
    </row>
    <row r="714" spans="1:13" ht="15.75">
      <c r="A714" s="83"/>
      <c r="B714" s="18"/>
      <c r="C714" s="21"/>
      <c r="D714" s="21"/>
      <c r="E714" s="20"/>
      <c r="F714" s="18">
        <f>B714</f>
        <v>0</v>
      </c>
      <c r="G714" s="86"/>
      <c r="H714" s="86"/>
      <c r="I714" s="87"/>
      <c r="J714" s="57"/>
      <c r="K714" s="86"/>
      <c r="L714" s="86"/>
      <c r="M714" s="85"/>
    </row>
    <row r="715" spans="1:13" ht="15.75">
      <c r="A715" s="83"/>
      <c r="B715" s="18"/>
      <c r="C715" s="21"/>
      <c r="D715" s="21"/>
      <c r="E715" s="20"/>
      <c r="F715" s="18">
        <f>B715</f>
        <v>0</v>
      </c>
      <c r="G715" s="86"/>
      <c r="H715" s="86"/>
      <c r="I715" s="87"/>
      <c r="J715" s="57"/>
      <c r="K715" s="86"/>
      <c r="L715" s="86"/>
      <c r="M715" s="85"/>
    </row>
    <row r="716" spans="1:13" ht="15.75">
      <c r="A716" s="83"/>
      <c r="B716" s="18"/>
      <c r="C716" s="21"/>
      <c r="D716" s="21"/>
      <c r="E716" s="20"/>
      <c r="F716" s="18">
        <f>B716</f>
        <v>0</v>
      </c>
      <c r="G716" s="86"/>
      <c r="H716" s="86"/>
      <c r="I716" s="87"/>
      <c r="J716" s="57"/>
      <c r="K716" s="86"/>
      <c r="L716" s="86"/>
      <c r="M716" s="85"/>
    </row>
    <row r="717" spans="1:13" ht="15.75">
      <c r="A717" s="83"/>
      <c r="B717" s="18"/>
      <c r="C717" s="21"/>
      <c r="D717" s="21"/>
      <c r="E717" s="20"/>
      <c r="F717" s="18">
        <f>B717</f>
        <v>0</v>
      </c>
      <c r="G717" s="86"/>
      <c r="H717" s="86"/>
      <c r="I717" s="87"/>
      <c r="J717" s="57"/>
      <c r="K717" s="86"/>
      <c r="L717" s="86"/>
      <c r="M717" s="85"/>
    </row>
    <row r="718" spans="1:13" ht="15.75">
      <c r="A718" s="83"/>
      <c r="B718" s="18"/>
      <c r="C718" s="21"/>
      <c r="D718" s="21"/>
      <c r="E718" s="20"/>
      <c r="F718" s="18">
        <f>B718</f>
        <v>0</v>
      </c>
      <c r="G718" s="86"/>
      <c r="H718" s="86"/>
      <c r="I718" s="87"/>
      <c r="J718" s="57"/>
      <c r="K718" s="86"/>
      <c r="L718" s="86"/>
      <c r="M718" s="85"/>
    </row>
    <row r="719" spans="1:13" ht="15.75">
      <c r="A719" s="83"/>
      <c r="B719" s="18"/>
      <c r="C719" s="21"/>
      <c r="D719" s="21"/>
      <c r="E719" s="20"/>
      <c r="F719" s="18">
        <f>B719</f>
        <v>0</v>
      </c>
      <c r="G719" s="86"/>
      <c r="H719" s="86"/>
      <c r="I719" s="87"/>
      <c r="J719" s="57"/>
      <c r="K719" s="86"/>
      <c r="L719" s="86"/>
      <c r="M719" s="85"/>
    </row>
    <row r="720" spans="1:13" ht="15.75">
      <c r="A720" s="83"/>
      <c r="B720" s="18"/>
      <c r="C720" s="21"/>
      <c r="D720" s="21"/>
      <c r="E720" s="20"/>
      <c r="F720" s="18">
        <f>B720</f>
        <v>0</v>
      </c>
      <c r="G720" s="86"/>
      <c r="H720" s="86"/>
      <c r="I720" s="87"/>
      <c r="J720" s="57"/>
      <c r="K720" s="86"/>
      <c r="L720" s="86"/>
      <c r="M720" s="85"/>
    </row>
    <row r="721" spans="1:13" ht="15.75">
      <c r="A721" s="83"/>
      <c r="B721" s="18"/>
      <c r="C721" s="21"/>
      <c r="D721" s="21"/>
      <c r="E721" s="20"/>
      <c r="F721" s="18">
        <f>B721</f>
        <v>0</v>
      </c>
      <c r="G721" s="86"/>
      <c r="H721" s="86"/>
      <c r="I721" s="87"/>
      <c r="J721" s="57"/>
      <c r="K721" s="86"/>
      <c r="L721" s="86"/>
      <c r="M721" s="85"/>
    </row>
    <row r="722" spans="1:13" ht="15.75">
      <c r="A722" s="83"/>
      <c r="B722" s="18"/>
      <c r="C722" s="21"/>
      <c r="D722" s="21"/>
      <c r="E722" s="20"/>
      <c r="F722" s="18">
        <f>B722</f>
        <v>0</v>
      </c>
      <c r="G722" s="86"/>
      <c r="H722" s="86"/>
      <c r="I722" s="87"/>
      <c r="J722" s="57"/>
      <c r="K722" s="86"/>
      <c r="L722" s="86"/>
      <c r="M722" s="85"/>
    </row>
    <row r="723" spans="1:13" ht="15.75">
      <c r="A723" s="83"/>
      <c r="B723" s="18"/>
      <c r="C723" s="21"/>
      <c r="D723" s="21"/>
      <c r="E723" s="20"/>
      <c r="F723" s="18">
        <f>B723</f>
        <v>0</v>
      </c>
      <c r="G723" s="86"/>
      <c r="H723" s="86"/>
      <c r="I723" s="87"/>
      <c r="J723" s="57"/>
      <c r="K723" s="86"/>
      <c r="L723" s="86"/>
      <c r="M723" s="85"/>
    </row>
    <row r="724" spans="1:13" ht="15.75">
      <c r="A724" s="83"/>
      <c r="B724" s="18"/>
      <c r="C724" s="21"/>
      <c r="D724" s="21"/>
      <c r="E724" s="20"/>
      <c r="F724" s="18">
        <f>B724</f>
        <v>0</v>
      </c>
      <c r="G724" s="86"/>
      <c r="H724" s="86"/>
      <c r="I724" s="87"/>
      <c r="J724" s="57"/>
      <c r="K724" s="86"/>
      <c r="L724" s="86"/>
      <c r="M724" s="85"/>
    </row>
    <row r="725" spans="1:13" ht="15.75">
      <c r="A725" s="83"/>
      <c r="B725" s="18"/>
      <c r="C725" s="21"/>
      <c r="D725" s="21"/>
      <c r="E725" s="20"/>
      <c r="F725" s="18">
        <f>B725</f>
        <v>0</v>
      </c>
      <c r="G725" s="86"/>
      <c r="H725" s="86"/>
      <c r="I725" s="87"/>
      <c r="J725" s="57"/>
      <c r="K725" s="86"/>
      <c r="L725" s="86"/>
      <c r="M725" s="85"/>
    </row>
    <row r="726" spans="1:13" ht="15.75">
      <c r="A726" s="83"/>
      <c r="B726" s="18"/>
      <c r="C726" s="21"/>
      <c r="D726" s="21"/>
      <c r="E726" s="20"/>
      <c r="F726" s="18">
        <f>B726</f>
        <v>0</v>
      </c>
      <c r="G726" s="86"/>
      <c r="H726" s="86"/>
      <c r="I726" s="87"/>
      <c r="J726" s="57"/>
      <c r="K726" s="86"/>
      <c r="L726" s="86"/>
      <c r="M726" s="85"/>
    </row>
    <row r="727" spans="1:13" ht="15.75">
      <c r="A727" s="83"/>
      <c r="B727" s="18"/>
      <c r="C727" s="21"/>
      <c r="D727" s="21"/>
      <c r="E727" s="20"/>
      <c r="F727" s="18">
        <f>B727</f>
        <v>0</v>
      </c>
      <c r="G727" s="86"/>
      <c r="H727" s="86"/>
      <c r="I727" s="87"/>
      <c r="J727" s="57"/>
      <c r="K727" s="86"/>
      <c r="L727" s="86"/>
      <c r="M727" s="85"/>
    </row>
    <row r="728" spans="1:13" ht="15.75">
      <c r="A728" s="83"/>
      <c r="B728" s="18"/>
      <c r="C728" s="21"/>
      <c r="D728" s="21"/>
      <c r="E728" s="20"/>
      <c r="F728" s="18">
        <f>B728</f>
        <v>0</v>
      </c>
      <c r="G728" s="86"/>
      <c r="H728" s="86"/>
      <c r="I728" s="87"/>
      <c r="J728" s="57"/>
      <c r="K728" s="86"/>
      <c r="L728" s="86"/>
      <c r="M728" s="85"/>
    </row>
    <row r="729" spans="1:13" ht="15.75">
      <c r="A729" s="83"/>
      <c r="B729" s="18"/>
      <c r="C729" s="21"/>
      <c r="D729" s="21"/>
      <c r="E729" s="20"/>
      <c r="F729" s="18">
        <f>B729</f>
        <v>0</v>
      </c>
      <c r="G729" s="86"/>
      <c r="H729" s="86"/>
      <c r="I729" s="87"/>
      <c r="J729" s="57"/>
      <c r="K729" s="86"/>
      <c r="L729" s="86"/>
      <c r="M729" s="85"/>
    </row>
    <row r="730" spans="1:13" ht="15.75">
      <c r="A730" s="83"/>
      <c r="B730" s="18"/>
      <c r="C730" s="21"/>
      <c r="D730" s="21"/>
      <c r="E730" s="20"/>
      <c r="F730" s="18">
        <f>B730</f>
        <v>0</v>
      </c>
      <c r="G730" s="86"/>
      <c r="H730" s="86"/>
      <c r="I730" s="87"/>
      <c r="J730" s="57"/>
      <c r="K730" s="86"/>
      <c r="L730" s="86"/>
      <c r="M730" s="85"/>
    </row>
    <row r="731" spans="1:13" ht="15.75">
      <c r="A731" s="83"/>
      <c r="B731" s="18"/>
      <c r="C731" s="21"/>
      <c r="D731" s="21"/>
      <c r="E731" s="20"/>
      <c r="F731" s="18">
        <f>B731</f>
        <v>0</v>
      </c>
      <c r="G731" s="86"/>
      <c r="H731" s="86"/>
      <c r="I731" s="87"/>
      <c r="J731" s="57"/>
      <c r="K731" s="86"/>
      <c r="L731" s="86"/>
      <c r="M731" s="85"/>
    </row>
    <row r="732" spans="1:13" ht="15.75">
      <c r="A732" s="83"/>
      <c r="B732" s="18"/>
      <c r="C732" s="21"/>
      <c r="D732" s="21"/>
      <c r="E732" s="20"/>
      <c r="F732" s="18">
        <f>B732</f>
        <v>0</v>
      </c>
      <c r="G732" s="86"/>
      <c r="H732" s="86"/>
      <c r="I732" s="87"/>
      <c r="J732" s="57"/>
      <c r="K732" s="86"/>
      <c r="L732" s="86"/>
      <c r="M732" s="85"/>
    </row>
    <row r="733" spans="1:13" ht="15.75">
      <c r="A733" s="83"/>
      <c r="B733" s="18"/>
      <c r="C733" s="21"/>
      <c r="D733" s="21"/>
      <c r="E733" s="20"/>
      <c r="F733" s="18">
        <f>B733</f>
        <v>0</v>
      </c>
      <c r="G733" s="86"/>
      <c r="H733" s="86"/>
      <c r="I733" s="87"/>
      <c r="J733" s="57"/>
      <c r="K733" s="86"/>
      <c r="L733" s="86"/>
      <c r="M733" s="85"/>
    </row>
    <row r="734" spans="1:13" ht="15.75">
      <c r="A734" s="83"/>
      <c r="B734" s="18"/>
      <c r="C734" s="21"/>
      <c r="D734" s="21"/>
      <c r="E734" s="20"/>
      <c r="F734" s="18">
        <f>B734</f>
        <v>0</v>
      </c>
      <c r="G734" s="86"/>
      <c r="H734" s="86"/>
      <c r="I734" s="87"/>
      <c r="J734" s="57"/>
      <c r="K734" s="86"/>
      <c r="L734" s="86"/>
      <c r="M734" s="85"/>
    </row>
    <row r="735" spans="1:13" ht="15.75">
      <c r="A735" s="83"/>
      <c r="B735" s="18"/>
      <c r="C735" s="21"/>
      <c r="D735" s="21"/>
      <c r="E735" s="20"/>
      <c r="F735" s="18">
        <f>B735</f>
        <v>0</v>
      </c>
      <c r="G735" s="86"/>
      <c r="H735" s="86"/>
      <c r="I735" s="87"/>
      <c r="J735" s="57"/>
      <c r="K735" s="86"/>
      <c r="L735" s="86"/>
      <c r="M735" s="85"/>
    </row>
    <row r="736" spans="1:13" ht="15.75">
      <c r="A736" s="83"/>
      <c r="B736" s="18"/>
      <c r="C736" s="21"/>
      <c r="D736" s="21"/>
      <c r="E736" s="20"/>
      <c r="F736" s="18">
        <f>B736</f>
        <v>0</v>
      </c>
      <c r="G736" s="86"/>
      <c r="H736" s="86"/>
      <c r="I736" s="87"/>
      <c r="J736" s="57"/>
      <c r="K736" s="86"/>
      <c r="L736" s="86"/>
      <c r="M736" s="85"/>
    </row>
    <row r="737" spans="1:13" ht="15.75">
      <c r="A737" s="83"/>
      <c r="B737" s="18"/>
      <c r="C737" s="21"/>
      <c r="D737" s="21"/>
      <c r="E737" s="20"/>
      <c r="F737" s="18">
        <f>B737</f>
        <v>0</v>
      </c>
      <c r="G737" s="86"/>
      <c r="H737" s="86"/>
      <c r="I737" s="87"/>
      <c r="J737" s="57"/>
      <c r="K737" s="86"/>
      <c r="L737" s="86"/>
      <c r="M737" s="85"/>
    </row>
    <row r="738" spans="1:13" ht="15.75">
      <c r="A738" s="83"/>
      <c r="B738" s="18"/>
      <c r="C738" s="21"/>
      <c r="D738" s="21"/>
      <c r="E738" s="20"/>
      <c r="F738" s="18">
        <f>B738</f>
        <v>0</v>
      </c>
      <c r="G738" s="86"/>
      <c r="H738" s="86"/>
      <c r="I738" s="87"/>
      <c r="J738" s="57"/>
      <c r="K738" s="86"/>
      <c r="L738" s="86"/>
      <c r="M738" s="85"/>
    </row>
    <row r="739" spans="1:13" ht="15.75">
      <c r="A739" s="83"/>
      <c r="B739" s="18"/>
      <c r="C739" s="21"/>
      <c r="D739" s="21"/>
      <c r="E739" s="20"/>
      <c r="F739" s="18">
        <f>B739</f>
        <v>0</v>
      </c>
      <c r="G739" s="86"/>
      <c r="H739" s="86"/>
      <c r="I739" s="87"/>
      <c r="J739" s="57"/>
      <c r="K739" s="86"/>
      <c r="L739" s="86"/>
      <c r="M739" s="85"/>
    </row>
    <row r="740" spans="1:13" ht="15.75">
      <c r="A740" s="83"/>
      <c r="B740" s="18"/>
      <c r="C740" s="21"/>
      <c r="D740" s="21"/>
      <c r="E740" s="20"/>
      <c r="F740" s="18">
        <f>B740</f>
        <v>0</v>
      </c>
      <c r="G740" s="86"/>
      <c r="H740" s="86"/>
      <c r="I740" s="87"/>
      <c r="J740" s="57"/>
      <c r="K740" s="86"/>
      <c r="L740" s="86"/>
      <c r="M740" s="85"/>
    </row>
    <row r="741" spans="1:13" ht="15.75">
      <c r="A741" s="83"/>
      <c r="B741" s="18"/>
      <c r="C741" s="21"/>
      <c r="D741" s="21"/>
      <c r="E741" s="20"/>
      <c r="F741" s="18">
        <f>B741</f>
        <v>0</v>
      </c>
      <c r="G741" s="86"/>
      <c r="H741" s="86"/>
      <c r="I741" s="87"/>
      <c r="J741" s="57"/>
      <c r="K741" s="86"/>
      <c r="L741" s="86"/>
      <c r="M741" s="85"/>
    </row>
    <row r="742" spans="1:13" ht="15.75">
      <c r="A742" s="83"/>
      <c r="B742" s="29"/>
      <c r="C742" s="41"/>
      <c r="D742" s="41"/>
      <c r="E742" s="37"/>
      <c r="F742" s="84">
        <f>B742</f>
        <v>0</v>
      </c>
      <c r="G742" s="79"/>
      <c r="H742" s="81"/>
      <c r="I742" s="79"/>
      <c r="J742" s="79"/>
      <c r="K742" s="81"/>
      <c r="L742" s="80"/>
      <c r="M742" s="79"/>
    </row>
    <row r="743" spans="1:13" ht="15.75">
      <c r="A743" s="83"/>
      <c r="B743" s="29"/>
      <c r="C743" s="41"/>
      <c r="D743" s="41"/>
      <c r="E743" s="37"/>
      <c r="F743" s="84">
        <f>B743</f>
        <v>0</v>
      </c>
      <c r="G743" s="79"/>
      <c r="H743" s="81"/>
      <c r="I743" s="79"/>
      <c r="J743" s="79"/>
      <c r="K743" s="81"/>
      <c r="L743" s="80"/>
      <c r="M743" s="79"/>
    </row>
    <row r="744" spans="1:13" ht="15.75">
      <c r="A744" s="83"/>
      <c r="B744" s="29"/>
      <c r="C744" s="41"/>
      <c r="D744" s="41"/>
      <c r="E744" s="37"/>
      <c r="F744" s="84">
        <f>B744</f>
        <v>0</v>
      </c>
      <c r="G744" s="79"/>
      <c r="H744" s="81"/>
      <c r="I744" s="79"/>
      <c r="J744" s="79"/>
      <c r="K744" s="81"/>
      <c r="L744" s="80"/>
      <c r="M744" s="79"/>
    </row>
    <row r="745" spans="1:13" ht="15.75">
      <c r="A745" s="83"/>
      <c r="B745" s="29"/>
      <c r="C745" s="41"/>
      <c r="D745" s="41"/>
      <c r="E745" s="37"/>
      <c r="F745" s="84">
        <f>B745</f>
        <v>0</v>
      </c>
      <c r="G745" s="79"/>
      <c r="H745" s="81"/>
      <c r="I745" s="79"/>
      <c r="J745" s="79"/>
      <c r="K745" s="81"/>
      <c r="L745" s="80"/>
      <c r="M745" s="79"/>
    </row>
    <row r="746" spans="1:13" ht="15.75">
      <c r="A746" s="83"/>
      <c r="B746" s="29"/>
      <c r="C746" s="41"/>
      <c r="D746" s="41"/>
      <c r="E746" s="37"/>
      <c r="F746" s="84">
        <f>B746</f>
        <v>0</v>
      </c>
      <c r="G746" s="79"/>
      <c r="H746" s="81"/>
      <c r="I746" s="79"/>
      <c r="J746" s="79"/>
      <c r="K746" s="81"/>
      <c r="L746" s="80"/>
      <c r="M746" s="79"/>
    </row>
    <row r="747" spans="1:13" ht="15.75">
      <c r="A747" s="83"/>
      <c r="B747" s="29"/>
      <c r="C747" s="41"/>
      <c r="D747" s="41"/>
      <c r="E747" s="37"/>
      <c r="F747" s="84">
        <f>B747</f>
        <v>0</v>
      </c>
      <c r="G747" s="79"/>
      <c r="H747" s="81"/>
      <c r="I747" s="79"/>
      <c r="J747" s="79"/>
      <c r="K747" s="81"/>
      <c r="L747" s="80"/>
      <c r="M747" s="79"/>
    </row>
    <row r="748" spans="1:13" ht="15.75">
      <c r="A748" s="83"/>
      <c r="B748" s="29"/>
      <c r="C748" s="41"/>
      <c r="D748" s="41"/>
      <c r="E748" s="37"/>
      <c r="F748" s="84">
        <f>B748</f>
        <v>0</v>
      </c>
      <c r="G748" s="79"/>
      <c r="H748" s="81"/>
      <c r="I748" s="79"/>
      <c r="J748" s="79"/>
      <c r="K748" s="81"/>
      <c r="L748" s="80"/>
      <c r="M748" s="79"/>
    </row>
    <row r="749" spans="1:13" ht="15.75">
      <c r="A749" s="83"/>
      <c r="B749" s="29"/>
      <c r="C749" s="41"/>
      <c r="D749" s="41"/>
      <c r="E749" s="37"/>
      <c r="F749" s="84">
        <f>B749</f>
        <v>0</v>
      </c>
      <c r="G749" s="79"/>
      <c r="H749" s="81"/>
      <c r="I749" s="79"/>
      <c r="J749" s="79"/>
      <c r="K749" s="81"/>
      <c r="L749" s="80"/>
      <c r="M749" s="79"/>
    </row>
    <row r="750" spans="1:13" ht="15.75">
      <c r="A750" s="83"/>
      <c r="B750" s="29"/>
      <c r="C750" s="41"/>
      <c r="D750" s="41"/>
      <c r="E750" s="37"/>
      <c r="F750" s="84">
        <f>B750</f>
        <v>0</v>
      </c>
      <c r="G750" s="79"/>
      <c r="H750" s="81"/>
      <c r="I750" s="79"/>
      <c r="J750" s="79"/>
      <c r="K750" s="81"/>
      <c r="L750" s="80"/>
      <c r="M750" s="79"/>
    </row>
    <row r="751" spans="1:13" ht="15.75">
      <c r="A751" s="83"/>
      <c r="B751" s="29"/>
      <c r="C751" s="41"/>
      <c r="D751" s="41"/>
      <c r="E751" s="37"/>
      <c r="F751" s="84">
        <f>B751</f>
        <v>0</v>
      </c>
      <c r="G751" s="79"/>
      <c r="H751" s="81"/>
      <c r="I751" s="79"/>
      <c r="J751" s="79"/>
      <c r="K751" s="81"/>
      <c r="L751" s="80"/>
      <c r="M751" s="79"/>
    </row>
    <row r="752" spans="1:13" ht="15.75">
      <c r="A752" s="83"/>
      <c r="B752" s="29"/>
      <c r="C752" s="41"/>
      <c r="D752" s="41"/>
      <c r="E752" s="37"/>
      <c r="F752" s="84">
        <f>B752</f>
        <v>0</v>
      </c>
      <c r="G752" s="79"/>
      <c r="H752" s="81"/>
      <c r="I752" s="79"/>
      <c r="J752" s="79"/>
      <c r="K752" s="81"/>
      <c r="L752" s="80"/>
      <c r="M752" s="79"/>
    </row>
    <row r="753" spans="1:13" ht="15.75">
      <c r="A753" s="83"/>
      <c r="B753" s="29"/>
      <c r="C753" s="41"/>
      <c r="D753" s="41"/>
      <c r="E753" s="37"/>
      <c r="F753" s="84">
        <f>B753</f>
        <v>0</v>
      </c>
      <c r="G753" s="79"/>
      <c r="H753" s="81"/>
      <c r="I753" s="79"/>
      <c r="J753" s="79"/>
      <c r="K753" s="81"/>
      <c r="L753" s="80"/>
      <c r="M753" s="79"/>
    </row>
    <row r="754" spans="1:13" ht="15.75">
      <c r="A754" s="83"/>
      <c r="B754" s="29"/>
      <c r="C754" s="41"/>
      <c r="D754" s="41"/>
      <c r="E754" s="37"/>
      <c r="F754" s="84">
        <f>B754</f>
        <v>0</v>
      </c>
      <c r="G754" s="79"/>
      <c r="H754" s="81"/>
      <c r="I754" s="79"/>
      <c r="J754" s="79"/>
      <c r="K754" s="81"/>
      <c r="L754" s="80"/>
      <c r="M754" s="79"/>
    </row>
    <row r="755" spans="1:13" ht="15.75">
      <c r="A755" s="83"/>
      <c r="B755" s="29"/>
      <c r="C755" s="41"/>
      <c r="D755" s="41"/>
      <c r="E755" s="37"/>
      <c r="F755" s="84">
        <f>B755</f>
        <v>0</v>
      </c>
      <c r="G755" s="79"/>
      <c r="H755" s="81"/>
      <c r="I755" s="79"/>
      <c r="J755" s="79"/>
      <c r="K755" s="81"/>
      <c r="L755" s="80"/>
      <c r="M755" s="79"/>
    </row>
    <row r="756" spans="1:13" ht="15.75">
      <c r="A756" s="83"/>
      <c r="B756" s="29"/>
      <c r="C756" s="41"/>
      <c r="D756" s="41"/>
      <c r="E756" s="37"/>
      <c r="F756" s="84">
        <f>B756</f>
        <v>0</v>
      </c>
      <c r="G756" s="79"/>
      <c r="H756" s="81"/>
      <c r="I756" s="79"/>
      <c r="J756" s="79"/>
      <c r="K756" s="81"/>
      <c r="L756" s="80"/>
      <c r="M756" s="79"/>
    </row>
    <row r="757" spans="1:13" ht="15.75">
      <c r="A757" s="83"/>
      <c r="B757" s="29"/>
      <c r="C757" s="41"/>
      <c r="D757" s="41"/>
      <c r="E757" s="37"/>
      <c r="F757" s="84">
        <f>B757</f>
        <v>0</v>
      </c>
      <c r="G757" s="79"/>
      <c r="H757" s="81"/>
      <c r="I757" s="79"/>
      <c r="J757" s="79"/>
      <c r="K757" s="81"/>
      <c r="L757" s="80"/>
      <c r="M757" s="79"/>
    </row>
    <row r="758" spans="1:13" ht="15.75">
      <c r="A758" s="83"/>
      <c r="B758" s="29"/>
      <c r="C758" s="41"/>
      <c r="D758" s="41"/>
      <c r="E758" s="37"/>
      <c r="F758" s="84">
        <f>B758</f>
        <v>0</v>
      </c>
      <c r="G758" s="79"/>
      <c r="H758" s="81"/>
      <c r="I758" s="79"/>
      <c r="J758" s="79"/>
      <c r="K758" s="81"/>
      <c r="L758" s="80"/>
      <c r="M758" s="79"/>
    </row>
    <row r="759" spans="1:13" ht="15.75">
      <c r="A759" s="83"/>
      <c r="B759" s="29"/>
      <c r="C759" s="41"/>
      <c r="D759" s="41"/>
      <c r="E759" s="37"/>
      <c r="F759" s="84">
        <f>B759</f>
        <v>0</v>
      </c>
      <c r="G759" s="79"/>
      <c r="H759" s="81"/>
      <c r="I759" s="79"/>
      <c r="J759" s="79"/>
      <c r="K759" s="81"/>
      <c r="L759" s="80"/>
      <c r="M759" s="79"/>
    </row>
    <row r="760" spans="1:13" ht="15.75">
      <c r="A760" s="83"/>
      <c r="B760" s="29"/>
      <c r="C760" s="41"/>
      <c r="D760" s="41"/>
      <c r="E760" s="37"/>
      <c r="F760" s="84">
        <f>B760</f>
        <v>0</v>
      </c>
      <c r="G760" s="79"/>
      <c r="H760" s="81"/>
      <c r="I760" s="79"/>
      <c r="J760" s="79"/>
      <c r="K760" s="81"/>
      <c r="L760" s="80"/>
      <c r="M760" s="79"/>
    </row>
    <row r="761" spans="1:13" ht="15.75">
      <c r="A761" s="83"/>
      <c r="B761" s="29"/>
      <c r="C761" s="41"/>
      <c r="D761" s="41"/>
      <c r="E761" s="37"/>
      <c r="F761" s="84">
        <f>B761</f>
        <v>0</v>
      </c>
      <c r="G761" s="79"/>
      <c r="H761" s="81"/>
      <c r="I761" s="79"/>
      <c r="J761" s="79"/>
      <c r="K761" s="81"/>
      <c r="L761" s="80"/>
      <c r="M761" s="79"/>
    </row>
    <row r="762" spans="1:13" ht="15.75">
      <c r="A762" s="83"/>
      <c r="B762" s="29"/>
      <c r="C762" s="41"/>
      <c r="D762" s="41"/>
      <c r="E762" s="37"/>
      <c r="F762" s="84">
        <f>B762</f>
        <v>0</v>
      </c>
      <c r="G762" s="79"/>
      <c r="H762" s="81"/>
      <c r="I762" s="79"/>
      <c r="J762" s="79"/>
      <c r="K762" s="81"/>
      <c r="L762" s="80"/>
      <c r="M762" s="79"/>
    </row>
    <row r="763" spans="1:13" ht="15.75">
      <c r="A763" s="83"/>
      <c r="B763" s="29"/>
      <c r="C763" s="41"/>
      <c r="D763" s="41"/>
      <c r="E763" s="37"/>
      <c r="F763" s="84">
        <f>B763</f>
        <v>0</v>
      </c>
      <c r="G763" s="79"/>
      <c r="H763" s="81"/>
      <c r="I763" s="79"/>
      <c r="J763" s="79"/>
      <c r="K763" s="81"/>
      <c r="L763" s="80"/>
      <c r="M763" s="79"/>
    </row>
    <row r="764" spans="1:13" ht="15.75">
      <c r="A764" s="83"/>
      <c r="B764" s="29"/>
      <c r="C764" s="41"/>
      <c r="D764" s="41"/>
      <c r="E764" s="37"/>
      <c r="F764" s="84">
        <f>B764</f>
        <v>0</v>
      </c>
      <c r="G764" s="79"/>
      <c r="H764" s="81"/>
      <c r="I764" s="79"/>
      <c r="J764" s="79"/>
      <c r="K764" s="81"/>
      <c r="L764" s="80"/>
      <c r="M764" s="79"/>
    </row>
    <row r="765" spans="1:13" ht="15.75">
      <c r="A765" s="83"/>
      <c r="B765" s="29"/>
      <c r="C765" s="41"/>
      <c r="D765" s="41"/>
      <c r="E765" s="37"/>
      <c r="F765" s="84">
        <f>B765</f>
        <v>0</v>
      </c>
      <c r="G765" s="79"/>
      <c r="H765" s="81"/>
      <c r="I765" s="79"/>
      <c r="J765" s="79"/>
      <c r="K765" s="81"/>
      <c r="L765" s="80"/>
      <c r="M765" s="79"/>
    </row>
    <row r="766" spans="1:13" ht="15.75">
      <c r="A766" s="83"/>
      <c r="B766" s="29"/>
      <c r="C766" s="41"/>
      <c r="D766" s="41"/>
      <c r="E766" s="37"/>
      <c r="F766" s="84">
        <f>B766</f>
        <v>0</v>
      </c>
      <c r="G766" s="79"/>
      <c r="H766" s="81"/>
      <c r="I766" s="79"/>
      <c r="J766" s="79"/>
      <c r="K766" s="81"/>
      <c r="L766" s="80"/>
      <c r="M766" s="79"/>
    </row>
    <row r="767" spans="1:13" ht="15.75">
      <c r="A767" s="83"/>
      <c r="B767" s="29"/>
      <c r="C767" s="41"/>
      <c r="D767" s="41"/>
      <c r="E767" s="37"/>
      <c r="F767" s="84">
        <f>B767</f>
        <v>0</v>
      </c>
      <c r="G767" s="79"/>
      <c r="H767" s="81"/>
      <c r="I767" s="79"/>
      <c r="J767" s="79"/>
      <c r="K767" s="81"/>
      <c r="L767" s="80"/>
      <c r="M767" s="79"/>
    </row>
    <row r="768" spans="1:13" ht="15.75">
      <c r="A768" s="83"/>
      <c r="B768" s="29"/>
      <c r="C768" s="41"/>
      <c r="D768" s="41"/>
      <c r="E768" s="37"/>
      <c r="F768" s="84">
        <f>B768</f>
        <v>0</v>
      </c>
      <c r="G768" s="79"/>
      <c r="H768" s="81"/>
      <c r="I768" s="79"/>
      <c r="J768" s="79"/>
      <c r="K768" s="81"/>
      <c r="L768" s="80"/>
      <c r="M768" s="79"/>
    </row>
    <row r="769" spans="1:13" ht="15.75">
      <c r="A769" s="83"/>
      <c r="B769" s="29"/>
      <c r="C769" s="41"/>
      <c r="D769" s="41"/>
      <c r="E769" s="37"/>
      <c r="F769" s="84">
        <f>B769</f>
        <v>0</v>
      </c>
      <c r="G769" s="79"/>
      <c r="H769" s="81"/>
      <c r="I769" s="79"/>
      <c r="J769" s="79"/>
      <c r="K769" s="81"/>
      <c r="L769" s="80"/>
      <c r="M769" s="79"/>
    </row>
    <row r="770" spans="1:13" ht="15.75">
      <c r="A770" s="83"/>
      <c r="B770" s="29"/>
      <c r="C770" s="41"/>
      <c r="D770" s="41"/>
      <c r="E770" s="37"/>
      <c r="F770" s="84">
        <f>B770</f>
        <v>0</v>
      </c>
      <c r="G770" s="79"/>
      <c r="H770" s="81"/>
      <c r="I770" s="79"/>
      <c r="J770" s="79"/>
      <c r="K770" s="81"/>
      <c r="L770" s="80"/>
      <c r="M770" s="79"/>
    </row>
    <row r="771" spans="1:13" ht="15.75">
      <c r="A771" s="83"/>
      <c r="B771" s="29"/>
      <c r="C771" s="41"/>
      <c r="D771" s="41"/>
      <c r="E771" s="37"/>
      <c r="F771" s="84">
        <f>B771</f>
        <v>0</v>
      </c>
      <c r="G771" s="79"/>
      <c r="H771" s="81"/>
      <c r="I771" s="79"/>
      <c r="J771" s="79"/>
      <c r="K771" s="81"/>
      <c r="L771" s="80"/>
      <c r="M771" s="79"/>
    </row>
    <row r="772" spans="1:13" ht="15.75">
      <c r="A772" s="83"/>
      <c r="B772" s="29"/>
      <c r="C772" s="41"/>
      <c r="D772" s="41"/>
      <c r="E772" s="37"/>
      <c r="F772" s="84">
        <f>B772</f>
        <v>0</v>
      </c>
      <c r="G772" s="79"/>
      <c r="H772" s="81"/>
      <c r="I772" s="79"/>
      <c r="J772" s="79"/>
      <c r="K772" s="81"/>
      <c r="L772" s="80"/>
      <c r="M772" s="79"/>
    </row>
    <row r="773" spans="1:13" ht="15.75">
      <c r="A773" s="83"/>
      <c r="B773" s="29"/>
      <c r="C773" s="41"/>
      <c r="D773" s="41"/>
      <c r="E773" s="37"/>
      <c r="F773" s="84">
        <f>B773</f>
        <v>0</v>
      </c>
      <c r="G773" s="79"/>
      <c r="H773" s="81"/>
      <c r="I773" s="79"/>
      <c r="J773" s="79"/>
      <c r="K773" s="81"/>
      <c r="L773" s="80"/>
      <c r="M773" s="79"/>
    </row>
    <row r="774" spans="1:13" ht="15.75">
      <c r="A774" s="83"/>
      <c r="B774" s="29"/>
      <c r="C774" s="41"/>
      <c r="D774" s="41"/>
      <c r="E774" s="37"/>
      <c r="F774" s="84">
        <f>B774</f>
        <v>0</v>
      </c>
      <c r="G774" s="79"/>
      <c r="H774" s="81"/>
      <c r="I774" s="79"/>
      <c r="J774" s="79"/>
      <c r="K774" s="81"/>
      <c r="L774" s="80"/>
      <c r="M774" s="79"/>
    </row>
    <row r="775" spans="1:13" ht="15.75">
      <c r="A775" s="83"/>
      <c r="B775" s="29"/>
      <c r="C775" s="41"/>
      <c r="D775" s="41"/>
      <c r="E775" s="37"/>
      <c r="F775" s="84">
        <f>B775</f>
        <v>0</v>
      </c>
      <c r="G775" s="79"/>
      <c r="H775" s="81"/>
      <c r="I775" s="79"/>
      <c r="J775" s="79"/>
      <c r="K775" s="81"/>
      <c r="L775" s="80"/>
      <c r="M775" s="79"/>
    </row>
    <row r="776" spans="1:13" ht="15.75">
      <c r="A776" s="83"/>
      <c r="B776" s="29"/>
      <c r="C776" s="41"/>
      <c r="D776" s="41"/>
      <c r="E776" s="37"/>
      <c r="F776" s="84">
        <f>B776</f>
        <v>0</v>
      </c>
      <c r="G776" s="79"/>
      <c r="H776" s="81"/>
      <c r="I776" s="79"/>
      <c r="J776" s="79"/>
      <c r="K776" s="81"/>
      <c r="L776" s="80"/>
      <c r="M776" s="79"/>
    </row>
    <row r="777" spans="1:13" ht="15.75">
      <c r="A777" s="83"/>
      <c r="B777" s="29"/>
      <c r="C777" s="41"/>
      <c r="D777" s="41"/>
      <c r="E777" s="37"/>
      <c r="F777" s="84">
        <f>B777</f>
        <v>0</v>
      </c>
      <c r="G777" s="79"/>
      <c r="H777" s="81"/>
      <c r="I777" s="79"/>
      <c r="J777" s="79"/>
      <c r="K777" s="81"/>
      <c r="L777" s="80"/>
      <c r="M777" s="79"/>
    </row>
    <row r="778" spans="1:13" ht="15.75">
      <c r="A778" s="83"/>
      <c r="B778" s="29"/>
      <c r="C778" s="41"/>
      <c r="D778" s="41"/>
      <c r="E778" s="37"/>
      <c r="F778" s="84">
        <f>B778</f>
        <v>0</v>
      </c>
      <c r="G778" s="79"/>
      <c r="H778" s="81"/>
      <c r="I778" s="79"/>
      <c r="J778" s="79"/>
      <c r="K778" s="81"/>
      <c r="L778" s="80"/>
      <c r="M778" s="79"/>
    </row>
    <row r="779" spans="1:13" ht="15.75">
      <c r="A779" s="83"/>
      <c r="B779" s="29"/>
      <c r="C779" s="41"/>
      <c r="D779" s="41"/>
      <c r="E779" s="37"/>
      <c r="F779" s="84">
        <f>B779</f>
        <v>0</v>
      </c>
      <c r="G779" s="79"/>
      <c r="H779" s="81"/>
      <c r="I779" s="79"/>
      <c r="J779" s="79"/>
      <c r="K779" s="81"/>
      <c r="L779" s="80"/>
      <c r="M779" s="79"/>
    </row>
    <row r="780" spans="1:13" ht="15.75">
      <c r="A780" s="83"/>
      <c r="B780" s="29"/>
      <c r="C780" s="41"/>
      <c r="D780" s="41"/>
      <c r="E780" s="37"/>
      <c r="F780" s="84">
        <f>B780</f>
        <v>0</v>
      </c>
      <c r="G780" s="79"/>
      <c r="H780" s="81"/>
      <c r="I780" s="79"/>
      <c r="J780" s="79"/>
      <c r="K780" s="81"/>
      <c r="L780" s="80"/>
      <c r="M780" s="79"/>
    </row>
    <row r="781" spans="1:13" ht="15.75">
      <c r="A781" s="83"/>
      <c r="B781" s="29"/>
      <c r="C781" s="41"/>
      <c r="D781" s="41"/>
      <c r="E781" s="37"/>
      <c r="F781" s="84">
        <f>B781</f>
        <v>0</v>
      </c>
      <c r="G781" s="79"/>
      <c r="H781" s="81"/>
      <c r="I781" s="79"/>
      <c r="J781" s="79"/>
      <c r="K781" s="81"/>
      <c r="L781" s="80"/>
      <c r="M781" s="79"/>
    </row>
    <row r="782" spans="1:13" ht="15.75">
      <c r="A782" s="83"/>
      <c r="B782" s="29"/>
      <c r="C782" s="41"/>
      <c r="D782" s="41"/>
      <c r="E782" s="37"/>
      <c r="F782" s="84">
        <f>B782</f>
        <v>0</v>
      </c>
      <c r="G782" s="79"/>
      <c r="H782" s="81"/>
      <c r="I782" s="79"/>
      <c r="J782" s="79"/>
      <c r="K782" s="81"/>
      <c r="L782" s="80"/>
      <c r="M782" s="79"/>
    </row>
    <row r="783" spans="1:13" ht="15.75">
      <c r="A783" s="83"/>
      <c r="B783" s="29"/>
      <c r="C783" s="41"/>
      <c r="D783" s="41"/>
      <c r="E783" s="37"/>
      <c r="F783" s="84">
        <f>B783</f>
        <v>0</v>
      </c>
      <c r="G783" s="79"/>
      <c r="H783" s="81"/>
      <c r="I783" s="79"/>
      <c r="J783" s="79"/>
      <c r="K783" s="81"/>
      <c r="L783" s="80"/>
      <c r="M783" s="79"/>
    </row>
    <row r="784" spans="1:13" ht="15.75">
      <c r="A784" s="83"/>
      <c r="B784" s="29"/>
      <c r="C784" s="41"/>
      <c r="D784" s="41"/>
      <c r="E784" s="37"/>
      <c r="F784" s="84">
        <f>B784</f>
        <v>0</v>
      </c>
      <c r="G784" s="79"/>
      <c r="H784" s="81"/>
      <c r="I784" s="79"/>
      <c r="J784" s="79"/>
      <c r="K784" s="81"/>
      <c r="L784" s="80"/>
      <c r="M784" s="79"/>
    </row>
    <row r="785" spans="1:13" ht="15.75">
      <c r="A785" s="83"/>
      <c r="B785" s="29"/>
      <c r="C785" s="41"/>
      <c r="D785" s="41"/>
      <c r="E785" s="37"/>
      <c r="F785" s="84">
        <f>B785</f>
        <v>0</v>
      </c>
      <c r="G785" s="79"/>
      <c r="H785" s="81"/>
      <c r="I785" s="79"/>
      <c r="J785" s="79"/>
      <c r="K785" s="81"/>
      <c r="L785" s="80"/>
      <c r="M785" s="79"/>
    </row>
    <row r="786" spans="1:13" ht="15.75">
      <c r="A786" s="83"/>
      <c r="B786" s="29"/>
      <c r="C786" s="41"/>
      <c r="D786" s="41"/>
      <c r="E786" s="37"/>
      <c r="F786" s="84">
        <f>B786</f>
        <v>0</v>
      </c>
      <c r="G786" s="79"/>
      <c r="H786" s="81"/>
      <c r="I786" s="79"/>
      <c r="J786" s="79"/>
      <c r="K786" s="81"/>
      <c r="L786" s="80"/>
      <c r="M786" s="79"/>
    </row>
    <row r="787" spans="1:13" ht="15.75">
      <c r="A787" s="83"/>
      <c r="B787" s="29"/>
      <c r="C787" s="41"/>
      <c r="D787" s="41"/>
      <c r="E787" s="37"/>
      <c r="F787" s="84">
        <f>B787</f>
        <v>0</v>
      </c>
      <c r="G787" s="79"/>
      <c r="H787" s="81"/>
      <c r="I787" s="79"/>
      <c r="J787" s="79"/>
      <c r="K787" s="81"/>
      <c r="L787" s="80"/>
      <c r="M787" s="79"/>
    </row>
    <row r="788" spans="1:13" ht="15.75">
      <c r="A788" s="83"/>
      <c r="B788" s="29"/>
      <c r="C788" s="41"/>
      <c r="D788" s="41"/>
      <c r="E788" s="37"/>
      <c r="F788" s="84">
        <f>B788</f>
        <v>0</v>
      </c>
      <c r="G788" s="79"/>
      <c r="H788" s="81"/>
      <c r="I788" s="79"/>
      <c r="J788" s="79"/>
      <c r="K788" s="81"/>
      <c r="L788" s="80"/>
      <c r="M788" s="79"/>
    </row>
    <row r="789" spans="1:13" ht="15.75">
      <c r="A789" s="83"/>
      <c r="B789" s="29"/>
      <c r="C789" s="41"/>
      <c r="D789" s="41"/>
      <c r="E789" s="37"/>
      <c r="F789" s="84">
        <f>B789</f>
        <v>0</v>
      </c>
      <c r="G789" s="79"/>
      <c r="H789" s="81"/>
      <c r="I789" s="79"/>
      <c r="J789" s="79"/>
      <c r="K789" s="81"/>
      <c r="L789" s="80"/>
      <c r="M789" s="79"/>
    </row>
    <row r="790" spans="1:13" ht="15.75">
      <c r="A790" s="83"/>
      <c r="B790" s="29"/>
      <c r="C790" s="41"/>
      <c r="D790" s="41"/>
      <c r="E790" s="37"/>
      <c r="F790" s="84">
        <f>B790</f>
        <v>0</v>
      </c>
      <c r="G790" s="79"/>
      <c r="H790" s="81"/>
      <c r="I790" s="79"/>
      <c r="J790" s="79"/>
      <c r="K790" s="81"/>
      <c r="L790" s="80"/>
      <c r="M790" s="79"/>
    </row>
    <row r="791" spans="1:13" ht="15.75">
      <c r="A791" s="83"/>
      <c r="B791" s="29"/>
      <c r="C791" s="41"/>
      <c r="D791" s="41"/>
      <c r="E791" s="37"/>
      <c r="F791" s="84">
        <f>B791</f>
        <v>0</v>
      </c>
      <c r="G791" s="79"/>
      <c r="H791" s="81"/>
      <c r="I791" s="79"/>
      <c r="J791" s="79"/>
      <c r="K791" s="81"/>
      <c r="L791" s="80"/>
      <c r="M791" s="79"/>
    </row>
    <row r="792" spans="1:13" ht="15.75">
      <c r="A792" s="83"/>
      <c r="B792" s="29"/>
      <c r="C792" s="41"/>
      <c r="D792" s="41"/>
      <c r="E792" s="37"/>
      <c r="F792" s="84">
        <f>B792</f>
        <v>0</v>
      </c>
      <c r="G792" s="79"/>
      <c r="H792" s="81"/>
      <c r="I792" s="79"/>
      <c r="J792" s="79"/>
      <c r="K792" s="81"/>
      <c r="L792" s="80"/>
      <c r="M792" s="79"/>
    </row>
    <row r="793" spans="1:13" ht="15.75">
      <c r="A793" s="83"/>
      <c r="B793" s="29"/>
      <c r="C793" s="41"/>
      <c r="D793" s="41"/>
      <c r="E793" s="37"/>
      <c r="F793" s="84">
        <f>B793</f>
        <v>0</v>
      </c>
      <c r="G793" s="79"/>
      <c r="H793" s="81"/>
      <c r="I793" s="79"/>
      <c r="J793" s="79"/>
      <c r="K793" s="81"/>
      <c r="L793" s="80"/>
      <c r="M793" s="79"/>
    </row>
    <row r="794" spans="1:13" ht="15.75">
      <c r="A794" s="83"/>
      <c r="B794" s="29"/>
      <c r="C794" s="41"/>
      <c r="D794" s="41"/>
      <c r="E794" s="37"/>
      <c r="F794" s="84">
        <f>B794</f>
        <v>0</v>
      </c>
      <c r="G794" s="79"/>
      <c r="H794" s="81"/>
      <c r="I794" s="79"/>
      <c r="J794" s="79"/>
      <c r="K794" s="81"/>
      <c r="L794" s="80"/>
      <c r="M794" s="79"/>
    </row>
    <row r="795" spans="1:13" ht="15.75">
      <c r="A795" s="83"/>
      <c r="B795" s="29"/>
      <c r="C795" s="41"/>
      <c r="D795" s="41"/>
      <c r="E795" s="37"/>
      <c r="F795" s="84">
        <f>B795</f>
        <v>0</v>
      </c>
      <c r="G795" s="79"/>
      <c r="H795" s="81"/>
      <c r="I795" s="79"/>
      <c r="J795" s="79"/>
      <c r="K795" s="81"/>
      <c r="L795" s="80"/>
      <c r="M795" s="79"/>
    </row>
    <row r="796" spans="1:13" ht="15.75">
      <c r="A796" s="83"/>
      <c r="B796" s="29"/>
      <c r="C796" s="41"/>
      <c r="D796" s="41"/>
      <c r="E796" s="37"/>
      <c r="F796" s="84">
        <f>B796</f>
        <v>0</v>
      </c>
      <c r="G796" s="79"/>
      <c r="H796" s="81"/>
      <c r="I796" s="79"/>
      <c r="J796" s="79"/>
      <c r="K796" s="81"/>
      <c r="L796" s="80"/>
      <c r="M796" s="79"/>
    </row>
    <row r="797" spans="1:13" ht="15.75">
      <c r="A797" s="83"/>
      <c r="B797" s="29"/>
      <c r="C797" s="41"/>
      <c r="D797" s="41"/>
      <c r="E797" s="37"/>
      <c r="F797" s="84">
        <f>B797</f>
        <v>0</v>
      </c>
      <c r="G797" s="79"/>
      <c r="H797" s="81"/>
      <c r="I797" s="79"/>
      <c r="J797" s="79"/>
      <c r="K797" s="81"/>
      <c r="L797" s="80"/>
      <c r="M797" s="79"/>
    </row>
    <row r="798" spans="1:13" ht="15.75">
      <c r="A798" s="83"/>
      <c r="B798" s="29"/>
      <c r="C798" s="41"/>
      <c r="D798" s="41"/>
      <c r="E798" s="37"/>
      <c r="F798" s="84">
        <f>B798</f>
        <v>0</v>
      </c>
      <c r="G798" s="79"/>
      <c r="H798" s="81"/>
      <c r="I798" s="79"/>
      <c r="J798" s="79"/>
      <c r="K798" s="81"/>
      <c r="L798" s="80"/>
      <c r="M798" s="79"/>
    </row>
    <row r="799" spans="1:13" ht="15.75">
      <c r="A799" s="83"/>
      <c r="B799" s="29"/>
      <c r="C799" s="41"/>
      <c r="D799" s="41"/>
      <c r="E799" s="37"/>
      <c r="F799" s="84">
        <f>B799</f>
        <v>0</v>
      </c>
      <c r="G799" s="79"/>
      <c r="H799" s="81"/>
      <c r="I799" s="79"/>
      <c r="J799" s="79"/>
      <c r="K799" s="81"/>
      <c r="L799" s="80"/>
      <c r="M799" s="79"/>
    </row>
    <row r="800" spans="1:13" ht="15.75">
      <c r="A800" s="83"/>
      <c r="B800" s="29"/>
      <c r="C800" s="41"/>
      <c r="D800" s="41"/>
      <c r="E800" s="37"/>
      <c r="F800" s="84">
        <f>B800</f>
        <v>0</v>
      </c>
      <c r="G800" s="79"/>
      <c r="H800" s="81"/>
      <c r="I800" s="79"/>
      <c r="J800" s="79"/>
      <c r="K800" s="81"/>
      <c r="L800" s="80"/>
      <c r="M800" s="79"/>
    </row>
    <row r="801" spans="1:13" ht="15.75">
      <c r="A801" s="83"/>
      <c r="B801" s="29"/>
      <c r="C801" s="41"/>
      <c r="D801" s="41"/>
      <c r="E801" s="37"/>
      <c r="F801" s="84">
        <f>B801</f>
        <v>0</v>
      </c>
      <c r="G801" s="79"/>
      <c r="H801" s="81"/>
      <c r="I801" s="79"/>
      <c r="J801" s="79"/>
      <c r="K801" s="81"/>
      <c r="L801" s="80"/>
      <c r="M801" s="79"/>
    </row>
    <row r="802" spans="1:13" ht="15.75">
      <c r="A802" s="83"/>
      <c r="B802" s="29"/>
      <c r="C802" s="41"/>
      <c r="D802" s="41"/>
      <c r="E802" s="37"/>
      <c r="F802" s="84">
        <f>B802</f>
        <v>0</v>
      </c>
      <c r="G802" s="79"/>
      <c r="H802" s="81"/>
      <c r="I802" s="79"/>
      <c r="J802" s="79"/>
      <c r="K802" s="81"/>
      <c r="L802" s="80"/>
      <c r="M802" s="79"/>
    </row>
    <row r="803" spans="1:13" ht="15.75">
      <c r="A803" s="83"/>
      <c r="B803" s="29"/>
      <c r="C803" s="41"/>
      <c r="D803" s="41"/>
      <c r="E803" s="37"/>
      <c r="F803" s="84">
        <f>B803</f>
        <v>0</v>
      </c>
      <c r="G803" s="79"/>
      <c r="H803" s="81"/>
      <c r="I803" s="79"/>
      <c r="J803" s="79"/>
      <c r="K803" s="81"/>
      <c r="L803" s="80"/>
      <c r="M803" s="79"/>
    </row>
    <row r="804" spans="1:13" ht="15.75">
      <c r="A804" s="83"/>
      <c r="B804" s="29"/>
      <c r="C804" s="41"/>
      <c r="D804" s="41"/>
      <c r="E804" s="37"/>
      <c r="F804" s="84">
        <f>B804</f>
        <v>0</v>
      </c>
      <c r="G804" s="79"/>
      <c r="H804" s="81"/>
      <c r="I804" s="79"/>
      <c r="J804" s="79"/>
      <c r="K804" s="81"/>
      <c r="L804" s="80"/>
      <c r="M804" s="79"/>
    </row>
    <row r="805" spans="1:13" ht="15.75">
      <c r="A805" s="83"/>
      <c r="B805" s="29"/>
      <c r="C805" s="41"/>
      <c r="D805" s="41"/>
      <c r="E805" s="37"/>
      <c r="F805" s="84">
        <f>B805</f>
        <v>0</v>
      </c>
      <c r="G805" s="79"/>
      <c r="H805" s="81"/>
      <c r="I805" s="79"/>
      <c r="J805" s="79"/>
      <c r="K805" s="81"/>
      <c r="L805" s="80"/>
      <c r="M805" s="79"/>
    </row>
    <row r="806" spans="1:13" ht="15.75">
      <c r="A806" s="83"/>
      <c r="B806" s="29"/>
      <c r="C806" s="41"/>
      <c r="D806" s="41"/>
      <c r="E806" s="37"/>
      <c r="F806" s="84">
        <f>B806</f>
        <v>0</v>
      </c>
      <c r="G806" s="79"/>
      <c r="H806" s="81"/>
      <c r="I806" s="79"/>
      <c r="J806" s="79"/>
      <c r="K806" s="81"/>
      <c r="L806" s="80"/>
      <c r="M806" s="79"/>
    </row>
    <row r="807" spans="1:13" ht="15.75">
      <c r="A807" s="83"/>
      <c r="B807" s="29"/>
      <c r="C807" s="41"/>
      <c r="D807" s="41"/>
      <c r="E807" s="37"/>
      <c r="F807" s="84">
        <f>B807</f>
        <v>0</v>
      </c>
      <c r="G807" s="79"/>
      <c r="H807" s="81"/>
      <c r="I807" s="79"/>
      <c r="J807" s="79"/>
      <c r="K807" s="81"/>
      <c r="L807" s="80"/>
      <c r="M807" s="79"/>
    </row>
    <row r="808" spans="1:13" ht="15.75">
      <c r="A808" s="83"/>
      <c r="B808" s="29"/>
      <c r="C808" s="41"/>
      <c r="D808" s="41"/>
      <c r="E808" s="37"/>
      <c r="F808" s="84">
        <f>B808</f>
        <v>0</v>
      </c>
      <c r="G808" s="79"/>
      <c r="H808" s="81"/>
      <c r="I808" s="79"/>
      <c r="J808" s="79"/>
      <c r="K808" s="81"/>
      <c r="L808" s="80"/>
      <c r="M808" s="79"/>
    </row>
    <row r="809" spans="1:13" ht="15.75">
      <c r="A809" s="83"/>
      <c r="B809" s="29"/>
      <c r="C809" s="41"/>
      <c r="D809" s="41"/>
      <c r="E809" s="37"/>
      <c r="F809" s="84">
        <f>B809</f>
        <v>0</v>
      </c>
      <c r="G809" s="79"/>
      <c r="H809" s="81"/>
      <c r="I809" s="79"/>
      <c r="J809" s="79"/>
      <c r="K809" s="81"/>
      <c r="L809" s="80"/>
      <c r="M809" s="79"/>
    </row>
    <row r="810" spans="1:13" ht="15.75">
      <c r="A810" s="83"/>
      <c r="B810" s="29"/>
      <c r="C810" s="41"/>
      <c r="D810" s="41"/>
      <c r="E810" s="37"/>
      <c r="F810" s="84">
        <f>B810</f>
        <v>0</v>
      </c>
      <c r="G810" s="79"/>
      <c r="H810" s="81"/>
      <c r="I810" s="79"/>
      <c r="J810" s="79"/>
      <c r="K810" s="81"/>
      <c r="L810" s="80"/>
      <c r="M810" s="79"/>
    </row>
    <row r="811" spans="1:13" ht="15.75">
      <c r="A811" s="83"/>
      <c r="B811" s="29"/>
      <c r="C811" s="41"/>
      <c r="D811" s="41"/>
      <c r="E811" s="37"/>
      <c r="F811" s="84">
        <f>B811</f>
        <v>0</v>
      </c>
      <c r="G811" s="79"/>
      <c r="H811" s="81"/>
      <c r="I811" s="79"/>
      <c r="J811" s="79"/>
      <c r="K811" s="81"/>
      <c r="L811" s="80"/>
      <c r="M811" s="79"/>
    </row>
    <row r="812" spans="1:13" ht="15.75">
      <c r="A812" s="83"/>
      <c r="B812" s="29"/>
      <c r="C812" s="41"/>
      <c r="D812" s="41"/>
      <c r="E812" s="37"/>
      <c r="F812" s="84">
        <f>B812</f>
        <v>0</v>
      </c>
      <c r="G812" s="79"/>
      <c r="H812" s="81"/>
      <c r="I812" s="79"/>
      <c r="J812" s="79"/>
      <c r="K812" s="81"/>
      <c r="L812" s="80"/>
      <c r="M812" s="79"/>
    </row>
    <row r="813" spans="1:13" ht="15.75">
      <c r="A813" s="83"/>
      <c r="B813" s="29"/>
      <c r="C813" s="41"/>
      <c r="D813" s="41"/>
      <c r="E813" s="37"/>
      <c r="F813" s="84">
        <f>B813</f>
        <v>0</v>
      </c>
      <c r="G813" s="79"/>
      <c r="H813" s="81"/>
      <c r="I813" s="79"/>
      <c r="J813" s="79"/>
      <c r="K813" s="81"/>
      <c r="L813" s="80"/>
      <c r="M813" s="79"/>
    </row>
    <row r="814" spans="1:13" ht="15.75">
      <c r="A814" s="83"/>
      <c r="B814" s="29"/>
      <c r="C814" s="41"/>
      <c r="D814" s="41"/>
      <c r="E814" s="37"/>
      <c r="F814" s="84">
        <f>B814</f>
        <v>0</v>
      </c>
      <c r="G814" s="79"/>
      <c r="H814" s="81"/>
      <c r="I814" s="79"/>
      <c r="J814" s="79"/>
      <c r="K814" s="81"/>
      <c r="L814" s="80"/>
      <c r="M814" s="79"/>
    </row>
    <row r="815" spans="1:13" ht="15.75">
      <c r="A815" s="83"/>
      <c r="B815" s="29"/>
      <c r="C815" s="41"/>
      <c r="D815" s="41"/>
      <c r="E815" s="37"/>
      <c r="F815" s="84">
        <f>B815</f>
        <v>0</v>
      </c>
      <c r="G815" s="79"/>
      <c r="H815" s="81"/>
      <c r="I815" s="79"/>
      <c r="J815" s="79"/>
      <c r="K815" s="81"/>
      <c r="L815" s="80"/>
      <c r="M815" s="79"/>
    </row>
    <row r="816" spans="1:13" ht="15.75">
      <c r="A816" s="83"/>
      <c r="B816" s="29"/>
      <c r="C816" s="41"/>
      <c r="D816" s="41"/>
      <c r="E816" s="37"/>
      <c r="F816" s="84">
        <f>B816</f>
        <v>0</v>
      </c>
      <c r="G816" s="79"/>
      <c r="H816" s="81"/>
      <c r="I816" s="79"/>
      <c r="J816" s="79"/>
      <c r="K816" s="81"/>
      <c r="L816" s="80"/>
      <c r="M816" s="79"/>
    </row>
    <row r="817" spans="1:13" ht="15.75">
      <c r="A817" s="83"/>
      <c r="B817" s="29"/>
      <c r="C817" s="41"/>
      <c r="D817" s="41"/>
      <c r="E817" s="37"/>
      <c r="F817" s="84">
        <f>B817</f>
        <v>0</v>
      </c>
      <c r="G817" s="79"/>
      <c r="H817" s="81"/>
      <c r="I817" s="79"/>
      <c r="J817" s="79"/>
      <c r="K817" s="81"/>
      <c r="L817" s="80"/>
      <c r="M817" s="79"/>
    </row>
    <row r="818" spans="1:13" ht="15.75">
      <c r="A818" s="83"/>
      <c r="B818" s="29"/>
      <c r="C818" s="41"/>
      <c r="D818" s="41"/>
      <c r="E818" s="37"/>
      <c r="F818" s="84">
        <f>B818</f>
        <v>0</v>
      </c>
      <c r="G818" s="79"/>
      <c r="H818" s="81"/>
      <c r="I818" s="79"/>
      <c r="J818" s="79"/>
      <c r="K818" s="81"/>
      <c r="L818" s="80"/>
      <c r="M818" s="79"/>
    </row>
    <row r="819" spans="1:13" ht="15.75">
      <c r="A819" s="83"/>
      <c r="B819" s="29"/>
      <c r="C819" s="41"/>
      <c r="D819" s="41"/>
      <c r="E819" s="37"/>
      <c r="F819" s="84">
        <f>B819</f>
        <v>0</v>
      </c>
      <c r="G819" s="79"/>
      <c r="H819" s="81"/>
      <c r="I819" s="79"/>
      <c r="J819" s="79"/>
      <c r="K819" s="81"/>
      <c r="L819" s="80"/>
      <c r="M819" s="79"/>
    </row>
    <row r="820" spans="1:13" ht="15.75">
      <c r="A820" s="83"/>
      <c r="B820" s="29"/>
      <c r="C820" s="41"/>
      <c r="D820" s="41"/>
      <c r="E820" s="37"/>
      <c r="F820" s="84">
        <f>B820</f>
        <v>0</v>
      </c>
      <c r="G820" s="79"/>
      <c r="H820" s="81"/>
      <c r="I820" s="79"/>
      <c r="J820" s="79"/>
      <c r="K820" s="81"/>
      <c r="L820" s="80"/>
      <c r="M820" s="79"/>
    </row>
    <row r="821" spans="1:13" ht="15.75">
      <c r="A821" s="83"/>
      <c r="B821" s="29"/>
      <c r="C821" s="41"/>
      <c r="D821" s="41"/>
      <c r="E821" s="37"/>
      <c r="F821" s="84">
        <f>B821</f>
        <v>0</v>
      </c>
      <c r="G821" s="79"/>
      <c r="H821" s="81"/>
      <c r="I821" s="79"/>
      <c r="J821" s="79"/>
      <c r="K821" s="81"/>
      <c r="L821" s="80"/>
      <c r="M821" s="79"/>
    </row>
    <row r="822" spans="1:13" ht="15.75">
      <c r="A822" s="83"/>
      <c r="B822" s="29"/>
      <c r="C822" s="41"/>
      <c r="D822" s="41"/>
      <c r="E822" s="37"/>
      <c r="F822" s="84">
        <f>B822</f>
        <v>0</v>
      </c>
      <c r="G822" s="79"/>
      <c r="H822" s="81"/>
      <c r="I822" s="79"/>
      <c r="J822" s="79"/>
      <c r="K822" s="81"/>
      <c r="L822" s="80"/>
      <c r="M822" s="79"/>
    </row>
    <row r="823" spans="1:13" ht="15.75">
      <c r="A823" s="83"/>
      <c r="B823" s="29"/>
      <c r="C823" s="41"/>
      <c r="D823" s="41"/>
      <c r="E823" s="37"/>
      <c r="F823" s="84">
        <f>B823</f>
        <v>0</v>
      </c>
      <c r="G823" s="79"/>
      <c r="H823" s="81"/>
      <c r="I823" s="79"/>
      <c r="J823" s="79"/>
      <c r="K823" s="81"/>
      <c r="L823" s="80"/>
      <c r="M823" s="79"/>
    </row>
    <row r="824" spans="1:13" ht="15.75">
      <c r="A824" s="83"/>
      <c r="B824" s="29"/>
      <c r="C824" s="41"/>
      <c r="D824" s="41"/>
      <c r="E824" s="37"/>
      <c r="F824" s="84">
        <f>B824</f>
        <v>0</v>
      </c>
      <c r="G824" s="79"/>
      <c r="H824" s="81"/>
      <c r="I824" s="79"/>
      <c r="J824" s="79"/>
      <c r="K824" s="81"/>
      <c r="L824" s="80"/>
      <c r="M824" s="79"/>
    </row>
    <row r="825" spans="1:13" ht="15.75">
      <c r="A825" s="83"/>
      <c r="B825" s="29"/>
      <c r="C825" s="41"/>
      <c r="D825" s="41"/>
      <c r="E825" s="37"/>
      <c r="F825" s="84">
        <f>B825</f>
        <v>0</v>
      </c>
      <c r="G825" s="79"/>
      <c r="H825" s="81"/>
      <c r="I825" s="79"/>
      <c r="J825" s="79"/>
      <c r="K825" s="81"/>
      <c r="L825" s="80"/>
      <c r="M825" s="79"/>
    </row>
    <row r="826" spans="1:13" ht="15.75">
      <c r="A826" s="83"/>
      <c r="B826" s="29"/>
      <c r="C826" s="41"/>
      <c r="D826" s="41"/>
      <c r="E826" s="37"/>
      <c r="F826" s="84">
        <f>B826</f>
        <v>0</v>
      </c>
      <c r="G826" s="79"/>
      <c r="H826" s="81"/>
      <c r="I826" s="79"/>
      <c r="J826" s="79"/>
      <c r="K826" s="81"/>
      <c r="L826" s="80"/>
      <c r="M826" s="79"/>
    </row>
    <row r="827" spans="1:13" ht="15.75">
      <c r="A827" s="83"/>
      <c r="B827" s="29"/>
      <c r="C827" s="41"/>
      <c r="D827" s="41"/>
      <c r="E827" s="37"/>
      <c r="F827" s="84">
        <f>B827</f>
        <v>0</v>
      </c>
      <c r="G827" s="79"/>
      <c r="H827" s="81"/>
      <c r="I827" s="79"/>
      <c r="J827" s="79"/>
      <c r="K827" s="81"/>
      <c r="L827" s="80"/>
      <c r="M827" s="79"/>
    </row>
    <row r="828" spans="1:13" ht="15.75">
      <c r="A828" s="83"/>
      <c r="B828" s="29"/>
      <c r="C828" s="41"/>
      <c r="D828" s="41"/>
      <c r="E828" s="37"/>
      <c r="F828" s="84">
        <f>B828</f>
        <v>0</v>
      </c>
      <c r="G828" s="79"/>
      <c r="H828" s="81"/>
      <c r="I828" s="79"/>
      <c r="J828" s="79"/>
      <c r="K828" s="81"/>
      <c r="L828" s="80"/>
      <c r="M828" s="79"/>
    </row>
    <row r="829" spans="1:13" ht="15.75">
      <c r="A829" s="83"/>
      <c r="B829" s="29"/>
      <c r="C829" s="41"/>
      <c r="D829" s="41"/>
      <c r="E829" s="37"/>
      <c r="F829" s="84">
        <f>B829</f>
        <v>0</v>
      </c>
      <c r="G829" s="79"/>
      <c r="H829" s="81"/>
      <c r="I829" s="79"/>
      <c r="J829" s="79"/>
      <c r="K829" s="81"/>
      <c r="L829" s="80"/>
      <c r="M829" s="79"/>
    </row>
    <row r="830" spans="1:13" ht="15.75">
      <c r="A830" s="83"/>
      <c r="B830" s="29"/>
      <c r="C830" s="41"/>
      <c r="D830" s="41"/>
      <c r="E830" s="37"/>
      <c r="F830" s="84">
        <f>B830</f>
        <v>0</v>
      </c>
      <c r="G830" s="79"/>
      <c r="H830" s="81"/>
      <c r="I830" s="79"/>
      <c r="J830" s="79"/>
      <c r="K830" s="81"/>
      <c r="L830" s="80"/>
      <c r="M830" s="79"/>
    </row>
    <row r="831" spans="1:13" ht="15.75">
      <c r="A831" s="83"/>
      <c r="B831" s="29"/>
      <c r="C831" s="41"/>
      <c r="D831" s="41"/>
      <c r="E831" s="37"/>
      <c r="F831" s="84">
        <f>B831</f>
        <v>0</v>
      </c>
      <c r="G831" s="79"/>
      <c r="H831" s="81"/>
      <c r="I831" s="79"/>
      <c r="J831" s="79"/>
      <c r="K831" s="81"/>
      <c r="L831" s="80"/>
      <c r="M831" s="79"/>
    </row>
    <row r="832" spans="1:13" ht="15.75">
      <c r="A832" s="83"/>
      <c r="B832" s="29"/>
      <c r="C832" s="41"/>
      <c r="D832" s="41"/>
      <c r="E832" s="37"/>
      <c r="F832" s="84">
        <f>B832</f>
        <v>0</v>
      </c>
      <c r="G832" s="79"/>
      <c r="H832" s="81"/>
      <c r="I832" s="79"/>
      <c r="J832" s="79"/>
      <c r="K832" s="81"/>
      <c r="L832" s="80"/>
      <c r="M832" s="79"/>
    </row>
    <row r="833" spans="1:13" ht="15.75">
      <c r="A833" s="83"/>
      <c r="B833" s="29"/>
      <c r="C833" s="41"/>
      <c r="D833" s="41"/>
      <c r="E833" s="37"/>
      <c r="F833" s="84">
        <f>B833</f>
        <v>0</v>
      </c>
      <c r="G833" s="79"/>
      <c r="H833" s="81"/>
      <c r="I833" s="79"/>
      <c r="J833" s="79"/>
      <c r="K833" s="81"/>
      <c r="L833" s="80"/>
      <c r="M833" s="79"/>
    </row>
    <row r="834" spans="1:13" ht="15.75">
      <c r="A834" s="83"/>
      <c r="B834" s="29"/>
      <c r="C834" s="41"/>
      <c r="D834" s="41"/>
      <c r="E834" s="37"/>
      <c r="F834" s="84">
        <f>B834</f>
        <v>0</v>
      </c>
      <c r="G834" s="79"/>
      <c r="H834" s="81"/>
      <c r="I834" s="79"/>
      <c r="J834" s="79"/>
      <c r="K834" s="81"/>
      <c r="L834" s="80"/>
      <c r="M834" s="79"/>
    </row>
    <row r="835" spans="1:13" ht="15.75">
      <c r="A835" s="83"/>
      <c r="B835" s="29"/>
      <c r="C835" s="41"/>
      <c r="D835" s="41"/>
      <c r="E835" s="37"/>
      <c r="F835" s="84">
        <f>B835</f>
        <v>0</v>
      </c>
      <c r="G835" s="79"/>
      <c r="H835" s="81"/>
      <c r="I835" s="79"/>
      <c r="J835" s="79"/>
      <c r="K835" s="81"/>
      <c r="L835" s="80"/>
      <c r="M835" s="79"/>
    </row>
    <row r="836" spans="1:13" ht="15.75">
      <c r="A836" s="83"/>
      <c r="B836" s="29"/>
      <c r="C836" s="41"/>
      <c r="D836" s="41"/>
      <c r="E836" s="37"/>
      <c r="F836" s="84">
        <f>B836</f>
        <v>0</v>
      </c>
      <c r="G836" s="79"/>
      <c r="H836" s="81"/>
      <c r="I836" s="79"/>
      <c r="J836" s="79"/>
      <c r="K836" s="81"/>
      <c r="L836" s="80"/>
      <c r="M836" s="79"/>
    </row>
    <row r="837" spans="1:13" ht="15.75">
      <c r="A837" s="83"/>
      <c r="B837" s="29"/>
      <c r="C837" s="41"/>
      <c r="D837" s="41"/>
      <c r="E837" s="37"/>
      <c r="F837" s="84">
        <f>B837</f>
        <v>0</v>
      </c>
      <c r="G837" s="79"/>
      <c r="H837" s="81"/>
      <c r="I837" s="79"/>
      <c r="J837" s="79"/>
      <c r="K837" s="81"/>
      <c r="L837" s="80"/>
      <c r="M837" s="79"/>
    </row>
    <row r="838" spans="1:13" ht="15.75">
      <c r="A838" s="83"/>
      <c r="B838" s="29"/>
      <c r="C838" s="41"/>
      <c r="D838" s="41"/>
      <c r="E838" s="37"/>
      <c r="F838" s="84">
        <f>B838</f>
        <v>0</v>
      </c>
      <c r="G838" s="79"/>
      <c r="H838" s="81"/>
      <c r="I838" s="79"/>
      <c r="J838" s="79"/>
      <c r="K838" s="81"/>
      <c r="L838" s="80"/>
      <c r="M838" s="79"/>
    </row>
    <row r="839" spans="1:13" ht="15.75">
      <c r="A839" s="83"/>
      <c r="B839" s="29"/>
      <c r="C839" s="41"/>
      <c r="D839" s="41"/>
      <c r="E839" s="37"/>
      <c r="F839" s="84">
        <f>B839</f>
        <v>0</v>
      </c>
      <c r="G839" s="79"/>
      <c r="H839" s="81"/>
      <c r="I839" s="79"/>
      <c r="J839" s="79"/>
      <c r="K839" s="81"/>
      <c r="L839" s="80"/>
      <c r="M839" s="79"/>
    </row>
    <row r="840" spans="1:13" ht="15.75">
      <c r="A840" s="83"/>
      <c r="B840" s="29"/>
      <c r="C840" s="41"/>
      <c r="D840" s="41"/>
      <c r="E840" s="37"/>
      <c r="F840" s="84">
        <f>B840</f>
        <v>0</v>
      </c>
      <c r="G840" s="79"/>
      <c r="H840" s="81"/>
      <c r="I840" s="79"/>
      <c r="J840" s="79"/>
      <c r="K840" s="81"/>
      <c r="L840" s="80"/>
      <c r="M840" s="79"/>
    </row>
    <row r="841" spans="1:13" ht="15.75">
      <c r="A841" s="83"/>
      <c r="B841" s="29"/>
      <c r="C841" s="41"/>
      <c r="D841" s="41"/>
      <c r="E841" s="37"/>
      <c r="F841" s="84">
        <f>B841</f>
        <v>0</v>
      </c>
      <c r="G841" s="79"/>
      <c r="H841" s="81"/>
      <c r="I841" s="79"/>
      <c r="J841" s="79"/>
      <c r="K841" s="81"/>
      <c r="L841" s="80"/>
      <c r="M841" s="79"/>
    </row>
    <row r="842" spans="1:13" ht="15.75">
      <c r="A842" s="83"/>
      <c r="B842" s="29"/>
      <c r="C842" s="41"/>
      <c r="D842" s="41"/>
      <c r="E842" s="37"/>
      <c r="F842" s="84">
        <f>B842</f>
        <v>0</v>
      </c>
      <c r="G842" s="79"/>
      <c r="H842" s="81"/>
      <c r="I842" s="79"/>
      <c r="J842" s="79"/>
      <c r="K842" s="81"/>
      <c r="L842" s="80"/>
      <c r="M842" s="79"/>
    </row>
    <row r="843" spans="1:13" ht="15.75">
      <c r="A843" s="83"/>
      <c r="B843" s="29"/>
      <c r="C843" s="41"/>
      <c r="D843" s="41"/>
      <c r="E843" s="37"/>
      <c r="F843" s="84">
        <f>B843</f>
        <v>0</v>
      </c>
      <c r="G843" s="79"/>
      <c r="H843" s="81"/>
      <c r="I843" s="79"/>
      <c r="J843" s="79"/>
      <c r="K843" s="81"/>
      <c r="L843" s="80"/>
      <c r="M843" s="79"/>
    </row>
    <row r="844" spans="1:13" ht="15.75">
      <c r="A844" s="83"/>
      <c r="B844" s="29"/>
      <c r="C844" s="41"/>
      <c r="D844" s="41"/>
      <c r="E844" s="37"/>
      <c r="F844" s="84">
        <f>B844</f>
        <v>0</v>
      </c>
      <c r="G844" s="79"/>
      <c r="H844" s="81"/>
      <c r="I844" s="79"/>
      <c r="J844" s="79"/>
      <c r="K844" s="81"/>
      <c r="L844" s="80"/>
      <c r="M844" s="79"/>
    </row>
    <row r="845" spans="1:13" ht="15.75">
      <c r="A845" s="83"/>
      <c r="B845" s="29"/>
      <c r="C845" s="41"/>
      <c r="D845" s="41"/>
      <c r="E845" s="79"/>
      <c r="F845" s="84">
        <f>B845</f>
        <v>0</v>
      </c>
      <c r="G845" s="79"/>
      <c r="H845" s="81"/>
      <c r="I845" s="79"/>
      <c r="J845" s="79"/>
      <c r="K845" s="81"/>
      <c r="L845" s="80"/>
      <c r="M845" s="79"/>
    </row>
    <row r="846" spans="1:13" ht="15.75">
      <c r="A846" s="83"/>
      <c r="B846" s="29"/>
      <c r="C846" s="41"/>
      <c r="D846" s="41"/>
      <c r="E846" s="79"/>
      <c r="F846" s="84">
        <f>B846</f>
        <v>0</v>
      </c>
      <c r="G846" s="79"/>
      <c r="H846" s="81"/>
      <c r="I846" s="79"/>
      <c r="J846" s="79"/>
      <c r="K846" s="81"/>
      <c r="L846" s="80"/>
      <c r="M846" s="79"/>
    </row>
    <row r="847" spans="1:13" ht="15.75">
      <c r="A847" s="83"/>
      <c r="B847" s="29"/>
      <c r="C847" s="41"/>
      <c r="D847" s="41"/>
      <c r="E847" s="79"/>
      <c r="F847" s="84">
        <f>B847</f>
        <v>0</v>
      </c>
      <c r="G847" s="79"/>
      <c r="H847" s="81"/>
      <c r="I847" s="79"/>
      <c r="J847" s="79"/>
      <c r="K847" s="81"/>
      <c r="L847" s="80"/>
      <c r="M847" s="79"/>
    </row>
    <row r="848" spans="1:13" ht="15.75">
      <c r="A848" s="83"/>
      <c r="B848" s="29"/>
      <c r="C848" s="41"/>
      <c r="D848" s="41"/>
      <c r="E848" s="79"/>
      <c r="F848" s="84">
        <f>B848</f>
        <v>0</v>
      </c>
      <c r="G848" s="79"/>
      <c r="H848" s="81"/>
      <c r="I848" s="79"/>
      <c r="J848" s="79"/>
      <c r="K848" s="81"/>
      <c r="L848" s="80"/>
      <c r="M848" s="79"/>
    </row>
    <row r="849" spans="1:13" ht="15.75">
      <c r="A849" s="83"/>
      <c r="B849" s="29"/>
      <c r="C849" s="41"/>
      <c r="D849" s="41"/>
      <c r="E849" s="79"/>
      <c r="F849" s="84">
        <f>B849</f>
        <v>0</v>
      </c>
      <c r="G849" s="79"/>
      <c r="H849" s="81"/>
      <c r="I849" s="79"/>
      <c r="J849" s="79"/>
      <c r="K849" s="81"/>
      <c r="L849" s="80"/>
      <c r="M849" s="79"/>
    </row>
    <row r="850" spans="1:13" ht="15.75">
      <c r="A850" s="83"/>
      <c r="B850" s="29"/>
      <c r="C850" s="41"/>
      <c r="D850" s="41"/>
      <c r="E850" s="79"/>
      <c r="F850" s="84">
        <f>B850</f>
        <v>0</v>
      </c>
      <c r="G850" s="79"/>
      <c r="H850" s="81"/>
      <c r="I850" s="79"/>
      <c r="J850" s="79"/>
      <c r="K850" s="81"/>
      <c r="L850" s="80"/>
      <c r="M850" s="79"/>
    </row>
    <row r="851" spans="1:13" ht="15.75">
      <c r="A851" s="83"/>
      <c r="B851" s="29"/>
      <c r="C851" s="41"/>
      <c r="D851" s="41"/>
      <c r="E851" s="79"/>
      <c r="F851" s="84">
        <f>B851</f>
        <v>0</v>
      </c>
      <c r="G851" s="79"/>
      <c r="H851" s="81"/>
      <c r="I851" s="79"/>
      <c r="J851" s="79"/>
      <c r="K851" s="81"/>
      <c r="L851" s="80"/>
      <c r="M851" s="79"/>
    </row>
    <row r="852" spans="1:13" ht="15.75">
      <c r="A852" s="83"/>
      <c r="B852" s="29"/>
      <c r="C852" s="41"/>
      <c r="D852" s="41"/>
      <c r="E852" s="79"/>
      <c r="F852" s="82">
        <f>B852</f>
        <v>0</v>
      </c>
      <c r="G852" s="79"/>
      <c r="H852" s="81"/>
      <c r="I852" s="79"/>
      <c r="J852" s="79"/>
      <c r="K852" s="81"/>
      <c r="L852" s="80"/>
      <c r="M852" s="79"/>
    </row>
    <row r="853" spans="1:13" ht="15.75">
      <c r="A853" s="83"/>
      <c r="B853" s="29"/>
      <c r="C853" s="41"/>
      <c r="D853" s="41"/>
      <c r="E853" s="79"/>
      <c r="F853" s="82">
        <f>B853</f>
        <v>0</v>
      </c>
      <c r="G853" s="79"/>
      <c r="H853" s="81"/>
      <c r="I853" s="79"/>
      <c r="J853" s="79"/>
      <c r="K853" s="81"/>
      <c r="L853" s="80"/>
      <c r="M853" s="79"/>
    </row>
    <row r="854" spans="1:13" ht="15.75">
      <c r="A854" s="83"/>
      <c r="B854" s="29"/>
      <c r="C854" s="41"/>
      <c r="D854" s="41"/>
      <c r="E854" s="79"/>
      <c r="F854" s="82">
        <f>B854</f>
        <v>0</v>
      </c>
      <c r="G854" s="79"/>
      <c r="H854" s="81"/>
      <c r="I854" s="79"/>
      <c r="J854" s="79"/>
      <c r="K854" s="81"/>
      <c r="L854" s="80"/>
      <c r="M854" s="79"/>
    </row>
    <row r="855" spans="1:13" ht="15.75">
      <c r="A855" s="83"/>
      <c r="B855" s="29"/>
      <c r="C855" s="41"/>
      <c r="D855" s="41"/>
      <c r="E855" s="79"/>
      <c r="F855" s="82">
        <f>B855</f>
        <v>0</v>
      </c>
      <c r="G855" s="79"/>
      <c r="H855" s="81"/>
      <c r="I855" s="79"/>
      <c r="J855" s="79"/>
      <c r="K855" s="81"/>
      <c r="L855" s="80"/>
      <c r="M855" s="79"/>
    </row>
    <row r="856" spans="1:13" ht="15.75">
      <c r="A856" s="83"/>
      <c r="B856" s="29"/>
      <c r="C856" s="41"/>
      <c r="D856" s="41"/>
      <c r="E856" s="79"/>
      <c r="F856" s="82">
        <f>B856</f>
        <v>0</v>
      </c>
      <c r="G856" s="79"/>
      <c r="H856" s="81"/>
      <c r="I856" s="79"/>
      <c r="J856" s="79"/>
      <c r="K856" s="81"/>
      <c r="L856" s="80"/>
      <c r="M856" s="79"/>
    </row>
    <row r="857" spans="1:13" ht="15.75">
      <c r="A857" s="83"/>
      <c r="B857" s="29"/>
      <c r="C857" s="41"/>
      <c r="D857" s="41"/>
      <c r="E857" s="79"/>
      <c r="F857" s="82">
        <f>B857</f>
        <v>0</v>
      </c>
      <c r="G857" s="79"/>
      <c r="H857" s="81"/>
      <c r="I857" s="79"/>
      <c r="J857" s="79"/>
      <c r="K857" s="81"/>
      <c r="L857" s="80"/>
      <c r="M857" s="79"/>
    </row>
    <row r="858" spans="1:13" ht="15.75">
      <c r="A858" s="83"/>
      <c r="B858" s="29"/>
      <c r="C858" s="41"/>
      <c r="D858" s="41"/>
      <c r="E858" s="79"/>
      <c r="F858" s="82">
        <f>B858</f>
        <v>0</v>
      </c>
      <c r="G858" s="79"/>
      <c r="H858" s="81"/>
      <c r="I858" s="79"/>
      <c r="J858" s="79"/>
      <c r="K858" s="81"/>
      <c r="L858" s="80"/>
      <c r="M858" s="79"/>
    </row>
    <row r="859" spans="1:13" ht="15.75">
      <c r="A859" s="83"/>
      <c r="B859" s="29"/>
      <c r="C859" s="41"/>
      <c r="D859" s="41"/>
      <c r="E859" s="79"/>
      <c r="F859" s="82">
        <f>B859</f>
        <v>0</v>
      </c>
      <c r="G859" s="79"/>
      <c r="H859" s="81"/>
      <c r="I859" s="79"/>
      <c r="J859" s="79"/>
      <c r="K859" s="81"/>
      <c r="L859" s="80"/>
      <c r="M859" s="79"/>
    </row>
    <row r="860" spans="1:13" ht="15.75">
      <c r="A860" s="83"/>
      <c r="B860" s="29"/>
      <c r="C860" s="41"/>
      <c r="D860" s="41"/>
      <c r="E860" s="79"/>
      <c r="F860" s="82">
        <f>B860</f>
        <v>0</v>
      </c>
      <c r="G860" s="79"/>
      <c r="H860" s="81"/>
      <c r="I860" s="79"/>
      <c r="J860" s="79"/>
      <c r="K860" s="81"/>
      <c r="L860" s="80"/>
      <c r="M860" s="79"/>
    </row>
    <row r="861" spans="1:13" ht="15.75">
      <c r="A861" s="83"/>
      <c r="B861" s="29"/>
      <c r="C861" s="41"/>
      <c r="D861" s="41"/>
      <c r="E861" s="79"/>
      <c r="F861" s="82">
        <f>B861</f>
        <v>0</v>
      </c>
      <c r="G861" s="79"/>
      <c r="H861" s="81"/>
      <c r="I861" s="79"/>
      <c r="J861" s="79"/>
      <c r="K861" s="81"/>
      <c r="L861" s="80"/>
      <c r="M861" s="79"/>
    </row>
    <row r="862" spans="1:13" ht="15.75">
      <c r="A862" s="83"/>
      <c r="B862" s="29"/>
      <c r="C862" s="41"/>
      <c r="D862" s="41"/>
      <c r="E862" s="79"/>
      <c r="F862" s="82"/>
      <c r="G862" s="79"/>
      <c r="H862" s="81"/>
      <c r="I862" s="79"/>
      <c r="J862" s="79"/>
      <c r="K862" s="81"/>
      <c r="L862" s="80"/>
      <c r="M862" s="79"/>
    </row>
    <row r="863" spans="1:13" ht="15.75">
      <c r="A863" s="83"/>
      <c r="B863" s="29"/>
      <c r="C863" s="41"/>
      <c r="D863" s="41"/>
      <c r="E863" s="79"/>
      <c r="F863" s="82"/>
      <c r="G863" s="79"/>
      <c r="H863" s="81"/>
      <c r="I863" s="79"/>
      <c r="J863" s="79"/>
      <c r="K863" s="81"/>
      <c r="L863" s="80"/>
      <c r="M863" s="79"/>
    </row>
    <row r="864" spans="1:13" ht="15.75">
      <c r="A864" s="83"/>
      <c r="B864" s="29"/>
      <c r="C864" s="41"/>
      <c r="D864" s="41"/>
      <c r="E864" s="79"/>
      <c r="F864" s="82"/>
      <c r="G864" s="79"/>
      <c r="H864" s="81"/>
      <c r="I864" s="79"/>
      <c r="J864" s="79"/>
      <c r="K864" s="81"/>
      <c r="L864" s="80"/>
      <c r="M864" s="79"/>
    </row>
    <row r="865" spans="1:13" ht="15.75">
      <c r="A865" s="83"/>
      <c r="B865" s="29"/>
      <c r="C865" s="41"/>
      <c r="D865" s="41"/>
      <c r="E865" s="79"/>
      <c r="F865" s="82"/>
      <c r="G865" s="79"/>
      <c r="H865" s="81"/>
      <c r="I865" s="79"/>
      <c r="J865" s="79"/>
      <c r="K865" s="81"/>
      <c r="L865" s="80"/>
      <c r="M865" s="79"/>
    </row>
    <row r="866" spans="1:13" ht="15.75">
      <c r="A866" s="83"/>
      <c r="B866" s="29"/>
      <c r="C866" s="41"/>
      <c r="D866" s="41"/>
      <c r="E866" s="79"/>
      <c r="F866" s="82"/>
      <c r="G866" s="79"/>
      <c r="H866" s="81"/>
      <c r="I866" s="79"/>
      <c r="J866" s="79"/>
      <c r="K866" s="81"/>
      <c r="L866" s="80"/>
      <c r="M866" s="79"/>
    </row>
    <row r="867" spans="1:13" ht="15.75">
      <c r="A867" s="83"/>
      <c r="B867" s="29"/>
      <c r="C867" s="41"/>
      <c r="D867" s="41"/>
      <c r="E867" s="79"/>
      <c r="F867" s="82"/>
      <c r="G867" s="79"/>
      <c r="H867" s="81"/>
      <c r="I867" s="79"/>
      <c r="J867" s="79"/>
      <c r="K867" s="81"/>
      <c r="L867" s="80"/>
      <c r="M867" s="79"/>
    </row>
    <row r="868" spans="1:13" ht="15.75">
      <c r="A868" s="83"/>
      <c r="B868" s="29"/>
      <c r="C868" s="41"/>
      <c r="D868" s="41"/>
      <c r="E868" s="79"/>
      <c r="F868" s="82"/>
      <c r="G868" s="79"/>
      <c r="H868" s="81"/>
      <c r="I868" s="79"/>
      <c r="J868" s="79"/>
      <c r="K868" s="81"/>
      <c r="L868" s="80"/>
      <c r="M868" s="79"/>
    </row>
    <row r="869" spans="1:13" ht="15.75">
      <c r="A869" s="83"/>
      <c r="B869" s="29"/>
      <c r="C869" s="41"/>
      <c r="D869" s="41"/>
      <c r="E869" s="79"/>
      <c r="F869" s="82"/>
      <c r="G869" s="79"/>
      <c r="H869" s="81"/>
      <c r="I869" s="79"/>
      <c r="J869" s="79"/>
      <c r="K869" s="81"/>
      <c r="L869" s="80"/>
      <c r="M869" s="79"/>
    </row>
    <row r="870" spans="1:13" ht="15.75">
      <c r="A870" s="83"/>
      <c r="B870" s="29"/>
      <c r="C870" s="41"/>
      <c r="D870" s="41"/>
      <c r="E870" s="79"/>
      <c r="F870" s="82"/>
      <c r="G870" s="79"/>
      <c r="H870" s="81"/>
      <c r="I870" s="79"/>
      <c r="J870" s="79"/>
      <c r="K870" s="81"/>
      <c r="L870" s="80"/>
      <c r="M870" s="79"/>
    </row>
    <row r="871" spans="1:13" ht="15.75">
      <c r="A871" s="83"/>
      <c r="B871" s="29"/>
      <c r="C871" s="41"/>
      <c r="D871" s="41"/>
      <c r="E871" s="79"/>
      <c r="F871" s="82"/>
      <c r="G871" s="79"/>
      <c r="H871" s="81"/>
      <c r="I871" s="79"/>
      <c r="J871" s="79"/>
      <c r="K871" s="81"/>
      <c r="L871" s="80"/>
      <c r="M871" s="79"/>
    </row>
    <row r="872" spans="1:13" ht="15.75">
      <c r="A872" s="83"/>
      <c r="B872" s="29"/>
      <c r="C872" s="41"/>
      <c r="D872" s="41"/>
      <c r="E872" s="79"/>
      <c r="F872" s="82"/>
      <c r="G872" s="79"/>
      <c r="H872" s="81"/>
      <c r="I872" s="79"/>
      <c r="J872" s="79"/>
      <c r="K872" s="81"/>
      <c r="L872" s="80"/>
      <c r="M872" s="79"/>
    </row>
    <row r="873" spans="1:13" ht="15.75">
      <c r="A873" s="83"/>
      <c r="B873" s="29"/>
      <c r="C873" s="41"/>
      <c r="D873" s="41"/>
      <c r="E873" s="79"/>
      <c r="F873" s="82"/>
      <c r="G873" s="79"/>
      <c r="H873" s="81"/>
      <c r="I873" s="79"/>
      <c r="J873" s="79"/>
      <c r="K873" s="81"/>
      <c r="L873" s="80"/>
      <c r="M873" s="79"/>
    </row>
    <row r="874" spans="1:13" ht="15.75">
      <c r="A874" s="83"/>
      <c r="B874" s="29"/>
      <c r="C874" s="41"/>
      <c r="D874" s="41"/>
      <c r="E874" s="79"/>
      <c r="F874" s="82"/>
      <c r="G874" s="79"/>
      <c r="H874" s="81"/>
      <c r="I874" s="79"/>
      <c r="J874" s="79"/>
      <c r="K874" s="81"/>
      <c r="L874" s="80"/>
      <c r="M874" s="79"/>
    </row>
    <row r="875" spans="1:13" ht="15.75">
      <c r="A875" s="83"/>
      <c r="B875" s="29"/>
      <c r="C875" s="41"/>
      <c r="D875" s="41"/>
      <c r="E875" s="79"/>
      <c r="F875" s="82"/>
      <c r="G875" s="79"/>
      <c r="H875" s="81"/>
      <c r="I875" s="79"/>
      <c r="J875" s="79"/>
      <c r="K875" s="81"/>
      <c r="L875" s="80"/>
      <c r="M875" s="79"/>
    </row>
    <row r="876" spans="1:13" ht="15.75">
      <c r="A876" s="83"/>
      <c r="B876" s="29"/>
      <c r="C876" s="41"/>
      <c r="D876" s="41"/>
      <c r="E876" s="79"/>
      <c r="F876" s="82"/>
      <c r="G876" s="79"/>
      <c r="H876" s="81"/>
      <c r="I876" s="79"/>
      <c r="J876" s="79"/>
      <c r="K876" s="81"/>
      <c r="L876" s="80"/>
      <c r="M876" s="79"/>
    </row>
    <row r="877" spans="1:13" ht="15.75">
      <c r="A877" s="83"/>
      <c r="B877" s="29"/>
      <c r="C877" s="41"/>
      <c r="D877" s="41"/>
      <c r="E877" s="79"/>
      <c r="F877" s="82"/>
      <c r="G877" s="79"/>
      <c r="H877" s="81"/>
      <c r="I877" s="79"/>
      <c r="J877" s="79"/>
      <c r="K877" s="81"/>
      <c r="L877" s="80"/>
      <c r="M877" s="79"/>
    </row>
    <row r="878" spans="1:13" ht="15.75">
      <c r="A878" s="83"/>
      <c r="B878" s="29"/>
      <c r="C878" s="41"/>
      <c r="D878" s="41"/>
      <c r="E878" s="79"/>
      <c r="F878" s="82"/>
      <c r="G878" s="79"/>
      <c r="H878" s="81"/>
      <c r="I878" s="79"/>
      <c r="J878" s="79"/>
      <c r="K878" s="81"/>
      <c r="L878" s="80"/>
      <c r="M878" s="79"/>
    </row>
    <row r="879" spans="1:13" ht="15.75">
      <c r="A879" s="83"/>
      <c r="B879" s="29"/>
      <c r="C879" s="41"/>
      <c r="D879" s="41"/>
      <c r="E879" s="79"/>
      <c r="F879" s="82"/>
      <c r="G879" s="79"/>
      <c r="H879" s="81"/>
      <c r="I879" s="79"/>
      <c r="J879" s="79"/>
      <c r="K879" s="81"/>
      <c r="L879" s="80"/>
      <c r="M879" s="79"/>
    </row>
    <row r="880" spans="1:13" ht="15.75">
      <c r="A880" s="83"/>
      <c r="B880" s="29"/>
      <c r="C880" s="41"/>
      <c r="D880" s="41"/>
      <c r="E880" s="79"/>
      <c r="F880" s="82"/>
      <c r="G880" s="79"/>
      <c r="H880" s="81"/>
      <c r="I880" s="79"/>
      <c r="J880" s="79"/>
      <c r="K880" s="81"/>
      <c r="L880" s="80"/>
      <c r="M880" s="79"/>
    </row>
    <row r="881" spans="1:13" ht="15.75">
      <c r="A881" s="83"/>
      <c r="B881" s="29"/>
      <c r="C881" s="41"/>
      <c r="D881" s="41"/>
      <c r="E881" s="79"/>
      <c r="F881" s="82"/>
      <c r="G881" s="79"/>
      <c r="H881" s="81"/>
      <c r="I881" s="79"/>
      <c r="J881" s="79"/>
      <c r="K881" s="81"/>
      <c r="L881" s="80"/>
      <c r="M881" s="79"/>
    </row>
    <row r="882" spans="1:13" ht="15.75">
      <c r="A882" s="83"/>
      <c r="B882" s="29"/>
      <c r="C882" s="41"/>
      <c r="D882" s="41"/>
      <c r="E882" s="79"/>
      <c r="F882" s="82"/>
      <c r="G882" s="79"/>
      <c r="H882" s="81"/>
      <c r="I882" s="79"/>
      <c r="J882" s="79"/>
      <c r="K882" s="81"/>
      <c r="L882" s="80"/>
      <c r="M882" s="79"/>
    </row>
    <row r="883" spans="1:13" ht="15.75">
      <c r="A883" s="83"/>
      <c r="B883" s="29"/>
      <c r="C883" s="41"/>
      <c r="D883" s="41"/>
      <c r="E883" s="79"/>
      <c r="F883" s="82"/>
      <c r="G883" s="79"/>
      <c r="H883" s="81"/>
      <c r="I883" s="79"/>
      <c r="J883" s="79"/>
      <c r="K883" s="81"/>
      <c r="L883" s="80"/>
      <c r="M883" s="79"/>
    </row>
    <row r="884" spans="1:13" ht="15.75">
      <c r="A884" s="83"/>
      <c r="B884" s="29"/>
      <c r="C884" s="41"/>
      <c r="D884" s="41"/>
      <c r="E884" s="79"/>
      <c r="F884" s="82"/>
      <c r="G884" s="79"/>
      <c r="H884" s="81"/>
      <c r="I884" s="79"/>
      <c r="J884" s="79"/>
      <c r="K884" s="81"/>
      <c r="L884" s="80"/>
      <c r="M884" s="79"/>
    </row>
    <row r="885" spans="1:13" ht="15.75">
      <c r="A885" s="83"/>
      <c r="B885" s="29"/>
      <c r="C885" s="41"/>
      <c r="D885" s="41"/>
      <c r="E885" s="79"/>
      <c r="F885" s="82"/>
      <c r="G885" s="79"/>
      <c r="H885" s="81"/>
      <c r="I885" s="79"/>
      <c r="J885" s="79"/>
      <c r="K885" s="81"/>
      <c r="L885" s="80"/>
      <c r="M885" s="79"/>
    </row>
    <row r="886" spans="1:13" ht="15.75">
      <c r="A886" s="83"/>
      <c r="B886" s="29"/>
      <c r="C886" s="41"/>
      <c r="D886" s="41"/>
      <c r="E886" s="79"/>
      <c r="F886" s="82"/>
      <c r="G886" s="79"/>
      <c r="H886" s="81"/>
      <c r="I886" s="79"/>
      <c r="J886" s="79"/>
      <c r="K886" s="81"/>
      <c r="L886" s="80"/>
      <c r="M886" s="79"/>
    </row>
    <row r="887" spans="1:13" ht="15.75">
      <c r="A887" s="83"/>
      <c r="B887" s="29"/>
      <c r="C887" s="41"/>
      <c r="D887" s="41"/>
      <c r="E887" s="79"/>
      <c r="F887" s="82"/>
      <c r="G887" s="79"/>
      <c r="H887" s="81"/>
      <c r="I887" s="79"/>
      <c r="J887" s="79"/>
      <c r="K887" s="81"/>
      <c r="L887" s="80"/>
      <c r="M887" s="79"/>
    </row>
    <row r="888" spans="1:13" ht="15.75">
      <c r="A888" s="83"/>
      <c r="B888" s="29"/>
      <c r="C888" s="41"/>
      <c r="D888" s="41"/>
      <c r="E888" s="79"/>
      <c r="F888" s="82"/>
      <c r="G888" s="79"/>
      <c r="H888" s="81"/>
      <c r="I888" s="79"/>
      <c r="J888" s="79"/>
      <c r="K888" s="81"/>
      <c r="L888" s="80"/>
      <c r="M888" s="79"/>
    </row>
    <row r="889" spans="1:13" ht="15.75">
      <c r="A889" s="83"/>
      <c r="B889" s="29"/>
      <c r="C889" s="41"/>
      <c r="D889" s="41"/>
      <c r="E889" s="79"/>
      <c r="F889" s="82"/>
      <c r="G889" s="79"/>
      <c r="H889" s="81"/>
      <c r="I889" s="79"/>
      <c r="J889" s="79"/>
      <c r="K889" s="81"/>
      <c r="L889" s="80"/>
      <c r="M889" s="79"/>
    </row>
    <row r="890" spans="1:13" ht="15.75">
      <c r="A890" s="83"/>
      <c r="B890" s="29"/>
      <c r="C890" s="41"/>
      <c r="D890" s="41"/>
      <c r="E890" s="79"/>
      <c r="F890" s="82"/>
      <c r="G890" s="79"/>
      <c r="H890" s="81"/>
      <c r="I890" s="79"/>
      <c r="J890" s="79"/>
      <c r="K890" s="81"/>
      <c r="L890" s="80"/>
      <c r="M890" s="79"/>
    </row>
    <row r="891" spans="1:13" ht="15.75">
      <c r="A891" s="83"/>
      <c r="B891" s="29"/>
      <c r="C891" s="41"/>
      <c r="D891" s="41"/>
      <c r="E891" s="79"/>
      <c r="F891" s="82"/>
      <c r="G891" s="79"/>
      <c r="H891" s="81"/>
      <c r="I891" s="79"/>
      <c r="J891" s="79"/>
      <c r="K891" s="81"/>
      <c r="L891" s="80"/>
      <c r="M891" s="79"/>
    </row>
    <row r="892" spans="1:13" ht="15.75">
      <c r="A892" s="83"/>
      <c r="B892" s="29"/>
      <c r="C892" s="41"/>
      <c r="D892" s="41"/>
      <c r="E892" s="79"/>
      <c r="F892" s="82"/>
      <c r="G892" s="79"/>
      <c r="H892" s="81"/>
      <c r="I892" s="79"/>
      <c r="J892" s="79"/>
      <c r="K892" s="81"/>
      <c r="L892" s="80"/>
      <c r="M892" s="79"/>
    </row>
    <row r="893" spans="1:13" ht="15.75">
      <c r="A893" s="83"/>
      <c r="B893" s="29"/>
      <c r="C893" s="41"/>
      <c r="D893" s="41"/>
      <c r="E893" s="79"/>
      <c r="F893" s="82"/>
      <c r="G893" s="79"/>
      <c r="H893" s="81"/>
      <c r="I893" s="79"/>
      <c r="J893" s="79"/>
      <c r="K893" s="81"/>
      <c r="L893" s="80"/>
      <c r="M893" s="79"/>
    </row>
    <row r="894" spans="1:13" ht="15.75">
      <c r="A894" s="83"/>
      <c r="B894" s="29"/>
      <c r="C894" s="41"/>
      <c r="D894" s="41"/>
      <c r="E894" s="79"/>
      <c r="F894" s="82"/>
      <c r="G894" s="79"/>
      <c r="H894" s="81"/>
      <c r="I894" s="79"/>
      <c r="J894" s="79"/>
      <c r="K894" s="81"/>
      <c r="L894" s="80"/>
      <c r="M894" s="79"/>
    </row>
    <row r="895" spans="1:13" ht="15.75">
      <c r="A895" s="83"/>
      <c r="B895" s="29"/>
      <c r="C895" s="41"/>
      <c r="D895" s="41"/>
      <c r="E895" s="79"/>
      <c r="F895" s="82"/>
      <c r="G895" s="79"/>
      <c r="H895" s="81"/>
      <c r="I895" s="79"/>
      <c r="J895" s="79"/>
      <c r="K895" s="81"/>
      <c r="L895" s="80"/>
      <c r="M895" s="79"/>
    </row>
    <row r="896" spans="1:13" ht="15.75">
      <c r="A896" s="83"/>
      <c r="B896" s="29"/>
      <c r="C896" s="41"/>
      <c r="D896" s="41"/>
      <c r="E896" s="79"/>
      <c r="F896" s="82"/>
      <c r="G896" s="79"/>
      <c r="H896" s="81"/>
      <c r="I896" s="79"/>
      <c r="J896" s="79"/>
      <c r="K896" s="81"/>
      <c r="L896" s="80"/>
      <c r="M896" s="79"/>
    </row>
    <row r="897" spans="1:13" ht="15.75">
      <c r="A897" s="83"/>
      <c r="B897" s="29"/>
      <c r="C897" s="41"/>
      <c r="D897" s="41"/>
      <c r="E897" s="79"/>
      <c r="F897" s="82"/>
      <c r="G897" s="79"/>
      <c r="H897" s="81"/>
      <c r="I897" s="79"/>
      <c r="J897" s="79"/>
      <c r="K897" s="81"/>
      <c r="L897" s="80"/>
      <c r="M897" s="79"/>
    </row>
    <row r="898" spans="1:13" ht="15.75">
      <c r="A898" s="83"/>
      <c r="B898" s="29"/>
      <c r="C898" s="41"/>
      <c r="D898" s="41"/>
      <c r="E898" s="79"/>
      <c r="F898" s="82"/>
      <c r="G898" s="79"/>
      <c r="H898" s="81"/>
      <c r="I898" s="79"/>
      <c r="J898" s="79"/>
      <c r="K898" s="81"/>
      <c r="L898" s="80"/>
      <c r="M898" s="79"/>
    </row>
    <row r="899" spans="1:13" ht="15.75">
      <c r="A899" s="83"/>
      <c r="B899" s="29"/>
      <c r="C899" s="41"/>
      <c r="D899" s="41"/>
      <c r="E899" s="79"/>
      <c r="F899" s="82"/>
      <c r="G899" s="79"/>
      <c r="H899" s="81"/>
      <c r="I899" s="79"/>
      <c r="J899" s="79"/>
      <c r="K899" s="81"/>
      <c r="L899" s="80"/>
      <c r="M899" s="79"/>
    </row>
    <row r="900" spans="1:13" ht="15.75">
      <c r="A900" s="83"/>
      <c r="B900" s="29"/>
      <c r="C900" s="41"/>
      <c r="D900" s="41"/>
      <c r="E900" s="79"/>
      <c r="F900" s="82"/>
      <c r="G900" s="79"/>
      <c r="H900" s="81"/>
      <c r="I900" s="79"/>
      <c r="J900" s="79"/>
      <c r="K900" s="81"/>
      <c r="L900" s="80"/>
      <c r="M900" s="79"/>
    </row>
    <row r="901" spans="1:13" ht="15.75">
      <c r="A901" s="83"/>
      <c r="B901" s="29"/>
      <c r="C901" s="41"/>
      <c r="D901" s="41"/>
      <c r="E901" s="79"/>
      <c r="F901" s="82"/>
      <c r="G901" s="79"/>
      <c r="H901" s="81"/>
      <c r="I901" s="79"/>
      <c r="J901" s="79"/>
      <c r="K901" s="81"/>
      <c r="L901" s="80"/>
      <c r="M901" s="79"/>
    </row>
    <row r="902" spans="1:13" ht="15.75">
      <c r="A902" s="83"/>
      <c r="B902" s="29"/>
      <c r="C902" s="41"/>
      <c r="D902" s="41"/>
      <c r="E902" s="79"/>
      <c r="F902" s="82"/>
      <c r="G902" s="79"/>
      <c r="H902" s="81"/>
      <c r="I902" s="79"/>
      <c r="J902" s="79"/>
      <c r="K902" s="81"/>
      <c r="L902" s="80"/>
      <c r="M902" s="79"/>
    </row>
    <row r="903" spans="1:13" ht="15.75">
      <c r="A903" s="83"/>
      <c r="B903" s="29"/>
      <c r="C903" s="41"/>
      <c r="D903" s="41"/>
      <c r="E903" s="79"/>
      <c r="F903" s="82"/>
      <c r="G903" s="79"/>
      <c r="H903" s="81"/>
      <c r="I903" s="79"/>
      <c r="J903" s="79"/>
      <c r="K903" s="81"/>
      <c r="L903" s="80"/>
      <c r="M903" s="79"/>
    </row>
    <row r="904" spans="1:13" ht="15.75">
      <c r="A904" s="83"/>
      <c r="B904" s="29"/>
      <c r="C904" s="41"/>
      <c r="D904" s="41"/>
      <c r="E904" s="79"/>
      <c r="F904" s="82"/>
      <c r="G904" s="79"/>
      <c r="H904" s="81"/>
      <c r="I904" s="79"/>
      <c r="J904" s="79"/>
      <c r="K904" s="81"/>
      <c r="L904" s="80"/>
      <c r="M904" s="79"/>
    </row>
    <row r="905" spans="1:13" ht="15.75">
      <c r="A905" s="83"/>
      <c r="B905" s="29"/>
      <c r="C905" s="41"/>
      <c r="D905" s="41"/>
      <c r="E905" s="79"/>
      <c r="F905" s="82"/>
      <c r="G905" s="79"/>
      <c r="H905" s="81"/>
      <c r="I905" s="79"/>
      <c r="J905" s="79"/>
      <c r="K905" s="81"/>
      <c r="L905" s="80"/>
      <c r="M905" s="79"/>
    </row>
    <row r="906" spans="1:13" ht="15.75">
      <c r="A906" s="83"/>
      <c r="B906" s="29"/>
      <c r="C906" s="41"/>
      <c r="D906" s="41"/>
      <c r="E906" s="79"/>
      <c r="F906" s="82"/>
      <c r="G906" s="79"/>
      <c r="H906" s="81"/>
      <c r="I906" s="79"/>
      <c r="J906" s="79"/>
      <c r="K906" s="81"/>
      <c r="L906" s="80"/>
      <c r="M906" s="79"/>
    </row>
    <row r="907" spans="1:13" ht="15.75">
      <c r="A907" s="83"/>
      <c r="B907" s="29"/>
      <c r="C907" s="41"/>
      <c r="D907" s="41"/>
      <c r="E907" s="79"/>
      <c r="F907" s="82"/>
      <c r="G907" s="79"/>
      <c r="H907" s="81"/>
      <c r="I907" s="79"/>
      <c r="J907" s="79"/>
      <c r="K907" s="81"/>
      <c r="L907" s="80"/>
      <c r="M907" s="79"/>
    </row>
    <row r="908" spans="1:13" ht="15.75">
      <c r="A908" s="83"/>
      <c r="B908" s="29"/>
      <c r="C908" s="41"/>
      <c r="D908" s="41"/>
      <c r="E908" s="79"/>
      <c r="F908" s="82"/>
      <c r="G908" s="79"/>
      <c r="H908" s="81"/>
      <c r="I908" s="79"/>
      <c r="J908" s="79"/>
      <c r="K908" s="81"/>
      <c r="L908" s="80"/>
      <c r="M908" s="79"/>
    </row>
    <row r="909" spans="1:13" ht="15.75">
      <c r="A909" s="83"/>
      <c r="B909" s="29"/>
      <c r="C909" s="41"/>
      <c r="D909" s="41"/>
      <c r="E909" s="79"/>
      <c r="F909" s="82"/>
      <c r="G909" s="79"/>
      <c r="H909" s="81"/>
      <c r="I909" s="79"/>
      <c r="J909" s="79"/>
      <c r="K909" s="81"/>
      <c r="L909" s="80"/>
      <c r="M909" s="79"/>
    </row>
    <row r="910" spans="1:13" ht="15.75">
      <c r="A910" s="83"/>
      <c r="B910" s="29"/>
      <c r="C910" s="41"/>
      <c r="D910" s="41"/>
      <c r="E910" s="79"/>
      <c r="F910" s="82"/>
      <c r="G910" s="79"/>
      <c r="H910" s="81"/>
      <c r="I910" s="79"/>
      <c r="J910" s="79"/>
      <c r="K910" s="81"/>
      <c r="L910" s="80"/>
      <c r="M910" s="79"/>
    </row>
    <row r="911" spans="1:13" ht="15.75">
      <c r="A911" s="83"/>
      <c r="B911" s="29"/>
      <c r="C911" s="41"/>
      <c r="D911" s="41"/>
      <c r="E911" s="79"/>
      <c r="F911" s="82"/>
      <c r="G911" s="79"/>
      <c r="H911" s="81"/>
      <c r="I911" s="79"/>
      <c r="J911" s="79"/>
      <c r="K911" s="81"/>
      <c r="L911" s="80"/>
      <c r="M911" s="79"/>
    </row>
    <row r="912" spans="1:13" ht="15.75">
      <c r="A912" s="83"/>
      <c r="B912" s="29"/>
      <c r="C912" s="41"/>
      <c r="D912" s="41"/>
      <c r="E912" s="79"/>
      <c r="F912" s="82"/>
      <c r="G912" s="79"/>
      <c r="H912" s="81"/>
      <c r="I912" s="79"/>
      <c r="J912" s="79"/>
      <c r="K912" s="81"/>
      <c r="L912" s="80"/>
      <c r="M912" s="79"/>
    </row>
    <row r="913" spans="1:13" ht="15.75">
      <c r="A913" s="83"/>
      <c r="B913" s="29"/>
      <c r="C913" s="41"/>
      <c r="D913" s="41"/>
      <c r="E913" s="79"/>
      <c r="F913" s="82"/>
      <c r="G913" s="79"/>
      <c r="H913" s="81"/>
      <c r="I913" s="79"/>
      <c r="J913" s="79"/>
      <c r="K913" s="81"/>
      <c r="L913" s="80"/>
      <c r="M913" s="79"/>
    </row>
    <row r="914" spans="1:13" ht="15.75">
      <c r="A914" s="83"/>
      <c r="B914" s="29"/>
      <c r="C914" s="41"/>
      <c r="D914" s="41"/>
      <c r="E914" s="79"/>
      <c r="F914" s="82">
        <f>B914</f>
        <v>0</v>
      </c>
      <c r="G914" s="79"/>
      <c r="H914" s="81"/>
      <c r="I914" s="79"/>
      <c r="J914" s="79"/>
      <c r="K914" s="81"/>
      <c r="L914" s="80"/>
      <c r="M914" s="79"/>
    </row>
    <row r="915" spans="1:13" ht="15.75">
      <c r="A915" s="83"/>
      <c r="B915" s="29"/>
      <c r="C915" s="41"/>
      <c r="D915" s="41"/>
      <c r="E915" s="79"/>
      <c r="F915" s="82">
        <f>B915</f>
        <v>0</v>
      </c>
      <c r="G915" s="79"/>
      <c r="H915" s="81"/>
      <c r="I915" s="79"/>
      <c r="J915" s="79"/>
      <c r="K915" s="81"/>
      <c r="L915" s="80"/>
      <c r="M915" s="79"/>
    </row>
    <row r="916" spans="1:13" ht="15.75">
      <c r="A916" s="83"/>
      <c r="B916" s="29"/>
      <c r="C916" s="41"/>
      <c r="D916" s="41"/>
      <c r="E916" s="79"/>
      <c r="F916" s="82">
        <f>B916</f>
        <v>0</v>
      </c>
      <c r="G916" s="79"/>
      <c r="H916" s="81"/>
      <c r="I916" s="79"/>
      <c r="J916" s="79"/>
      <c r="K916" s="81"/>
      <c r="L916" s="80"/>
      <c r="M916" s="79"/>
    </row>
    <row r="917" spans="1:13" ht="15.75">
      <c r="A917" s="83"/>
      <c r="B917" s="29"/>
      <c r="C917" s="41"/>
      <c r="D917" s="41"/>
      <c r="E917" s="79"/>
      <c r="F917" s="82">
        <f>B917</f>
        <v>0</v>
      </c>
      <c r="G917" s="79"/>
      <c r="H917" s="81"/>
      <c r="I917" s="79"/>
      <c r="J917" s="79"/>
      <c r="K917" s="81"/>
      <c r="L917" s="80"/>
      <c r="M917" s="79"/>
    </row>
    <row r="918" spans="1:13" ht="15.75">
      <c r="A918" s="83"/>
      <c r="B918" s="29"/>
      <c r="C918" s="41"/>
      <c r="D918" s="41"/>
      <c r="E918" s="79"/>
      <c r="F918" s="82">
        <f>B918</f>
        <v>0</v>
      </c>
      <c r="G918" s="79"/>
      <c r="H918" s="81"/>
      <c r="I918" s="79"/>
      <c r="J918" s="79"/>
      <c r="K918" s="81"/>
      <c r="L918" s="80"/>
      <c r="M918" s="79"/>
    </row>
    <row r="919" spans="1:13" ht="15.75">
      <c r="A919" s="83"/>
      <c r="B919" s="29"/>
      <c r="C919" s="41"/>
      <c r="D919" s="41"/>
      <c r="E919" s="79"/>
      <c r="F919" s="82">
        <f>B919</f>
        <v>0</v>
      </c>
      <c r="G919" s="79"/>
      <c r="H919" s="81"/>
      <c r="I919" s="79"/>
      <c r="J919" s="79"/>
      <c r="K919" s="81"/>
      <c r="L919" s="80"/>
      <c r="M919" s="79"/>
    </row>
    <row r="920" spans="1:13" ht="15.75">
      <c r="A920" s="83"/>
      <c r="B920" s="29"/>
      <c r="C920" s="41"/>
      <c r="D920" s="41"/>
      <c r="E920" s="79"/>
      <c r="F920" s="82">
        <f>B920</f>
        <v>0</v>
      </c>
      <c r="G920" s="79"/>
      <c r="H920" s="81"/>
      <c r="I920" s="79"/>
      <c r="J920" s="79"/>
      <c r="K920" s="81"/>
      <c r="L920" s="80"/>
      <c r="M920" s="79"/>
    </row>
    <row r="921" spans="1:13" ht="15.75">
      <c r="A921" s="83"/>
      <c r="B921" s="29"/>
      <c r="C921" s="41"/>
      <c r="D921" s="41"/>
      <c r="E921" s="79"/>
      <c r="F921" s="82">
        <f>B921</f>
        <v>0</v>
      </c>
      <c r="G921" s="79"/>
      <c r="H921" s="81"/>
      <c r="I921" s="79"/>
      <c r="J921" s="79"/>
      <c r="K921" s="81"/>
      <c r="L921" s="80"/>
      <c r="M921" s="79"/>
    </row>
    <row r="922" spans="1:13" ht="15.75">
      <c r="A922" s="83"/>
      <c r="B922" s="29"/>
      <c r="C922" s="41"/>
      <c r="D922" s="41"/>
      <c r="E922" s="79"/>
      <c r="F922" s="82">
        <f>B922</f>
        <v>0</v>
      </c>
      <c r="G922" s="79"/>
      <c r="H922" s="81"/>
      <c r="I922" s="79"/>
      <c r="J922" s="79"/>
      <c r="K922" s="81"/>
      <c r="L922" s="80"/>
      <c r="M922" s="79"/>
    </row>
    <row r="923" spans="1:13" ht="15.75">
      <c r="A923" s="83"/>
      <c r="B923" s="29"/>
      <c r="C923" s="41"/>
      <c r="D923" s="41"/>
      <c r="E923" s="79"/>
      <c r="F923" s="82">
        <f>B923</f>
        <v>0</v>
      </c>
      <c r="G923" s="79"/>
      <c r="H923" s="81"/>
      <c r="I923" s="79"/>
      <c r="J923" s="79"/>
      <c r="K923" s="81"/>
      <c r="L923" s="80"/>
      <c r="M923" s="79"/>
    </row>
    <row r="924" spans="1:13" ht="15.75">
      <c r="A924" s="83"/>
      <c r="B924" s="29"/>
      <c r="C924" s="41"/>
      <c r="D924" s="41"/>
      <c r="E924" s="79"/>
      <c r="F924" s="82">
        <f>B924</f>
        <v>0</v>
      </c>
      <c r="G924" s="79"/>
      <c r="H924" s="81"/>
      <c r="I924" s="79"/>
      <c r="J924" s="79"/>
      <c r="K924" s="81"/>
      <c r="L924" s="80"/>
      <c r="M924" s="79"/>
    </row>
    <row r="925" spans="1:13" ht="15.75">
      <c r="A925" s="83"/>
      <c r="B925" s="29"/>
      <c r="C925" s="41"/>
      <c r="D925" s="41"/>
      <c r="E925" s="79"/>
      <c r="F925" s="82">
        <f>B925</f>
        <v>0</v>
      </c>
      <c r="G925" s="79"/>
      <c r="H925" s="81"/>
      <c r="I925" s="79"/>
      <c r="J925" s="79"/>
      <c r="K925" s="81"/>
      <c r="L925" s="80"/>
      <c r="M925" s="79"/>
    </row>
    <row r="926" spans="1:13" ht="15.75">
      <c r="A926" s="83"/>
      <c r="B926" s="29"/>
      <c r="C926" s="41"/>
      <c r="D926" s="41"/>
      <c r="E926" s="79"/>
      <c r="F926" s="82">
        <f>B926</f>
        <v>0</v>
      </c>
      <c r="G926" s="79"/>
      <c r="H926" s="81"/>
      <c r="I926" s="79"/>
      <c r="J926" s="79"/>
      <c r="K926" s="81"/>
      <c r="L926" s="80"/>
      <c r="M926" s="79"/>
    </row>
    <row r="927" spans="1:13" ht="15.75">
      <c r="A927" s="83"/>
      <c r="B927" s="29"/>
      <c r="C927" s="41"/>
      <c r="D927" s="41"/>
      <c r="E927" s="79"/>
      <c r="F927" s="82">
        <f>B927</f>
        <v>0</v>
      </c>
      <c r="G927" s="79"/>
      <c r="H927" s="81"/>
      <c r="I927" s="79"/>
      <c r="J927" s="79"/>
      <c r="K927" s="81"/>
      <c r="L927" s="80"/>
      <c r="M927" s="79"/>
    </row>
    <row r="928" spans="1:13" ht="15.75">
      <c r="A928" s="83"/>
      <c r="B928" s="29"/>
      <c r="C928" s="41"/>
      <c r="D928" s="41"/>
      <c r="E928" s="79"/>
      <c r="F928" s="82">
        <f>B928</f>
        <v>0</v>
      </c>
      <c r="G928" s="79"/>
      <c r="H928" s="81"/>
      <c r="I928" s="79"/>
      <c r="J928" s="79"/>
      <c r="K928" s="81"/>
      <c r="L928" s="80"/>
      <c r="M928" s="79"/>
    </row>
    <row r="929" spans="1:13" ht="15.75">
      <c r="A929" s="83"/>
      <c r="B929" s="29"/>
      <c r="C929" s="41"/>
      <c r="D929" s="41"/>
      <c r="E929" s="79"/>
      <c r="F929" s="82">
        <f>B929</f>
        <v>0</v>
      </c>
      <c r="G929" s="79"/>
      <c r="H929" s="81"/>
      <c r="I929" s="79"/>
      <c r="J929" s="79"/>
      <c r="K929" s="81"/>
      <c r="L929" s="80"/>
      <c r="M929" s="79"/>
    </row>
    <row r="930" spans="1:13" ht="15.75">
      <c r="A930" s="83"/>
      <c r="B930" s="29"/>
      <c r="C930" s="41"/>
      <c r="D930" s="41"/>
      <c r="E930" s="79"/>
      <c r="F930" s="82">
        <f>B930</f>
        <v>0</v>
      </c>
      <c r="G930" s="79"/>
      <c r="H930" s="81"/>
      <c r="I930" s="79"/>
      <c r="J930" s="79"/>
      <c r="K930" s="81"/>
      <c r="L930" s="80"/>
      <c r="M930" s="79"/>
    </row>
    <row r="931" spans="1:13" ht="15.75">
      <c r="A931" s="83"/>
      <c r="B931" s="29"/>
      <c r="C931" s="41"/>
      <c r="D931" s="41"/>
      <c r="E931" s="79"/>
      <c r="F931" s="82">
        <f>B931</f>
        <v>0</v>
      </c>
      <c r="G931" s="79"/>
      <c r="H931" s="81"/>
      <c r="I931" s="79"/>
      <c r="J931" s="79"/>
      <c r="K931" s="81"/>
      <c r="L931" s="80"/>
      <c r="M931" s="79"/>
    </row>
    <row r="932" spans="1:13" ht="15.75">
      <c r="A932" s="83"/>
      <c r="B932" s="29"/>
      <c r="C932" s="41"/>
      <c r="D932" s="41"/>
      <c r="E932" s="79"/>
      <c r="F932" s="82">
        <f>B932</f>
        <v>0</v>
      </c>
      <c r="G932" s="79"/>
      <c r="H932" s="81"/>
      <c r="I932" s="79"/>
      <c r="J932" s="79"/>
      <c r="K932" s="81"/>
      <c r="L932" s="80"/>
      <c r="M932" s="79"/>
    </row>
    <row r="933" spans="1:13" ht="15.75">
      <c r="A933" s="83"/>
      <c r="B933" s="29"/>
      <c r="C933" s="41"/>
      <c r="D933" s="41"/>
      <c r="E933" s="79"/>
      <c r="F933" s="82">
        <f>B933</f>
        <v>0</v>
      </c>
      <c r="G933" s="79"/>
      <c r="H933" s="81"/>
      <c r="I933" s="79"/>
      <c r="J933" s="79"/>
      <c r="K933" s="81"/>
      <c r="L933" s="80"/>
      <c r="M933" s="79"/>
    </row>
    <row r="934" spans="1:13" ht="15.75">
      <c r="A934" s="83"/>
      <c r="B934" s="29"/>
      <c r="C934" s="41"/>
      <c r="D934" s="41"/>
      <c r="E934" s="79"/>
      <c r="F934" s="82">
        <f>B934</f>
        <v>0</v>
      </c>
      <c r="G934" s="79"/>
      <c r="H934" s="81"/>
      <c r="I934" s="79"/>
      <c r="J934" s="79"/>
      <c r="K934" s="81"/>
      <c r="L934" s="80"/>
      <c r="M934" s="79"/>
    </row>
    <row r="935" spans="1:13" ht="15.75">
      <c r="A935" s="83"/>
      <c r="B935" s="29"/>
      <c r="C935" s="41"/>
      <c r="D935" s="41"/>
      <c r="E935" s="79"/>
      <c r="F935" s="82">
        <f>B935</f>
        <v>0</v>
      </c>
      <c r="G935" s="79"/>
      <c r="H935" s="81"/>
      <c r="I935" s="79"/>
      <c r="J935" s="79"/>
      <c r="K935" s="81"/>
      <c r="L935" s="80"/>
      <c r="M935" s="79"/>
    </row>
    <row r="936" spans="1:13" ht="15.75">
      <c r="A936" s="83"/>
      <c r="B936" s="29"/>
      <c r="C936" s="41"/>
      <c r="D936" s="41"/>
      <c r="E936" s="79"/>
      <c r="F936" s="82">
        <f>B936</f>
        <v>0</v>
      </c>
      <c r="G936" s="79"/>
      <c r="H936" s="81"/>
      <c r="I936" s="79"/>
      <c r="J936" s="79"/>
      <c r="K936" s="81"/>
      <c r="L936" s="80"/>
      <c r="M936" s="79"/>
    </row>
    <row r="937" spans="1:13" ht="15.75">
      <c r="A937" s="83"/>
      <c r="B937" s="29"/>
      <c r="C937" s="41"/>
      <c r="D937" s="41"/>
      <c r="E937" s="79"/>
      <c r="F937" s="82">
        <f>B937</f>
        <v>0</v>
      </c>
      <c r="G937" s="79"/>
      <c r="H937" s="81"/>
      <c r="I937" s="79"/>
      <c r="J937" s="79"/>
      <c r="K937" s="81"/>
      <c r="L937" s="80"/>
      <c r="M937" s="79"/>
    </row>
    <row r="938" spans="1:13" ht="15.75">
      <c r="A938" s="83"/>
      <c r="B938" s="29"/>
      <c r="C938" s="41"/>
      <c r="D938" s="41"/>
      <c r="E938" s="79"/>
      <c r="F938" s="82">
        <f>B938</f>
        <v>0</v>
      </c>
      <c r="G938" s="79"/>
      <c r="H938" s="81"/>
      <c r="I938" s="79"/>
      <c r="J938" s="79"/>
      <c r="K938" s="81"/>
      <c r="L938" s="80"/>
      <c r="M938" s="79"/>
    </row>
    <row r="939" spans="1:13" ht="15.75">
      <c r="A939" s="83"/>
      <c r="B939" s="29"/>
      <c r="C939" s="41"/>
      <c r="D939" s="41"/>
      <c r="E939" s="79"/>
      <c r="F939" s="82">
        <f>B939</f>
        <v>0</v>
      </c>
      <c r="G939" s="79"/>
      <c r="H939" s="81"/>
      <c r="I939" s="79"/>
      <c r="J939" s="79"/>
      <c r="K939" s="81"/>
      <c r="L939" s="80"/>
      <c r="M939" s="79"/>
    </row>
    <row r="940" spans="1:13" ht="15.75">
      <c r="A940" s="83"/>
      <c r="B940" s="29"/>
      <c r="C940" s="41"/>
      <c r="D940" s="41"/>
      <c r="E940" s="79"/>
      <c r="F940" s="82">
        <f>B940</f>
        <v>0</v>
      </c>
      <c r="G940" s="79"/>
      <c r="H940" s="81"/>
      <c r="I940" s="79"/>
      <c r="J940" s="79"/>
      <c r="K940" s="81"/>
      <c r="L940" s="80"/>
      <c r="M940" s="79"/>
    </row>
    <row r="941" spans="1:13" ht="15.75">
      <c r="A941" s="83"/>
      <c r="B941" s="29"/>
      <c r="C941" s="41"/>
      <c r="D941" s="41"/>
      <c r="E941" s="79"/>
      <c r="F941" s="82">
        <f>B941</f>
        <v>0</v>
      </c>
      <c r="G941" s="79"/>
      <c r="H941" s="81"/>
      <c r="I941" s="79"/>
      <c r="J941" s="79"/>
      <c r="K941" s="81"/>
      <c r="L941" s="80"/>
      <c r="M941" s="79"/>
    </row>
    <row r="942" spans="1:13" ht="15.75">
      <c r="A942" s="83"/>
      <c r="B942" s="29"/>
      <c r="C942" s="41"/>
      <c r="D942" s="41"/>
      <c r="E942" s="79"/>
      <c r="F942" s="82">
        <f>B942</f>
        <v>0</v>
      </c>
      <c r="G942" s="79"/>
      <c r="H942" s="81"/>
      <c r="I942" s="79"/>
      <c r="J942" s="79"/>
      <c r="K942" s="81"/>
      <c r="L942" s="80"/>
      <c r="M942" s="79"/>
    </row>
    <row r="943" spans="1:13" ht="15.75">
      <c r="A943" s="83"/>
      <c r="B943" s="29"/>
      <c r="C943" s="41"/>
      <c r="D943" s="41"/>
      <c r="E943" s="79"/>
      <c r="F943" s="82">
        <f>B943</f>
        <v>0</v>
      </c>
      <c r="G943" s="79"/>
      <c r="H943" s="81"/>
      <c r="I943" s="79"/>
      <c r="J943" s="79"/>
      <c r="K943" s="81"/>
      <c r="L943" s="80"/>
      <c r="M943" s="79"/>
    </row>
    <row r="944" spans="1:13" ht="15.75">
      <c r="A944" s="83"/>
      <c r="B944" s="29"/>
      <c r="C944" s="41"/>
      <c r="D944" s="41"/>
      <c r="E944" s="79"/>
      <c r="F944" s="82">
        <f>B944</f>
        <v>0</v>
      </c>
      <c r="G944" s="79"/>
      <c r="H944" s="81"/>
      <c r="I944" s="79"/>
      <c r="J944" s="79"/>
      <c r="K944" s="81"/>
      <c r="L944" s="80"/>
      <c r="M944" s="79"/>
    </row>
    <row r="945" spans="1:13" ht="15.75">
      <c r="A945" s="83"/>
      <c r="B945" s="29"/>
      <c r="C945" s="41"/>
      <c r="D945" s="41"/>
      <c r="E945" s="79"/>
      <c r="F945" s="82">
        <f>B945</f>
        <v>0</v>
      </c>
      <c r="G945" s="79"/>
      <c r="H945" s="81"/>
      <c r="I945" s="79"/>
      <c r="J945" s="79"/>
      <c r="K945" s="81"/>
      <c r="L945" s="80"/>
      <c r="M945" s="79"/>
    </row>
    <row r="946" spans="1:13" ht="15.75">
      <c r="A946" s="83"/>
      <c r="B946" s="29"/>
      <c r="C946" s="41"/>
      <c r="D946" s="41"/>
      <c r="E946" s="79"/>
      <c r="F946" s="82">
        <f>B946</f>
        <v>0</v>
      </c>
      <c r="G946" s="79"/>
      <c r="H946" s="81"/>
      <c r="I946" s="79"/>
      <c r="J946" s="79"/>
      <c r="K946" s="81"/>
      <c r="L946" s="80"/>
      <c r="M946" s="79"/>
    </row>
    <row r="947" spans="1:13" ht="15.75">
      <c r="A947" s="83"/>
      <c r="B947" s="29"/>
      <c r="C947" s="41"/>
      <c r="D947" s="41"/>
      <c r="E947" s="79"/>
      <c r="F947" s="82">
        <f>B947</f>
        <v>0</v>
      </c>
      <c r="G947" s="79"/>
      <c r="H947" s="81"/>
      <c r="I947" s="79"/>
      <c r="J947" s="79"/>
      <c r="K947" s="81"/>
      <c r="L947" s="80"/>
      <c r="M947" s="79"/>
    </row>
    <row r="948" spans="1:13" ht="15.75">
      <c r="A948" s="83"/>
      <c r="B948" s="29"/>
      <c r="C948" s="41"/>
      <c r="D948" s="41"/>
      <c r="E948" s="79"/>
      <c r="F948" s="82">
        <f>B948</f>
        <v>0</v>
      </c>
      <c r="G948" s="79"/>
      <c r="H948" s="81"/>
      <c r="I948" s="79"/>
      <c r="J948" s="79"/>
      <c r="K948" s="81"/>
      <c r="L948" s="80"/>
      <c r="M948" s="79"/>
    </row>
    <row r="949" spans="1:13" ht="15.75">
      <c r="A949" s="83"/>
      <c r="B949" s="29"/>
      <c r="C949" s="41"/>
      <c r="D949" s="41"/>
      <c r="E949" s="79"/>
      <c r="F949" s="82">
        <f>B949</f>
        <v>0</v>
      </c>
      <c r="G949" s="79"/>
      <c r="H949" s="81"/>
      <c r="I949" s="79"/>
      <c r="J949" s="79"/>
      <c r="K949" s="81"/>
      <c r="L949" s="80"/>
      <c r="M949" s="79"/>
    </row>
    <row r="950" spans="1:13" ht="15.75">
      <c r="A950" s="83"/>
      <c r="B950" s="29"/>
      <c r="C950" s="41"/>
      <c r="D950" s="41"/>
      <c r="E950" s="79"/>
      <c r="F950" s="82">
        <f>B950</f>
        <v>0</v>
      </c>
      <c r="G950" s="79"/>
      <c r="H950" s="81"/>
      <c r="I950" s="79"/>
      <c r="J950" s="79"/>
      <c r="K950" s="81"/>
      <c r="L950" s="80"/>
      <c r="M950" s="79"/>
    </row>
    <row r="951" spans="1:13" ht="15.75">
      <c r="A951" s="83"/>
      <c r="B951" s="29"/>
      <c r="C951" s="41"/>
      <c r="D951" s="41"/>
      <c r="E951" s="79"/>
      <c r="F951" s="82">
        <f>B951</f>
        <v>0</v>
      </c>
      <c r="G951" s="79"/>
      <c r="H951" s="81"/>
      <c r="I951" s="79"/>
      <c r="J951" s="79"/>
      <c r="K951" s="81"/>
      <c r="L951" s="80"/>
      <c r="M951" s="79"/>
    </row>
    <row r="952" spans="1:13" ht="15.75">
      <c r="A952" s="83"/>
      <c r="B952" s="29"/>
      <c r="C952" s="41"/>
      <c r="D952" s="41"/>
      <c r="E952" s="79"/>
      <c r="F952" s="82">
        <f>B952</f>
        <v>0</v>
      </c>
      <c r="G952" s="79"/>
      <c r="H952" s="81"/>
      <c r="I952" s="79"/>
      <c r="J952" s="79"/>
      <c r="K952" s="81"/>
      <c r="L952" s="80"/>
      <c r="M952" s="79"/>
    </row>
    <row r="953" spans="1:13" ht="15.75">
      <c r="A953" s="83"/>
      <c r="B953" s="29"/>
      <c r="C953" s="41"/>
      <c r="D953" s="41"/>
      <c r="E953" s="79"/>
      <c r="F953" s="82">
        <f>B953</f>
        <v>0</v>
      </c>
      <c r="G953" s="79"/>
      <c r="H953" s="81"/>
      <c r="I953" s="79"/>
      <c r="J953" s="79"/>
      <c r="K953" s="81"/>
      <c r="L953" s="80"/>
      <c r="M953" s="79"/>
    </row>
    <row r="954" spans="1:13" ht="15.75">
      <c r="A954" s="83"/>
      <c r="B954" s="29"/>
      <c r="C954" s="41"/>
      <c r="D954" s="41"/>
      <c r="E954" s="79"/>
      <c r="F954" s="82">
        <f>B954</f>
        <v>0</v>
      </c>
      <c r="G954" s="79"/>
      <c r="H954" s="81"/>
      <c r="I954" s="79"/>
      <c r="J954" s="79"/>
      <c r="K954" s="81"/>
      <c r="L954" s="80"/>
      <c r="M954" s="79"/>
    </row>
    <row r="955" spans="1:13" ht="15.75">
      <c r="A955" s="83"/>
      <c r="B955" s="29"/>
      <c r="C955" s="41"/>
      <c r="D955" s="41"/>
      <c r="E955" s="79"/>
      <c r="F955" s="82">
        <f>B955</f>
        <v>0</v>
      </c>
      <c r="G955" s="79"/>
      <c r="H955" s="81"/>
      <c r="I955" s="79"/>
      <c r="J955" s="79"/>
      <c r="K955" s="81"/>
      <c r="L955" s="80"/>
      <c r="M955" s="79"/>
    </row>
    <row r="956" spans="1:13" ht="15.75">
      <c r="A956" s="83"/>
      <c r="B956" s="29"/>
      <c r="C956" s="41"/>
      <c r="D956" s="41"/>
      <c r="E956" s="79"/>
      <c r="F956" s="82">
        <f>B956</f>
        <v>0</v>
      </c>
      <c r="G956" s="79"/>
      <c r="H956" s="81"/>
      <c r="I956" s="79"/>
      <c r="J956" s="79"/>
      <c r="K956" s="81"/>
      <c r="L956" s="80"/>
      <c r="M956" s="79"/>
    </row>
    <row r="957" spans="1:13" ht="15.75">
      <c r="A957" s="83"/>
      <c r="B957" s="29"/>
      <c r="C957" s="41"/>
      <c r="D957" s="41"/>
      <c r="E957" s="79"/>
      <c r="F957" s="82">
        <f>B957</f>
        <v>0</v>
      </c>
      <c r="G957" s="79"/>
      <c r="H957" s="81"/>
      <c r="I957" s="79"/>
      <c r="J957" s="79"/>
      <c r="K957" s="81"/>
      <c r="L957" s="80"/>
      <c r="M957" s="79"/>
    </row>
    <row r="958" spans="1:13" ht="15.75">
      <c r="A958" s="83"/>
      <c r="B958" s="29"/>
      <c r="C958" s="41"/>
      <c r="D958" s="41"/>
      <c r="E958" s="79"/>
      <c r="F958" s="82">
        <f>B958</f>
        <v>0</v>
      </c>
      <c r="G958" s="79"/>
      <c r="H958" s="81"/>
      <c r="I958" s="79"/>
      <c r="J958" s="79"/>
      <c r="K958" s="81"/>
      <c r="L958" s="80"/>
      <c r="M958" s="79"/>
    </row>
    <row r="959" spans="1:13" ht="15.75">
      <c r="A959" s="83"/>
      <c r="B959" s="29"/>
      <c r="C959" s="41"/>
      <c r="D959" s="41"/>
      <c r="E959" s="79"/>
      <c r="F959" s="82">
        <f>B959</f>
        <v>0</v>
      </c>
      <c r="G959" s="79"/>
      <c r="H959" s="81"/>
      <c r="I959" s="79"/>
      <c r="J959" s="79"/>
      <c r="K959" s="81"/>
      <c r="L959" s="80"/>
      <c r="M959" s="79"/>
    </row>
    <row r="960" spans="1:13" ht="15.75">
      <c r="A960" s="83"/>
      <c r="B960" s="29"/>
      <c r="C960" s="41"/>
      <c r="D960" s="41"/>
      <c r="E960" s="79"/>
      <c r="F960" s="82">
        <f>B960</f>
        <v>0</v>
      </c>
      <c r="G960" s="79"/>
      <c r="H960" s="81"/>
      <c r="I960" s="79"/>
      <c r="J960" s="79"/>
      <c r="K960" s="81"/>
      <c r="L960" s="80"/>
      <c r="M960" s="79"/>
    </row>
    <row r="961" spans="1:13" ht="15.75">
      <c r="A961" s="83"/>
      <c r="B961" s="29"/>
      <c r="C961" s="41"/>
      <c r="D961" s="41"/>
      <c r="E961" s="79"/>
      <c r="F961" s="82">
        <f>B961</f>
        <v>0</v>
      </c>
      <c r="G961" s="79"/>
      <c r="H961" s="81"/>
      <c r="I961" s="79"/>
      <c r="J961" s="79"/>
      <c r="K961" s="81"/>
      <c r="L961" s="80"/>
      <c r="M961" s="79"/>
    </row>
    <row r="962" spans="1:13" ht="15.75">
      <c r="A962" s="83"/>
      <c r="B962" s="29"/>
      <c r="C962" s="41"/>
      <c r="D962" s="41"/>
      <c r="E962" s="79"/>
      <c r="F962" s="82">
        <f>B962</f>
        <v>0</v>
      </c>
      <c r="G962" s="79"/>
      <c r="H962" s="81"/>
      <c r="I962" s="79"/>
      <c r="J962" s="79"/>
      <c r="K962" s="81"/>
      <c r="L962" s="80"/>
      <c r="M962" s="79"/>
    </row>
    <row r="963" spans="1:13" ht="15.75">
      <c r="A963" s="83"/>
      <c r="B963" s="29"/>
      <c r="C963" s="41"/>
      <c r="D963" s="41"/>
      <c r="E963" s="79"/>
      <c r="F963" s="82">
        <f>B963</f>
        <v>0</v>
      </c>
      <c r="G963" s="79"/>
      <c r="H963" s="81"/>
      <c r="I963" s="79"/>
      <c r="J963" s="79"/>
      <c r="K963" s="81"/>
      <c r="L963" s="80"/>
      <c r="M963" s="79"/>
    </row>
    <row r="964" spans="1:13" ht="15.75">
      <c r="A964" s="83"/>
      <c r="B964" s="29"/>
      <c r="C964" s="41"/>
      <c r="D964" s="41"/>
      <c r="E964" s="79"/>
      <c r="F964" s="82">
        <f>B964</f>
        <v>0</v>
      </c>
      <c r="G964" s="79"/>
      <c r="H964" s="81"/>
      <c r="I964" s="79"/>
      <c r="J964" s="79"/>
      <c r="K964" s="81"/>
      <c r="L964" s="80"/>
      <c r="M964" s="79"/>
    </row>
    <row r="965" spans="1:13" ht="15.75">
      <c r="A965" s="83"/>
      <c r="B965" s="29"/>
      <c r="C965" s="41"/>
      <c r="D965" s="41"/>
      <c r="E965" s="79"/>
      <c r="F965" s="82">
        <f>B965</f>
        <v>0</v>
      </c>
      <c r="G965" s="79"/>
      <c r="H965" s="81"/>
      <c r="I965" s="79"/>
      <c r="J965" s="79"/>
      <c r="K965" s="81"/>
      <c r="L965" s="80"/>
      <c r="M965" s="79"/>
    </row>
    <row r="966" spans="1:13" ht="15.75">
      <c r="A966" s="83"/>
      <c r="B966" s="29"/>
      <c r="C966" s="41"/>
      <c r="D966" s="41"/>
      <c r="E966" s="79"/>
      <c r="F966" s="82">
        <f>B966</f>
        <v>0</v>
      </c>
      <c r="G966" s="79"/>
      <c r="H966" s="81"/>
      <c r="I966" s="79"/>
      <c r="J966" s="79"/>
      <c r="K966" s="81"/>
      <c r="L966" s="80"/>
      <c r="M966" s="79"/>
    </row>
    <row r="967" spans="1:13" ht="15.75">
      <c r="A967" s="83"/>
      <c r="B967" s="29"/>
      <c r="C967" s="41"/>
      <c r="D967" s="41"/>
      <c r="E967" s="79"/>
      <c r="F967" s="82">
        <f>B967</f>
        <v>0</v>
      </c>
      <c r="G967" s="79"/>
      <c r="H967" s="81"/>
      <c r="I967" s="79"/>
      <c r="J967" s="79"/>
      <c r="K967" s="81"/>
      <c r="L967" s="80"/>
      <c r="M967" s="79"/>
    </row>
    <row r="968" spans="1:13" ht="15.75">
      <c r="A968" s="83"/>
      <c r="B968" s="29"/>
      <c r="C968" s="41"/>
      <c r="D968" s="41"/>
      <c r="E968" s="79"/>
      <c r="F968" s="82">
        <f>B968</f>
        <v>0</v>
      </c>
      <c r="G968" s="79"/>
      <c r="H968" s="81"/>
      <c r="I968" s="79"/>
      <c r="J968" s="79"/>
      <c r="K968" s="81"/>
      <c r="L968" s="80"/>
      <c r="M968" s="79"/>
    </row>
    <row r="969" spans="1:13" ht="15.75">
      <c r="A969" s="83"/>
      <c r="B969" s="29"/>
      <c r="C969" s="41"/>
      <c r="D969" s="41"/>
      <c r="E969" s="79"/>
      <c r="F969" s="82">
        <f>B969</f>
        <v>0</v>
      </c>
      <c r="G969" s="79"/>
      <c r="H969" s="81"/>
      <c r="I969" s="79"/>
      <c r="J969" s="79"/>
      <c r="K969" s="81"/>
      <c r="L969" s="80"/>
      <c r="M969" s="79"/>
    </row>
    <row r="970" spans="1:13" ht="15.75">
      <c r="A970" s="83"/>
      <c r="B970" s="29"/>
      <c r="C970" s="41"/>
      <c r="D970" s="41"/>
      <c r="E970" s="79"/>
      <c r="F970" s="82">
        <f>B970</f>
        <v>0</v>
      </c>
      <c r="G970" s="79"/>
      <c r="H970" s="81"/>
      <c r="I970" s="79"/>
      <c r="J970" s="79"/>
      <c r="K970" s="81"/>
      <c r="L970" s="80"/>
      <c r="M970" s="79"/>
    </row>
    <row r="971" spans="1:13" ht="15.75">
      <c r="A971" s="83"/>
      <c r="B971" s="29"/>
      <c r="C971" s="41"/>
      <c r="D971" s="41"/>
      <c r="E971" s="79"/>
      <c r="F971" s="82">
        <f>B971</f>
        <v>0</v>
      </c>
      <c r="G971" s="79"/>
      <c r="H971" s="81"/>
      <c r="I971" s="79"/>
      <c r="J971" s="79"/>
      <c r="K971" s="81"/>
      <c r="L971" s="80"/>
      <c r="M971" s="79"/>
    </row>
    <row r="972" spans="1:13" ht="15.75">
      <c r="A972" s="83"/>
      <c r="B972" s="29"/>
      <c r="C972" s="41"/>
      <c r="D972" s="41"/>
      <c r="E972" s="79"/>
      <c r="F972" s="82">
        <f>B972</f>
        <v>0</v>
      </c>
      <c r="G972" s="79"/>
      <c r="H972" s="81"/>
      <c r="I972" s="79"/>
      <c r="J972" s="79"/>
      <c r="K972" s="81"/>
      <c r="L972" s="80"/>
      <c r="M972" s="79"/>
    </row>
    <row r="973" spans="1:13" ht="15.75">
      <c r="A973" s="83"/>
      <c r="B973" s="29"/>
      <c r="C973" s="41"/>
      <c r="D973" s="41"/>
      <c r="E973" s="79"/>
      <c r="F973" s="82">
        <f>B973</f>
        <v>0</v>
      </c>
      <c r="G973" s="79"/>
      <c r="H973" s="81"/>
      <c r="I973" s="79"/>
      <c r="J973" s="79"/>
      <c r="K973" s="81"/>
      <c r="L973" s="80"/>
      <c r="M973" s="79"/>
    </row>
    <row r="974" spans="1:13" ht="15.75">
      <c r="A974" s="83"/>
      <c r="B974" s="29"/>
      <c r="C974" s="41"/>
      <c r="D974" s="41"/>
      <c r="E974" s="79"/>
      <c r="F974" s="82">
        <f>B974</f>
        <v>0</v>
      </c>
      <c r="G974" s="79"/>
      <c r="H974" s="81"/>
      <c r="I974" s="79"/>
      <c r="J974" s="79"/>
      <c r="K974" s="81"/>
      <c r="L974" s="80"/>
      <c r="M974" s="79"/>
    </row>
    <row r="975" spans="1:13" ht="15.75">
      <c r="A975" s="83"/>
      <c r="B975" s="29"/>
      <c r="C975" s="41"/>
      <c r="D975" s="41"/>
      <c r="E975" s="79"/>
      <c r="F975" s="82">
        <f>B975</f>
        <v>0</v>
      </c>
      <c r="G975" s="79"/>
      <c r="H975" s="81"/>
      <c r="I975" s="79"/>
      <c r="J975" s="79"/>
      <c r="K975" s="81"/>
      <c r="L975" s="80"/>
      <c r="M975" s="79"/>
    </row>
    <row r="976" spans="1:13" ht="15.75">
      <c r="A976" s="83"/>
      <c r="B976" s="29"/>
      <c r="C976" s="41"/>
      <c r="D976" s="41"/>
      <c r="E976" s="79"/>
      <c r="F976" s="82">
        <f>B976</f>
        <v>0</v>
      </c>
      <c r="G976" s="79"/>
      <c r="H976" s="81"/>
      <c r="I976" s="79"/>
      <c r="J976" s="79"/>
      <c r="K976" s="81"/>
      <c r="L976" s="80"/>
      <c r="M976" s="79"/>
    </row>
    <row r="977" spans="1:13" ht="15.75">
      <c r="A977" s="83"/>
      <c r="B977" s="29"/>
      <c r="C977" s="41"/>
      <c r="D977" s="41"/>
      <c r="E977" s="79"/>
      <c r="F977" s="82">
        <f>B977</f>
        <v>0</v>
      </c>
      <c r="G977" s="79"/>
      <c r="H977" s="81"/>
      <c r="I977" s="79"/>
      <c r="J977" s="79"/>
      <c r="K977" s="81"/>
      <c r="L977" s="80"/>
      <c r="M977" s="79"/>
    </row>
    <row r="978" spans="1:13" ht="15.75">
      <c r="A978" s="83"/>
      <c r="B978" s="29"/>
      <c r="C978" s="41"/>
      <c r="D978" s="41"/>
      <c r="E978" s="79"/>
      <c r="F978" s="82">
        <f>B978</f>
        <v>0</v>
      </c>
      <c r="G978" s="79"/>
      <c r="H978" s="81"/>
      <c r="I978" s="79"/>
      <c r="J978" s="79"/>
      <c r="K978" s="81"/>
      <c r="L978" s="80"/>
      <c r="M978" s="79"/>
    </row>
    <row r="979" spans="1:13" ht="15.75">
      <c r="A979" s="83"/>
      <c r="B979" s="29"/>
      <c r="C979" s="41"/>
      <c r="D979" s="41"/>
      <c r="E979" s="79"/>
      <c r="F979" s="82">
        <f>B979</f>
        <v>0</v>
      </c>
      <c r="G979" s="79"/>
      <c r="H979" s="81"/>
      <c r="I979" s="79"/>
      <c r="J979" s="79"/>
      <c r="K979" s="81"/>
      <c r="L979" s="80"/>
      <c r="M979" s="79"/>
    </row>
    <row r="980" spans="1:13" ht="15.75">
      <c r="A980" s="83"/>
      <c r="B980" s="29"/>
      <c r="C980" s="41"/>
      <c r="D980" s="41"/>
      <c r="E980" s="79"/>
      <c r="F980" s="82">
        <f>B980</f>
        <v>0</v>
      </c>
      <c r="G980" s="79"/>
      <c r="H980" s="81"/>
      <c r="I980" s="79"/>
      <c r="J980" s="79"/>
      <c r="K980" s="81"/>
      <c r="L980" s="80"/>
      <c r="M980" s="79"/>
    </row>
    <row r="981" spans="1:13" ht="15.75">
      <c r="A981" s="83"/>
      <c r="B981" s="29"/>
      <c r="C981" s="41"/>
      <c r="D981" s="41"/>
      <c r="E981" s="79"/>
      <c r="F981" s="82">
        <f>B981</f>
        <v>0</v>
      </c>
      <c r="G981" s="79"/>
      <c r="H981" s="81"/>
      <c r="I981" s="79"/>
      <c r="J981" s="79"/>
      <c r="K981" s="81"/>
      <c r="L981" s="80"/>
      <c r="M981" s="79"/>
    </row>
    <row r="982" spans="1:13" ht="15.75">
      <c r="A982" s="83"/>
      <c r="B982" s="29"/>
      <c r="C982" s="41"/>
      <c r="D982" s="41"/>
      <c r="E982" s="79"/>
      <c r="F982" s="82">
        <f>B982</f>
        <v>0</v>
      </c>
      <c r="G982" s="79"/>
      <c r="H982" s="81"/>
      <c r="I982" s="79"/>
      <c r="J982" s="79"/>
      <c r="K982" s="81"/>
      <c r="L982" s="80"/>
      <c r="M982" s="79"/>
    </row>
    <row r="983" spans="1:13" ht="15.75">
      <c r="A983" s="83"/>
      <c r="B983" s="29"/>
      <c r="C983" s="41"/>
      <c r="D983" s="41"/>
      <c r="E983" s="79"/>
      <c r="F983" s="82">
        <f>B983</f>
        <v>0</v>
      </c>
      <c r="G983" s="79"/>
      <c r="H983" s="81"/>
      <c r="I983" s="79"/>
      <c r="J983" s="79"/>
      <c r="K983" s="81"/>
      <c r="L983" s="80"/>
      <c r="M983" s="79"/>
    </row>
    <row r="984" spans="1:13" ht="15.75">
      <c r="A984" s="83"/>
      <c r="B984" s="29"/>
      <c r="C984" s="41"/>
      <c r="D984" s="41"/>
      <c r="E984" s="79"/>
      <c r="F984" s="82">
        <f>B984</f>
        <v>0</v>
      </c>
      <c r="G984" s="79"/>
      <c r="H984" s="81"/>
      <c r="I984" s="79"/>
      <c r="J984" s="79"/>
      <c r="K984" s="81"/>
      <c r="L984" s="80"/>
      <c r="M984" s="79"/>
    </row>
    <row r="985" spans="1:13" ht="15.75">
      <c r="A985" s="83"/>
      <c r="B985" s="29"/>
      <c r="C985" s="41"/>
      <c r="D985" s="41"/>
      <c r="E985" s="79"/>
      <c r="F985" s="82">
        <f>B985</f>
        <v>0</v>
      </c>
      <c r="G985" s="79"/>
      <c r="H985" s="81"/>
      <c r="I985" s="79"/>
      <c r="J985" s="79"/>
      <c r="K985" s="81"/>
      <c r="L985" s="80"/>
      <c r="M985" s="79"/>
    </row>
    <row r="986" spans="1:13" ht="15.75">
      <c r="A986" s="83"/>
      <c r="B986" s="29"/>
      <c r="C986" s="41"/>
      <c r="D986" s="41"/>
      <c r="E986" s="79"/>
      <c r="F986" s="82">
        <f>B986</f>
        <v>0</v>
      </c>
      <c r="G986" s="79"/>
      <c r="H986" s="81"/>
      <c r="I986" s="79"/>
      <c r="J986" s="79"/>
      <c r="K986" s="81"/>
      <c r="L986" s="80"/>
      <c r="M986" s="79"/>
    </row>
    <row r="987" spans="1:13" ht="15.75">
      <c r="A987" s="83"/>
      <c r="B987" s="29"/>
      <c r="C987" s="41"/>
      <c r="D987" s="41"/>
      <c r="E987" s="79"/>
      <c r="F987" s="82">
        <f>B987</f>
        <v>0</v>
      </c>
      <c r="G987" s="79"/>
      <c r="H987" s="81"/>
      <c r="I987" s="79"/>
      <c r="J987" s="79"/>
      <c r="K987" s="81"/>
      <c r="L987" s="80"/>
      <c r="M987" s="79"/>
    </row>
    <row r="988" spans="1:13" ht="15.75">
      <c r="A988" s="83"/>
      <c r="B988" s="29"/>
      <c r="C988" s="41"/>
      <c r="D988" s="41"/>
      <c r="E988" s="79"/>
      <c r="F988" s="82">
        <f>B988</f>
        <v>0</v>
      </c>
      <c r="G988" s="79"/>
      <c r="H988" s="81"/>
      <c r="I988" s="79"/>
      <c r="J988" s="79"/>
      <c r="K988" s="81"/>
      <c r="L988" s="80"/>
      <c r="M988" s="79"/>
    </row>
    <row r="989" spans="1:13" ht="15.75">
      <c r="A989" s="83"/>
      <c r="B989" s="29"/>
      <c r="C989" s="41"/>
      <c r="D989" s="41"/>
      <c r="E989" s="79"/>
      <c r="F989" s="82">
        <f>B989</f>
        <v>0</v>
      </c>
      <c r="G989" s="79"/>
      <c r="H989" s="81"/>
      <c r="I989" s="79"/>
      <c r="J989" s="79"/>
      <c r="K989" s="81"/>
      <c r="L989" s="80"/>
      <c r="M989" s="79"/>
    </row>
    <row r="990" spans="1:13" ht="15.75">
      <c r="A990" s="83"/>
      <c r="B990" s="29"/>
      <c r="C990" s="41"/>
      <c r="D990" s="41"/>
      <c r="E990" s="79"/>
      <c r="F990" s="82">
        <f>B990</f>
        <v>0</v>
      </c>
      <c r="G990" s="79"/>
      <c r="H990" s="81"/>
      <c r="I990" s="79"/>
      <c r="J990" s="79"/>
      <c r="K990" s="81"/>
      <c r="L990" s="80"/>
      <c r="M990" s="79"/>
    </row>
    <row r="991" spans="1:13" ht="15.75">
      <c r="A991" s="83"/>
      <c r="B991" s="29"/>
      <c r="C991" s="41"/>
      <c r="D991" s="41"/>
      <c r="E991" s="79"/>
      <c r="F991" s="82">
        <f>B991</f>
        <v>0</v>
      </c>
      <c r="G991" s="79"/>
      <c r="H991" s="81"/>
      <c r="I991" s="79"/>
      <c r="J991" s="79"/>
      <c r="K991" s="81"/>
      <c r="L991" s="80"/>
      <c r="M991" s="79"/>
    </row>
    <row r="992" spans="1:13" ht="15.75">
      <c r="A992" s="83"/>
      <c r="B992" s="29"/>
      <c r="C992" s="41"/>
      <c r="D992" s="41"/>
      <c r="E992" s="79"/>
      <c r="F992" s="82">
        <f>B992</f>
        <v>0</v>
      </c>
      <c r="G992" s="79"/>
      <c r="H992" s="81"/>
      <c r="I992" s="79"/>
      <c r="J992" s="79"/>
      <c r="K992" s="81"/>
      <c r="L992" s="80"/>
      <c r="M992" s="79"/>
    </row>
    <row r="993" spans="1:13" ht="15.75">
      <c r="A993" s="83"/>
      <c r="B993" s="29"/>
      <c r="C993" s="41"/>
      <c r="D993" s="41"/>
      <c r="E993" s="79"/>
      <c r="F993" s="82">
        <f>B993</f>
        <v>0</v>
      </c>
      <c r="G993" s="79"/>
      <c r="H993" s="81"/>
      <c r="I993" s="79"/>
      <c r="J993" s="79"/>
      <c r="K993" s="81"/>
      <c r="L993" s="80"/>
      <c r="M993" s="79"/>
    </row>
    <row r="994" spans="1:13" ht="15.75">
      <c r="A994" s="83"/>
      <c r="B994" s="29"/>
      <c r="C994" s="41"/>
      <c r="D994" s="41"/>
      <c r="E994" s="79"/>
      <c r="F994" s="82">
        <f>B994</f>
        <v>0</v>
      </c>
      <c r="G994" s="79"/>
      <c r="H994" s="81"/>
      <c r="I994" s="79"/>
      <c r="J994" s="79"/>
      <c r="K994" s="81"/>
      <c r="L994" s="80"/>
      <c r="M994" s="79"/>
    </row>
    <row r="995" spans="1:13" ht="15.75">
      <c r="A995" s="83"/>
      <c r="B995" s="29"/>
      <c r="C995" s="41"/>
      <c r="D995" s="41"/>
      <c r="E995" s="79"/>
      <c r="F995" s="82">
        <f>B995</f>
        <v>0</v>
      </c>
      <c r="G995" s="79"/>
      <c r="H995" s="81"/>
      <c r="I995" s="79"/>
      <c r="J995" s="79"/>
      <c r="K995" s="81"/>
      <c r="L995" s="80"/>
      <c r="M995" s="79"/>
    </row>
    <row r="996" spans="1:13" ht="15.75">
      <c r="A996" s="83"/>
      <c r="B996" s="29"/>
      <c r="C996" s="41"/>
      <c r="D996" s="41"/>
      <c r="E996" s="79"/>
      <c r="F996" s="82">
        <f>B996</f>
        <v>0</v>
      </c>
      <c r="G996" s="79"/>
      <c r="H996" s="81"/>
      <c r="I996" s="79"/>
      <c r="J996" s="79"/>
      <c r="K996" s="81"/>
      <c r="L996" s="80"/>
      <c r="M996" s="79"/>
    </row>
    <row r="997" spans="1:13" ht="15.75">
      <c r="A997" s="83"/>
      <c r="B997" s="29"/>
      <c r="C997" s="41"/>
      <c r="D997" s="41"/>
      <c r="E997" s="79"/>
      <c r="F997" s="82">
        <f>B997</f>
        <v>0</v>
      </c>
      <c r="G997" s="79"/>
      <c r="H997" s="81"/>
      <c r="I997" s="79"/>
      <c r="J997" s="79"/>
      <c r="K997" s="81"/>
      <c r="L997" s="80"/>
      <c r="M997" s="79"/>
    </row>
    <row r="998" spans="1:13" ht="15.75">
      <c r="A998" s="83"/>
      <c r="B998" s="29"/>
      <c r="C998" s="41"/>
      <c r="D998" s="41"/>
      <c r="E998" s="79"/>
      <c r="F998" s="82">
        <f>B998</f>
        <v>0</v>
      </c>
      <c r="G998" s="79"/>
      <c r="H998" s="81"/>
      <c r="I998" s="79"/>
      <c r="J998" s="79"/>
      <c r="K998" s="81"/>
      <c r="L998" s="80"/>
      <c r="M998" s="79"/>
    </row>
    <row r="999" spans="1:13" ht="15.75">
      <c r="A999" s="83"/>
      <c r="B999" s="29"/>
      <c r="C999" s="41"/>
      <c r="D999" s="41"/>
      <c r="E999" s="79"/>
      <c r="F999" s="82">
        <f>B999</f>
        <v>0</v>
      </c>
      <c r="G999" s="79"/>
      <c r="H999" s="81"/>
      <c r="I999" s="79"/>
      <c r="J999" s="79"/>
      <c r="K999" s="81"/>
      <c r="L999" s="80"/>
      <c r="M999" s="79"/>
    </row>
    <row r="1000" spans="1:13" ht="15.75">
      <c r="A1000" s="83"/>
      <c r="B1000" s="29"/>
      <c r="C1000" s="41"/>
      <c r="D1000" s="41"/>
      <c r="E1000" s="79"/>
      <c r="F1000" s="82">
        <f>B1000</f>
        <v>0</v>
      </c>
      <c r="G1000" s="79"/>
      <c r="H1000" s="81"/>
      <c r="I1000" s="79"/>
      <c r="J1000" s="79"/>
      <c r="K1000" s="81"/>
      <c r="L1000" s="80"/>
      <c r="M1000" s="79"/>
    </row>
    <row r="1001" spans="1:13" ht="15.75">
      <c r="A1001" s="83"/>
      <c r="B1001" s="29"/>
      <c r="C1001" s="41"/>
      <c r="D1001" s="41"/>
      <c r="E1001" s="79"/>
      <c r="F1001" s="82">
        <f>B1001</f>
        <v>0</v>
      </c>
      <c r="G1001" s="79"/>
      <c r="H1001" s="81"/>
      <c r="I1001" s="79"/>
      <c r="J1001" s="79"/>
      <c r="K1001" s="81"/>
      <c r="L1001" s="80"/>
      <c r="M1001" s="79"/>
    </row>
    <row r="1002" spans="1:13" ht="15.75">
      <c r="A1002" s="83"/>
      <c r="B1002" s="29"/>
      <c r="C1002" s="41"/>
      <c r="D1002" s="41"/>
      <c r="E1002" s="79"/>
      <c r="F1002" s="82">
        <f>B1002</f>
        <v>0</v>
      </c>
      <c r="G1002" s="79"/>
      <c r="H1002" s="81"/>
      <c r="I1002" s="79"/>
      <c r="J1002" s="79"/>
      <c r="K1002" s="81"/>
      <c r="L1002" s="80"/>
      <c r="M1002" s="79"/>
    </row>
    <row r="1003" spans="1:13" ht="15.75">
      <c r="A1003" s="83"/>
      <c r="B1003" s="29"/>
      <c r="C1003" s="41"/>
      <c r="D1003" s="41"/>
      <c r="E1003" s="79"/>
      <c r="F1003" s="82">
        <f>B1003</f>
        <v>0</v>
      </c>
      <c r="G1003" s="79"/>
      <c r="H1003" s="81"/>
      <c r="I1003" s="79"/>
      <c r="J1003" s="79"/>
      <c r="K1003" s="81"/>
      <c r="L1003" s="80"/>
      <c r="M1003" s="79"/>
    </row>
    <row r="1004" spans="1:13" ht="15.75">
      <c r="A1004" s="83"/>
      <c r="B1004" s="29"/>
      <c r="C1004" s="41"/>
      <c r="D1004" s="41"/>
      <c r="E1004" s="79"/>
      <c r="F1004" s="82">
        <f>B1004</f>
        <v>0</v>
      </c>
      <c r="G1004" s="79"/>
      <c r="H1004" s="81"/>
      <c r="I1004" s="79"/>
      <c r="J1004" s="79"/>
      <c r="K1004" s="81"/>
      <c r="L1004" s="80"/>
      <c r="M1004" s="79"/>
    </row>
    <row r="1005" spans="1:13" ht="15.75">
      <c r="A1005" s="83"/>
      <c r="B1005" s="29"/>
      <c r="C1005" s="41"/>
      <c r="D1005" s="41"/>
      <c r="E1005" s="79"/>
      <c r="F1005" s="82">
        <f>B1005</f>
        <v>0</v>
      </c>
      <c r="G1005" s="79"/>
      <c r="H1005" s="81"/>
      <c r="I1005" s="79"/>
      <c r="J1005" s="79"/>
      <c r="K1005" s="81"/>
      <c r="L1005" s="80"/>
      <c r="M1005" s="79"/>
    </row>
    <row r="1006" spans="1:13" ht="15.75">
      <c r="A1006" s="83"/>
      <c r="B1006" s="29"/>
      <c r="C1006" s="41"/>
      <c r="D1006" s="41"/>
      <c r="E1006" s="79"/>
      <c r="F1006" s="82">
        <f>B1006</f>
        <v>0</v>
      </c>
      <c r="G1006" s="79"/>
      <c r="H1006" s="81"/>
      <c r="I1006" s="79"/>
      <c r="J1006" s="79"/>
      <c r="K1006" s="81"/>
      <c r="L1006" s="80"/>
      <c r="M1006" s="79"/>
    </row>
    <row r="1007" spans="1:13" ht="15.75">
      <c r="A1007" s="83"/>
      <c r="B1007" s="29"/>
      <c r="C1007" s="41"/>
      <c r="D1007" s="41"/>
      <c r="E1007" s="79"/>
      <c r="F1007" s="82">
        <f>B1007</f>
        <v>0</v>
      </c>
      <c r="G1007" s="79"/>
      <c r="H1007" s="81"/>
      <c r="I1007" s="79"/>
      <c r="J1007" s="79"/>
      <c r="K1007" s="81"/>
      <c r="L1007" s="80"/>
      <c r="M1007" s="79"/>
    </row>
    <row r="1008" spans="1:13" ht="15.75">
      <c r="A1008" s="83"/>
      <c r="B1008" s="29"/>
      <c r="C1008" s="41"/>
      <c r="D1008" s="41"/>
      <c r="E1008" s="79"/>
      <c r="F1008" s="82">
        <f>B1008</f>
        <v>0</v>
      </c>
      <c r="G1008" s="79"/>
      <c r="H1008" s="81"/>
      <c r="I1008" s="79"/>
      <c r="J1008" s="79"/>
      <c r="K1008" s="81"/>
      <c r="L1008" s="80"/>
      <c r="M1008" s="79"/>
    </row>
    <row r="1009" spans="1:13" ht="15.75">
      <c r="A1009" s="83"/>
      <c r="B1009" s="29"/>
      <c r="C1009" s="41"/>
      <c r="D1009" s="41"/>
      <c r="E1009" s="79"/>
      <c r="F1009" s="82">
        <f>B1009</f>
        <v>0</v>
      </c>
      <c r="G1009" s="79"/>
      <c r="H1009" s="81"/>
      <c r="I1009" s="79"/>
      <c r="J1009" s="79"/>
      <c r="K1009" s="81"/>
      <c r="L1009" s="80"/>
      <c r="M1009" s="79"/>
    </row>
    <row r="1010" spans="1:13" ht="15.75">
      <c r="A1010" s="83"/>
      <c r="B1010" s="29"/>
      <c r="C1010" s="41"/>
      <c r="D1010" s="41"/>
      <c r="E1010" s="79"/>
      <c r="F1010" s="82">
        <f>B1010</f>
        <v>0</v>
      </c>
      <c r="G1010" s="79"/>
      <c r="H1010" s="81"/>
      <c r="I1010" s="79"/>
      <c r="J1010" s="79"/>
      <c r="K1010" s="81"/>
      <c r="L1010" s="80"/>
      <c r="M1010" s="79"/>
    </row>
    <row r="1011" spans="1:13" ht="15.75">
      <c r="A1011" s="83"/>
      <c r="B1011" s="29"/>
      <c r="C1011" s="41"/>
      <c r="D1011" s="41"/>
      <c r="E1011" s="79"/>
      <c r="F1011" s="82">
        <f>B1011</f>
        <v>0</v>
      </c>
      <c r="G1011" s="79"/>
      <c r="H1011" s="81"/>
      <c r="I1011" s="79"/>
      <c r="J1011" s="79"/>
      <c r="K1011" s="81"/>
      <c r="L1011" s="80"/>
      <c r="M1011" s="79"/>
    </row>
    <row r="1012" spans="1:13" ht="15.75">
      <c r="A1012" s="83"/>
      <c r="B1012" s="29"/>
      <c r="C1012" s="41"/>
      <c r="D1012" s="41"/>
      <c r="E1012" s="79"/>
      <c r="F1012" s="82">
        <f>B1012</f>
        <v>0</v>
      </c>
      <c r="G1012" s="79"/>
      <c r="H1012" s="81"/>
      <c r="I1012" s="79"/>
      <c r="J1012" s="79"/>
      <c r="K1012" s="81"/>
      <c r="L1012" s="80"/>
      <c r="M1012" s="79"/>
    </row>
    <row r="1013" spans="1:13" ht="15.75">
      <c r="A1013" s="83"/>
      <c r="B1013" s="29"/>
      <c r="C1013" s="41"/>
      <c r="D1013" s="41"/>
      <c r="E1013" s="79"/>
      <c r="F1013" s="82">
        <f>B1013</f>
        <v>0</v>
      </c>
      <c r="G1013" s="79"/>
      <c r="H1013" s="81"/>
      <c r="I1013" s="79"/>
      <c r="J1013" s="79"/>
      <c r="K1013" s="81"/>
      <c r="L1013" s="80"/>
      <c r="M1013" s="79"/>
    </row>
    <row r="1014" spans="1:13" ht="15.75">
      <c r="A1014" s="83"/>
      <c r="B1014" s="29"/>
      <c r="C1014" s="41"/>
      <c r="D1014" s="41"/>
      <c r="E1014" s="79"/>
      <c r="F1014" s="82">
        <f>B1014</f>
        <v>0</v>
      </c>
      <c r="G1014" s="79"/>
      <c r="H1014" s="81"/>
      <c r="I1014" s="79"/>
      <c r="J1014" s="79"/>
      <c r="K1014" s="81"/>
      <c r="L1014" s="80"/>
      <c r="M1014" s="79"/>
    </row>
    <row r="1015" spans="1:13" ht="15.75">
      <c r="A1015" s="83"/>
      <c r="B1015" s="29"/>
      <c r="C1015" s="41"/>
      <c r="D1015" s="41"/>
      <c r="E1015" s="79"/>
      <c r="F1015" s="82">
        <f>B1015</f>
        <v>0</v>
      </c>
      <c r="G1015" s="79"/>
      <c r="H1015" s="81"/>
      <c r="I1015" s="79"/>
      <c r="J1015" s="79"/>
      <c r="K1015" s="81"/>
      <c r="L1015" s="80"/>
      <c r="M1015" s="79"/>
    </row>
    <row r="1016" spans="1:13" ht="15.75">
      <c r="A1016" s="83"/>
      <c r="B1016" s="29"/>
      <c r="C1016" s="41"/>
      <c r="D1016" s="41"/>
      <c r="E1016" s="79"/>
      <c r="F1016" s="82">
        <f>B1016</f>
        <v>0</v>
      </c>
      <c r="G1016" s="79"/>
      <c r="H1016" s="81"/>
      <c r="I1016" s="79"/>
      <c r="J1016" s="79"/>
      <c r="K1016" s="81"/>
      <c r="L1016" s="80"/>
      <c r="M1016" s="79"/>
    </row>
    <row r="1017" spans="1:13" ht="15.75">
      <c r="A1017" s="83"/>
      <c r="B1017" s="29"/>
      <c r="C1017" s="41"/>
      <c r="D1017" s="41"/>
      <c r="E1017" s="79"/>
      <c r="F1017" s="82">
        <f>B1017</f>
        <v>0</v>
      </c>
      <c r="G1017" s="79"/>
      <c r="H1017" s="81"/>
      <c r="I1017" s="79"/>
      <c r="J1017" s="79"/>
      <c r="K1017" s="81"/>
      <c r="L1017" s="80"/>
      <c r="M1017" s="79"/>
    </row>
    <row r="1018" spans="1:13" ht="15.75">
      <c r="A1018" s="83"/>
      <c r="B1018" s="29"/>
      <c r="C1018" s="41"/>
      <c r="D1018" s="41"/>
      <c r="E1018" s="79"/>
      <c r="F1018" s="82">
        <f>B1018</f>
        <v>0</v>
      </c>
      <c r="G1018" s="79"/>
      <c r="H1018" s="81"/>
      <c r="I1018" s="79"/>
      <c r="J1018" s="79"/>
      <c r="K1018" s="81"/>
      <c r="L1018" s="80"/>
      <c r="M1018" s="79"/>
    </row>
    <row r="1019" spans="1:13" ht="15.75">
      <c r="A1019" s="83"/>
      <c r="B1019" s="29"/>
      <c r="C1019" s="41"/>
      <c r="D1019" s="41"/>
      <c r="E1019" s="79"/>
      <c r="F1019" s="82">
        <f>B1019</f>
        <v>0</v>
      </c>
      <c r="G1019" s="79"/>
      <c r="H1019" s="81"/>
      <c r="I1019" s="79"/>
      <c r="J1019" s="79"/>
      <c r="K1019" s="81"/>
      <c r="L1019" s="80"/>
      <c r="M1019" s="79"/>
    </row>
    <row r="1020" spans="1:13" ht="15.75">
      <c r="A1020" s="83"/>
      <c r="B1020" s="29"/>
      <c r="C1020" s="41"/>
      <c r="D1020" s="41"/>
      <c r="E1020" s="79"/>
      <c r="F1020" s="82">
        <f>B1020</f>
        <v>0</v>
      </c>
      <c r="G1020" s="79"/>
      <c r="H1020" s="81"/>
      <c r="I1020" s="79"/>
      <c r="J1020" s="79"/>
      <c r="K1020" s="81"/>
      <c r="L1020" s="80"/>
      <c r="M1020" s="79"/>
    </row>
    <row r="1021" spans="1:13" ht="15.75">
      <c r="A1021" s="83"/>
      <c r="B1021" s="29"/>
      <c r="C1021" s="41"/>
      <c r="D1021" s="41"/>
      <c r="E1021" s="79"/>
      <c r="F1021" s="82">
        <f>B1021</f>
        <v>0</v>
      </c>
      <c r="G1021" s="79"/>
      <c r="H1021" s="81"/>
      <c r="I1021" s="79"/>
      <c r="J1021" s="79"/>
      <c r="K1021" s="81"/>
      <c r="L1021" s="80"/>
      <c r="M1021" s="79"/>
    </row>
    <row r="1022" spans="1:13" ht="15.75">
      <c r="A1022" s="83"/>
      <c r="B1022" s="29"/>
      <c r="C1022" s="41"/>
      <c r="D1022" s="41"/>
      <c r="E1022" s="79"/>
      <c r="F1022" s="82">
        <f>B1022</f>
        <v>0</v>
      </c>
      <c r="G1022" s="79"/>
      <c r="H1022" s="81"/>
      <c r="I1022" s="79"/>
      <c r="J1022" s="79"/>
      <c r="K1022" s="81"/>
      <c r="L1022" s="80"/>
      <c r="M1022" s="79"/>
    </row>
    <row r="1023" spans="1:13" ht="15.75">
      <c r="A1023" s="83"/>
      <c r="B1023" s="29"/>
      <c r="C1023" s="41"/>
      <c r="D1023" s="41"/>
      <c r="E1023" s="79"/>
      <c r="F1023" s="82">
        <f>B1023</f>
        <v>0</v>
      </c>
      <c r="G1023" s="79"/>
      <c r="H1023" s="81"/>
      <c r="I1023" s="79"/>
      <c r="J1023" s="79"/>
      <c r="K1023" s="81"/>
      <c r="L1023" s="80"/>
      <c r="M1023" s="79"/>
    </row>
    <row r="1024" spans="1:13" ht="15.75">
      <c r="A1024" s="83"/>
      <c r="B1024" s="29"/>
      <c r="C1024" s="41"/>
      <c r="D1024" s="41"/>
      <c r="E1024" s="79"/>
      <c r="F1024" s="82">
        <f>B1024</f>
        <v>0</v>
      </c>
      <c r="G1024" s="79"/>
      <c r="H1024" s="81"/>
      <c r="I1024" s="79"/>
      <c r="J1024" s="79"/>
      <c r="K1024" s="81"/>
      <c r="L1024" s="80"/>
      <c r="M1024" s="79"/>
    </row>
    <row r="1025" spans="1:13" ht="15.75">
      <c r="A1025" s="83"/>
      <c r="B1025" s="29"/>
      <c r="C1025" s="41"/>
      <c r="D1025" s="41"/>
      <c r="E1025" s="79"/>
      <c r="F1025" s="82">
        <f>B1025</f>
        <v>0</v>
      </c>
      <c r="G1025" s="79"/>
      <c r="H1025" s="81"/>
      <c r="I1025" s="79"/>
      <c r="J1025" s="79"/>
      <c r="K1025" s="81"/>
      <c r="L1025" s="80"/>
      <c r="M1025" s="79"/>
    </row>
    <row r="1026" spans="1:13" ht="15.75">
      <c r="A1026" s="83"/>
      <c r="B1026" s="29"/>
      <c r="C1026" s="41"/>
      <c r="D1026" s="41"/>
      <c r="E1026" s="79"/>
      <c r="F1026" s="82">
        <f>B1026</f>
        <v>0</v>
      </c>
      <c r="G1026" s="79"/>
      <c r="H1026" s="81"/>
      <c r="I1026" s="79"/>
      <c r="J1026" s="79"/>
      <c r="K1026" s="81"/>
      <c r="L1026" s="80"/>
      <c r="M1026" s="79"/>
    </row>
    <row r="1027" spans="1:13" ht="15.75">
      <c r="A1027" s="83"/>
      <c r="B1027" s="29"/>
      <c r="C1027" s="41"/>
      <c r="D1027" s="41"/>
      <c r="E1027" s="79"/>
      <c r="F1027" s="82">
        <f>B1027</f>
        <v>0</v>
      </c>
      <c r="G1027" s="79"/>
      <c r="H1027" s="81"/>
      <c r="I1027" s="79"/>
      <c r="J1027" s="79"/>
      <c r="K1027" s="81"/>
      <c r="L1027" s="80"/>
      <c r="M1027" s="79"/>
    </row>
    <row r="1028" spans="1:13" ht="15.75">
      <c r="A1028" s="83"/>
      <c r="B1028" s="29"/>
      <c r="C1028" s="41"/>
      <c r="D1028" s="41"/>
      <c r="E1028" s="79"/>
      <c r="F1028" s="82">
        <f>B1028</f>
        <v>0</v>
      </c>
      <c r="G1028" s="79"/>
      <c r="H1028" s="81"/>
      <c r="I1028" s="79"/>
      <c r="J1028" s="79"/>
      <c r="K1028" s="81"/>
      <c r="L1028" s="80"/>
      <c r="M1028" s="79"/>
    </row>
    <row r="1029" spans="1:13" ht="15.75">
      <c r="A1029" s="83"/>
      <c r="B1029" s="29"/>
      <c r="C1029" s="41"/>
      <c r="D1029" s="41"/>
      <c r="E1029" s="79"/>
      <c r="F1029" s="82">
        <f>B1029</f>
        <v>0</v>
      </c>
      <c r="G1029" s="79"/>
      <c r="H1029" s="81"/>
      <c r="I1029" s="79"/>
      <c r="J1029" s="79"/>
      <c r="K1029" s="81"/>
      <c r="L1029" s="80"/>
      <c r="M1029" s="79"/>
    </row>
    <row r="1030" spans="1:13" ht="15.75">
      <c r="A1030" s="83"/>
      <c r="B1030" s="29"/>
      <c r="C1030" s="41"/>
      <c r="D1030" s="41"/>
      <c r="E1030" s="79"/>
      <c r="F1030" s="82">
        <f>B1030</f>
        <v>0</v>
      </c>
      <c r="G1030" s="79"/>
      <c r="H1030" s="81"/>
      <c r="I1030" s="79"/>
      <c r="J1030" s="79"/>
      <c r="K1030" s="81"/>
      <c r="L1030" s="80"/>
      <c r="M1030" s="79"/>
    </row>
    <row r="1031" spans="1:13" ht="15.75">
      <c r="A1031" s="83"/>
      <c r="B1031" s="29"/>
      <c r="C1031" s="41"/>
      <c r="D1031" s="41"/>
      <c r="E1031" s="79"/>
      <c r="F1031" s="82">
        <f>B1031</f>
        <v>0</v>
      </c>
      <c r="G1031" s="79"/>
      <c r="H1031" s="81"/>
      <c r="I1031" s="79"/>
      <c r="J1031" s="79"/>
      <c r="K1031" s="81"/>
      <c r="L1031" s="80"/>
      <c r="M1031" s="79"/>
    </row>
    <row r="1032" spans="1:13" ht="15.75">
      <c r="A1032" s="83"/>
      <c r="B1032" s="29"/>
      <c r="C1032" s="41"/>
      <c r="D1032" s="41"/>
      <c r="E1032" s="79"/>
      <c r="F1032" s="82">
        <f>B1032</f>
        <v>0</v>
      </c>
      <c r="G1032" s="79"/>
      <c r="H1032" s="81"/>
      <c r="I1032" s="79"/>
      <c r="J1032" s="79"/>
      <c r="K1032" s="81"/>
      <c r="L1032" s="80"/>
      <c r="M1032" s="79"/>
    </row>
    <row r="1033" spans="1:13" ht="15.75">
      <c r="A1033" s="83"/>
      <c r="B1033" s="29"/>
      <c r="C1033" s="41"/>
      <c r="D1033" s="41"/>
      <c r="E1033" s="79"/>
      <c r="F1033" s="82">
        <f>B1033</f>
        <v>0</v>
      </c>
      <c r="G1033" s="79"/>
      <c r="H1033" s="81"/>
      <c r="I1033" s="79"/>
      <c r="J1033" s="79"/>
      <c r="K1033" s="81"/>
      <c r="L1033" s="80"/>
      <c r="M1033" s="79"/>
    </row>
    <row r="1034" spans="1:13" ht="15.75">
      <c r="A1034" s="83"/>
      <c r="B1034" s="29"/>
      <c r="C1034" s="41"/>
      <c r="D1034" s="41"/>
      <c r="E1034" s="79"/>
      <c r="F1034" s="82">
        <f>B1034</f>
        <v>0</v>
      </c>
      <c r="G1034" s="79"/>
      <c r="H1034" s="81"/>
      <c r="I1034" s="79"/>
      <c r="J1034" s="79"/>
      <c r="K1034" s="81"/>
      <c r="L1034" s="80"/>
      <c r="M1034" s="79"/>
    </row>
    <row r="1035" spans="1:13" ht="15.75">
      <c r="A1035" s="83"/>
      <c r="B1035" s="29"/>
      <c r="C1035" s="41"/>
      <c r="D1035" s="41"/>
      <c r="E1035" s="79"/>
      <c r="F1035" s="82">
        <f>B1035</f>
        <v>0</v>
      </c>
      <c r="G1035" s="79"/>
      <c r="H1035" s="81"/>
      <c r="I1035" s="79"/>
      <c r="J1035" s="79"/>
      <c r="K1035" s="81"/>
      <c r="L1035" s="80"/>
      <c r="M1035" s="79"/>
    </row>
    <row r="1036" spans="1:13" ht="15.75">
      <c r="A1036" s="83"/>
      <c r="B1036" s="29"/>
      <c r="C1036" s="41"/>
      <c r="D1036" s="41"/>
      <c r="E1036" s="79"/>
      <c r="F1036" s="82">
        <f>B1036</f>
        <v>0</v>
      </c>
      <c r="G1036" s="79"/>
      <c r="H1036" s="81"/>
      <c r="I1036" s="79"/>
      <c r="J1036" s="79"/>
      <c r="K1036" s="81"/>
      <c r="L1036" s="80"/>
      <c r="M1036" s="79"/>
    </row>
    <row r="1037" spans="1:13" ht="15.75">
      <c r="A1037" s="83"/>
      <c r="B1037" s="29"/>
      <c r="C1037" s="41"/>
      <c r="D1037" s="41"/>
      <c r="E1037" s="79"/>
      <c r="F1037" s="82">
        <f>B1037</f>
        <v>0</v>
      </c>
      <c r="G1037" s="79"/>
      <c r="H1037" s="81"/>
      <c r="I1037" s="79"/>
      <c r="J1037" s="79"/>
      <c r="K1037" s="81"/>
      <c r="L1037" s="80"/>
      <c r="M1037" s="79"/>
    </row>
    <row r="1038" spans="1:13" ht="15.75">
      <c r="A1038" s="83"/>
      <c r="B1038" s="29"/>
      <c r="C1038" s="41"/>
      <c r="D1038" s="41"/>
      <c r="E1038" s="79"/>
      <c r="F1038" s="82">
        <f>B1038</f>
        <v>0</v>
      </c>
      <c r="G1038" s="79"/>
      <c r="H1038" s="81"/>
      <c r="I1038" s="79"/>
      <c r="J1038" s="79"/>
      <c r="K1038" s="81"/>
      <c r="L1038" s="80"/>
      <c r="M1038" s="79"/>
    </row>
    <row r="1039" spans="1:13" ht="15.75">
      <c r="A1039" s="83"/>
      <c r="B1039" s="29"/>
      <c r="C1039" s="41"/>
      <c r="D1039" s="41"/>
      <c r="E1039" s="79"/>
      <c r="F1039" s="82">
        <f>B1039</f>
        <v>0</v>
      </c>
      <c r="G1039" s="79"/>
      <c r="H1039" s="81"/>
      <c r="I1039" s="79"/>
      <c r="J1039" s="79"/>
      <c r="K1039" s="81"/>
      <c r="L1039" s="80"/>
      <c r="M1039" s="79"/>
    </row>
    <row r="1040" spans="1:13" ht="15.75">
      <c r="A1040" s="83"/>
      <c r="B1040" s="29"/>
      <c r="C1040" s="41"/>
      <c r="D1040" s="41"/>
      <c r="E1040" s="79"/>
      <c r="F1040" s="82">
        <f>B1040</f>
        <v>0</v>
      </c>
      <c r="G1040" s="79"/>
      <c r="H1040" s="81"/>
      <c r="I1040" s="79"/>
      <c r="J1040" s="79"/>
      <c r="K1040" s="81"/>
      <c r="L1040" s="80"/>
      <c r="M1040" s="79"/>
    </row>
    <row r="1041" spans="1:13" ht="15.75">
      <c r="A1041" s="83"/>
      <c r="B1041" s="29"/>
      <c r="C1041" s="41"/>
      <c r="D1041" s="41"/>
      <c r="E1041" s="79"/>
      <c r="F1041" s="82">
        <f>B1041</f>
        <v>0</v>
      </c>
      <c r="G1041" s="79"/>
      <c r="H1041" s="81"/>
      <c r="I1041" s="79"/>
      <c r="J1041" s="79"/>
      <c r="K1041" s="81"/>
      <c r="L1041" s="80"/>
      <c r="M1041" s="79"/>
    </row>
    <row r="1042" spans="1:13" ht="15.75">
      <c r="A1042" s="83"/>
      <c r="B1042" s="29"/>
      <c r="C1042" s="41"/>
      <c r="D1042" s="41"/>
      <c r="E1042" s="79"/>
      <c r="F1042" s="82">
        <f>B1042</f>
        <v>0</v>
      </c>
      <c r="G1042" s="79"/>
      <c r="H1042" s="81"/>
      <c r="I1042" s="79"/>
      <c r="J1042" s="79"/>
      <c r="K1042" s="81"/>
      <c r="L1042" s="80"/>
      <c r="M1042" s="79"/>
    </row>
    <row r="1043" spans="1:13" ht="15.75">
      <c r="A1043" s="83"/>
      <c r="B1043" s="29"/>
      <c r="C1043" s="41"/>
      <c r="D1043" s="41"/>
      <c r="E1043" s="79"/>
      <c r="F1043" s="82">
        <f>B1043</f>
        <v>0</v>
      </c>
      <c r="G1043" s="79"/>
      <c r="H1043" s="81"/>
      <c r="I1043" s="79"/>
      <c r="J1043" s="79"/>
      <c r="K1043" s="81"/>
      <c r="L1043" s="80"/>
      <c r="M1043" s="79"/>
    </row>
    <row r="1044" spans="1:13" ht="15.75">
      <c r="A1044" s="83"/>
      <c r="B1044" s="29"/>
      <c r="C1044" s="41"/>
      <c r="D1044" s="41"/>
      <c r="E1044" s="79"/>
      <c r="F1044" s="82">
        <f>B1044</f>
        <v>0</v>
      </c>
      <c r="G1044" s="79"/>
      <c r="H1044" s="81"/>
      <c r="I1044" s="79"/>
      <c r="J1044" s="79"/>
      <c r="K1044" s="81"/>
      <c r="L1044" s="80"/>
      <c r="M1044" s="79"/>
    </row>
    <row r="1045" spans="1:13" ht="15.75">
      <c r="A1045" s="83"/>
      <c r="B1045" s="29"/>
      <c r="C1045" s="41"/>
      <c r="D1045" s="41"/>
      <c r="E1045" s="79"/>
      <c r="F1045" s="82">
        <f>B1045</f>
        <v>0</v>
      </c>
      <c r="G1045" s="79"/>
      <c r="H1045" s="81"/>
      <c r="I1045" s="79"/>
      <c r="J1045" s="79"/>
      <c r="K1045" s="81"/>
      <c r="L1045" s="80"/>
      <c r="M1045" s="79"/>
    </row>
    <row r="1046" spans="1:13" ht="15.75">
      <c r="A1046" s="83"/>
      <c r="B1046" s="29"/>
      <c r="C1046" s="41"/>
      <c r="D1046" s="41"/>
      <c r="E1046" s="79"/>
      <c r="F1046" s="82">
        <f>B1046</f>
        <v>0</v>
      </c>
      <c r="G1046" s="79"/>
      <c r="H1046" s="81"/>
      <c r="I1046" s="79"/>
      <c r="J1046" s="79"/>
      <c r="K1046" s="81"/>
      <c r="L1046" s="80"/>
      <c r="M1046" s="79"/>
    </row>
    <row r="1047" spans="1:13" ht="15.75">
      <c r="A1047" s="83"/>
      <c r="B1047" s="29"/>
      <c r="C1047" s="41"/>
      <c r="D1047" s="41"/>
      <c r="E1047" s="79"/>
      <c r="F1047" s="82">
        <f>B1047</f>
        <v>0</v>
      </c>
      <c r="G1047" s="79"/>
      <c r="H1047" s="81"/>
      <c r="I1047" s="79"/>
      <c r="J1047" s="79"/>
      <c r="K1047" s="81"/>
      <c r="L1047" s="80"/>
      <c r="M1047" s="79"/>
    </row>
    <row r="1048" spans="1:13" ht="15.75">
      <c r="A1048" s="83"/>
      <c r="B1048" s="29"/>
      <c r="C1048" s="41"/>
      <c r="D1048" s="41"/>
      <c r="E1048" s="79"/>
      <c r="F1048" s="82">
        <f>B1048</f>
        <v>0</v>
      </c>
      <c r="G1048" s="79"/>
      <c r="H1048" s="81"/>
      <c r="I1048" s="79"/>
      <c r="J1048" s="79"/>
      <c r="K1048" s="81"/>
      <c r="L1048" s="80"/>
      <c r="M1048" s="79"/>
    </row>
    <row r="1049" spans="1:13" ht="15.75">
      <c r="A1049" s="83"/>
      <c r="B1049" s="29"/>
      <c r="C1049" s="41"/>
      <c r="D1049" s="41"/>
      <c r="E1049" s="79"/>
      <c r="F1049" s="82">
        <f>B1049</f>
        <v>0</v>
      </c>
      <c r="G1049" s="79"/>
      <c r="H1049" s="81"/>
      <c r="I1049" s="79"/>
      <c r="J1049" s="79"/>
      <c r="K1049" s="81"/>
      <c r="L1049" s="80"/>
      <c r="M1049" s="79"/>
    </row>
    <row r="1050" spans="1:13" ht="15.75">
      <c r="A1050" s="83"/>
      <c r="B1050" s="29"/>
      <c r="C1050" s="41"/>
      <c r="D1050" s="41"/>
      <c r="E1050" s="79"/>
      <c r="F1050" s="82">
        <f>B1050</f>
        <v>0</v>
      </c>
      <c r="G1050" s="79"/>
      <c r="H1050" s="81"/>
      <c r="I1050" s="79"/>
      <c r="J1050" s="79"/>
      <c r="K1050" s="81"/>
      <c r="L1050" s="80"/>
      <c r="M1050" s="79"/>
    </row>
    <row r="1051" spans="1:13" ht="15.75">
      <c r="A1051" s="83"/>
      <c r="B1051" s="29"/>
      <c r="C1051" s="41"/>
      <c r="D1051" s="41"/>
      <c r="E1051" s="79"/>
      <c r="F1051" s="82">
        <f>B1051</f>
        <v>0</v>
      </c>
      <c r="G1051" s="79"/>
      <c r="H1051" s="81"/>
      <c r="I1051" s="79"/>
      <c r="J1051" s="79"/>
      <c r="K1051" s="81"/>
      <c r="L1051" s="80"/>
      <c r="M1051" s="79"/>
    </row>
    <row r="1052" spans="1:13" ht="15.75">
      <c r="A1052" s="83"/>
      <c r="B1052" s="29"/>
      <c r="C1052" s="41"/>
      <c r="D1052" s="41"/>
      <c r="E1052" s="79"/>
      <c r="F1052" s="82">
        <f>B1052</f>
        <v>0</v>
      </c>
      <c r="G1052" s="79"/>
      <c r="H1052" s="81"/>
      <c r="I1052" s="79"/>
      <c r="J1052" s="79"/>
      <c r="K1052" s="81"/>
      <c r="L1052" s="80"/>
      <c r="M1052" s="79"/>
    </row>
    <row r="1053" spans="1:13" ht="15.75">
      <c r="A1053" s="83"/>
      <c r="B1053" s="29"/>
      <c r="C1053" s="41"/>
      <c r="D1053" s="41"/>
      <c r="E1053" s="79"/>
      <c r="F1053" s="82">
        <f>B1053</f>
        <v>0</v>
      </c>
      <c r="G1053" s="79"/>
      <c r="H1053" s="81"/>
      <c r="I1053" s="79"/>
      <c r="J1053" s="79"/>
      <c r="K1053" s="81"/>
      <c r="L1053" s="80"/>
      <c r="M1053" s="79"/>
    </row>
    <row r="1054" spans="1:13" ht="15.75">
      <c r="A1054" s="83"/>
      <c r="B1054" s="29"/>
      <c r="C1054" s="41"/>
      <c r="D1054" s="41"/>
      <c r="E1054" s="79"/>
      <c r="F1054" s="82">
        <f>B1054</f>
        <v>0</v>
      </c>
      <c r="G1054" s="79"/>
      <c r="H1054" s="81"/>
      <c r="I1054" s="79"/>
      <c r="J1054" s="79"/>
      <c r="K1054" s="81"/>
      <c r="L1054" s="80"/>
      <c r="M1054" s="79"/>
    </row>
    <row r="1055" spans="1:13" ht="15.75">
      <c r="A1055" s="83"/>
      <c r="B1055" s="29"/>
      <c r="C1055" s="41"/>
      <c r="D1055" s="41"/>
      <c r="E1055" s="79"/>
      <c r="F1055" s="82">
        <f>B1055</f>
        <v>0</v>
      </c>
      <c r="G1055" s="79"/>
      <c r="H1055" s="81"/>
      <c r="I1055" s="79"/>
      <c r="J1055" s="79"/>
      <c r="K1055" s="81"/>
      <c r="L1055" s="80"/>
      <c r="M1055" s="79"/>
    </row>
    <row r="1056" spans="1:13" ht="15.75">
      <c r="A1056" s="83"/>
      <c r="B1056" s="29"/>
      <c r="C1056" s="41"/>
      <c r="D1056" s="41"/>
      <c r="E1056" s="79"/>
      <c r="F1056" s="82">
        <f>B1056</f>
        <v>0</v>
      </c>
      <c r="G1056" s="79"/>
      <c r="H1056" s="81"/>
      <c r="I1056" s="79"/>
      <c r="J1056" s="79"/>
      <c r="K1056" s="81"/>
      <c r="L1056" s="80"/>
      <c r="M1056" s="79"/>
    </row>
    <row r="1057" spans="1:13" ht="15.75">
      <c r="A1057" s="83"/>
      <c r="B1057" s="29"/>
      <c r="C1057" s="41"/>
      <c r="D1057" s="41"/>
      <c r="E1057" s="79"/>
      <c r="F1057" s="82">
        <f>B1057</f>
        <v>0</v>
      </c>
      <c r="G1057" s="79"/>
      <c r="H1057" s="81"/>
      <c r="I1057" s="79"/>
      <c r="J1057" s="79"/>
      <c r="K1057" s="81"/>
      <c r="L1057" s="80"/>
      <c r="M1057" s="79"/>
    </row>
    <row r="1058" spans="1:13" ht="15.75">
      <c r="A1058" s="83"/>
      <c r="B1058" s="29"/>
      <c r="C1058" s="41"/>
      <c r="D1058" s="41"/>
      <c r="E1058" s="79"/>
      <c r="F1058" s="82">
        <f>B1058</f>
        <v>0</v>
      </c>
      <c r="G1058" s="79"/>
      <c r="H1058" s="81"/>
      <c r="I1058" s="79"/>
      <c r="J1058" s="79"/>
      <c r="K1058" s="81"/>
      <c r="L1058" s="80"/>
      <c r="M1058" s="79"/>
    </row>
    <row r="1059" spans="1:13" ht="15.75">
      <c r="A1059" s="83"/>
      <c r="B1059" s="29"/>
      <c r="C1059" s="41"/>
      <c r="D1059" s="41"/>
      <c r="E1059" s="79"/>
      <c r="F1059" s="82">
        <f>B1059</f>
        <v>0</v>
      </c>
      <c r="G1059" s="79"/>
      <c r="H1059" s="81"/>
      <c r="I1059" s="79"/>
      <c r="J1059" s="79"/>
      <c r="K1059" s="81"/>
      <c r="L1059" s="80"/>
      <c r="M1059" s="79"/>
    </row>
    <row r="1060" spans="1:13" ht="15.75">
      <c r="A1060" s="83"/>
      <c r="B1060" s="29"/>
      <c r="C1060" s="41"/>
      <c r="D1060" s="41"/>
      <c r="E1060" s="79"/>
      <c r="F1060" s="82">
        <f>B1060</f>
        <v>0</v>
      </c>
      <c r="G1060" s="79"/>
      <c r="H1060" s="81"/>
      <c r="I1060" s="79"/>
      <c r="J1060" s="79"/>
      <c r="K1060" s="81"/>
      <c r="L1060" s="80"/>
      <c r="M1060" s="79"/>
    </row>
    <row r="1061" spans="1:13" ht="15.75">
      <c r="A1061" s="83"/>
      <c r="B1061" s="29"/>
      <c r="C1061" s="41"/>
      <c r="D1061" s="41"/>
      <c r="E1061" s="79"/>
      <c r="F1061" s="82">
        <f>B1061</f>
        <v>0</v>
      </c>
      <c r="G1061" s="79"/>
      <c r="H1061" s="81"/>
      <c r="I1061" s="79"/>
      <c r="J1061" s="79"/>
      <c r="K1061" s="81"/>
      <c r="L1061" s="80"/>
      <c r="M1061" s="79"/>
    </row>
    <row r="1062" spans="1:13" ht="15.75">
      <c r="A1062" s="83"/>
      <c r="B1062" s="29"/>
      <c r="C1062" s="41"/>
      <c r="D1062" s="41"/>
      <c r="E1062" s="79"/>
      <c r="F1062" s="82">
        <f>B1062</f>
        <v>0</v>
      </c>
      <c r="G1062" s="79"/>
      <c r="H1062" s="81"/>
      <c r="I1062" s="79"/>
      <c r="J1062" s="79"/>
      <c r="K1062" s="81"/>
      <c r="L1062" s="80"/>
      <c r="M1062" s="79"/>
    </row>
    <row r="1063" spans="1:13" ht="15.75">
      <c r="A1063" s="83"/>
      <c r="B1063" s="29"/>
      <c r="C1063" s="41"/>
      <c r="D1063" s="41"/>
      <c r="E1063" s="79"/>
      <c r="F1063" s="82">
        <f>B1063</f>
        <v>0</v>
      </c>
      <c r="G1063" s="79"/>
      <c r="H1063" s="81"/>
      <c r="I1063" s="79"/>
      <c r="J1063" s="79"/>
      <c r="K1063" s="81"/>
      <c r="L1063" s="80"/>
      <c r="M1063" s="79"/>
    </row>
    <row r="1064" spans="1:13" ht="15.75">
      <c r="A1064" s="83"/>
      <c r="B1064" s="29"/>
      <c r="C1064" s="41"/>
      <c r="D1064" s="41"/>
      <c r="E1064" s="79"/>
      <c r="F1064" s="82">
        <f>B1064</f>
        <v>0</v>
      </c>
      <c r="G1064" s="79"/>
      <c r="H1064" s="81"/>
      <c r="I1064" s="79"/>
      <c r="J1064" s="79"/>
      <c r="K1064" s="81"/>
      <c r="L1064" s="80"/>
      <c r="M1064" s="79"/>
    </row>
    <row r="1065" spans="1:13" ht="15.75">
      <c r="A1065" s="83"/>
      <c r="B1065" s="29"/>
      <c r="C1065" s="41"/>
      <c r="D1065" s="41"/>
      <c r="E1065" s="79"/>
      <c r="F1065" s="82">
        <f>B1065</f>
        <v>0</v>
      </c>
      <c r="G1065" s="79"/>
      <c r="H1065" s="81"/>
      <c r="I1065" s="79"/>
      <c r="J1065" s="79"/>
      <c r="K1065" s="81"/>
      <c r="L1065" s="80"/>
      <c r="M1065" s="79"/>
    </row>
    <row r="1066" spans="1:13" ht="15.75">
      <c r="A1066" s="83"/>
      <c r="B1066" s="29"/>
      <c r="C1066" s="41"/>
      <c r="D1066" s="41"/>
      <c r="E1066" s="79"/>
      <c r="F1066" s="82">
        <f>B1066</f>
        <v>0</v>
      </c>
      <c r="G1066" s="79"/>
      <c r="H1066" s="81"/>
      <c r="I1066" s="79"/>
      <c r="J1066" s="79"/>
      <c r="K1066" s="81"/>
      <c r="L1066" s="80"/>
      <c r="M1066" s="79"/>
    </row>
    <row r="1067" spans="1:13" ht="15.75">
      <c r="A1067" s="83"/>
      <c r="B1067" s="29"/>
      <c r="C1067" s="41"/>
      <c r="D1067" s="41"/>
      <c r="E1067" s="79"/>
      <c r="F1067" s="82">
        <f>B1067</f>
        <v>0</v>
      </c>
      <c r="G1067" s="79"/>
      <c r="H1067" s="81"/>
      <c r="I1067" s="79"/>
      <c r="J1067" s="79"/>
      <c r="K1067" s="81"/>
      <c r="L1067" s="80"/>
      <c r="M1067" s="79"/>
    </row>
    <row r="1068" spans="1:13" ht="15.75">
      <c r="A1068" s="83"/>
      <c r="B1068" s="29"/>
      <c r="C1068" s="41"/>
      <c r="D1068" s="41"/>
      <c r="E1068" s="79"/>
      <c r="F1068" s="82">
        <f>B1068</f>
        <v>0</v>
      </c>
      <c r="G1068" s="79"/>
      <c r="H1068" s="81"/>
      <c r="I1068" s="79"/>
      <c r="J1068" s="79"/>
      <c r="K1068" s="81"/>
      <c r="L1068" s="80"/>
      <c r="M1068" s="79"/>
    </row>
    <row r="1069" spans="1:13" ht="15.75">
      <c r="A1069" s="83"/>
      <c r="B1069" s="29"/>
      <c r="C1069" s="41"/>
      <c r="D1069" s="41"/>
      <c r="E1069" s="79"/>
      <c r="F1069" s="82">
        <f>B1069</f>
        <v>0</v>
      </c>
      <c r="G1069" s="79"/>
      <c r="H1069" s="81"/>
      <c r="I1069" s="79"/>
      <c r="J1069" s="79"/>
      <c r="K1069" s="81"/>
      <c r="L1069" s="80"/>
      <c r="M1069" s="79"/>
    </row>
    <row r="1070" spans="1:13" ht="15.75">
      <c r="A1070" s="83"/>
      <c r="B1070" s="29"/>
      <c r="C1070" s="41"/>
      <c r="D1070" s="41"/>
      <c r="E1070" s="79"/>
      <c r="F1070" s="82">
        <f>B1070</f>
        <v>0</v>
      </c>
      <c r="G1070" s="79"/>
      <c r="H1070" s="81"/>
      <c r="I1070" s="79"/>
      <c r="J1070" s="79"/>
      <c r="K1070" s="81"/>
      <c r="L1070" s="80"/>
      <c r="M1070" s="79"/>
    </row>
    <row r="1071" spans="1:13" ht="15.75">
      <c r="A1071" s="83"/>
      <c r="B1071" s="29"/>
      <c r="C1071" s="41"/>
      <c r="D1071" s="41"/>
      <c r="E1071" s="79"/>
      <c r="F1071" s="82">
        <f>B1071</f>
        <v>0</v>
      </c>
      <c r="G1071" s="79"/>
      <c r="H1071" s="81"/>
      <c r="I1071" s="79"/>
      <c r="J1071" s="79"/>
      <c r="K1071" s="81"/>
      <c r="L1071" s="80"/>
      <c r="M1071" s="79"/>
    </row>
    <row r="1072" spans="1:13" ht="15.75">
      <c r="A1072" s="83"/>
      <c r="B1072" s="29"/>
      <c r="C1072" s="41"/>
      <c r="D1072" s="41"/>
      <c r="E1072" s="79"/>
      <c r="F1072" s="82">
        <f>B1072</f>
        <v>0</v>
      </c>
      <c r="G1072" s="79"/>
      <c r="H1072" s="81"/>
      <c r="I1072" s="79"/>
      <c r="J1072" s="79"/>
      <c r="K1072" s="81"/>
      <c r="L1072" s="80"/>
      <c r="M1072" s="79"/>
    </row>
    <row r="1073" spans="1:13" ht="15.75">
      <c r="A1073" s="83"/>
      <c r="B1073" s="29"/>
      <c r="C1073" s="41"/>
      <c r="D1073" s="41"/>
      <c r="E1073" s="79"/>
      <c r="F1073" s="82">
        <f>B1073</f>
        <v>0</v>
      </c>
      <c r="G1073" s="79"/>
      <c r="H1073" s="81"/>
      <c r="I1073" s="79"/>
      <c r="J1073" s="79"/>
      <c r="K1073" s="81"/>
      <c r="L1073" s="80"/>
      <c r="M1073" s="79"/>
    </row>
    <row r="1074" spans="1:13" ht="15.75">
      <c r="A1074" s="83"/>
      <c r="B1074" s="29"/>
      <c r="C1074" s="41"/>
      <c r="D1074" s="41"/>
      <c r="E1074" s="79"/>
      <c r="F1074" s="82">
        <f>B1074</f>
        <v>0</v>
      </c>
      <c r="G1074" s="79"/>
      <c r="H1074" s="81"/>
      <c r="I1074" s="79"/>
      <c r="J1074" s="79"/>
      <c r="K1074" s="81"/>
      <c r="L1074" s="80"/>
      <c r="M1074" s="79"/>
    </row>
    <row r="1075" spans="1:13" ht="15.75">
      <c r="A1075" s="83"/>
      <c r="B1075" s="29"/>
      <c r="C1075" s="41"/>
      <c r="D1075" s="41"/>
      <c r="E1075" s="79"/>
      <c r="F1075" s="82">
        <f>B1075</f>
        <v>0</v>
      </c>
      <c r="G1075" s="79"/>
      <c r="H1075" s="81"/>
      <c r="I1075" s="79"/>
      <c r="J1075" s="79"/>
      <c r="K1075" s="81"/>
      <c r="L1075" s="80"/>
      <c r="M1075" s="79"/>
    </row>
    <row r="1076" spans="1:13" ht="15.75">
      <c r="A1076" s="83"/>
      <c r="B1076" s="29"/>
      <c r="C1076" s="41"/>
      <c r="D1076" s="41"/>
      <c r="E1076" s="79"/>
      <c r="F1076" s="82">
        <f>B1076</f>
        <v>0</v>
      </c>
      <c r="G1076" s="79"/>
      <c r="H1076" s="81"/>
      <c r="I1076" s="79"/>
      <c r="J1076" s="79"/>
      <c r="K1076" s="81"/>
      <c r="L1076" s="80"/>
      <c r="M1076" s="79"/>
    </row>
    <row r="1077" spans="1:13" ht="15.75">
      <c r="A1077" s="83"/>
      <c r="B1077" s="29"/>
      <c r="C1077" s="41"/>
      <c r="D1077" s="41"/>
      <c r="E1077" s="79"/>
      <c r="F1077" s="82">
        <f>B1077</f>
        <v>0</v>
      </c>
      <c r="G1077" s="79"/>
      <c r="H1077" s="81"/>
      <c r="I1077" s="79"/>
      <c r="J1077" s="79"/>
      <c r="K1077" s="81"/>
      <c r="L1077" s="80"/>
      <c r="M1077" s="79"/>
    </row>
    <row r="1078" spans="1:13" ht="15.75">
      <c r="A1078" s="83"/>
      <c r="B1078" s="29"/>
      <c r="C1078" s="41"/>
      <c r="D1078" s="41"/>
      <c r="E1078" s="79"/>
      <c r="F1078" s="82">
        <f>B1078</f>
        <v>0</v>
      </c>
      <c r="G1078" s="79"/>
      <c r="H1078" s="81"/>
      <c r="I1078" s="79"/>
      <c r="J1078" s="79"/>
      <c r="K1078" s="81"/>
      <c r="L1078" s="80"/>
      <c r="M1078" s="79"/>
    </row>
    <row r="1079" spans="1:13" ht="15.75">
      <c r="A1079" s="83"/>
      <c r="B1079" s="29"/>
      <c r="C1079" s="41"/>
      <c r="D1079" s="41"/>
      <c r="E1079" s="79"/>
      <c r="F1079" s="82">
        <f>B1079</f>
        <v>0</v>
      </c>
      <c r="G1079" s="79"/>
      <c r="H1079" s="81"/>
      <c r="I1079" s="79"/>
      <c r="J1079" s="79"/>
      <c r="K1079" s="81"/>
      <c r="L1079" s="80"/>
      <c r="M1079" s="79"/>
    </row>
    <row r="1080" spans="1:13" ht="15.75">
      <c r="A1080" s="83"/>
      <c r="B1080" s="29"/>
      <c r="C1080" s="41"/>
      <c r="D1080" s="41"/>
      <c r="E1080" s="79"/>
      <c r="F1080" s="82">
        <f>B1080</f>
        <v>0</v>
      </c>
      <c r="G1080" s="79"/>
      <c r="H1080" s="81"/>
      <c r="I1080" s="79"/>
      <c r="J1080" s="79"/>
      <c r="K1080" s="81"/>
      <c r="L1080" s="80"/>
      <c r="M1080" s="79"/>
    </row>
    <row r="1081" spans="1:13" ht="15.75">
      <c r="A1081" s="83"/>
      <c r="B1081" s="29"/>
      <c r="C1081" s="41"/>
      <c r="D1081" s="41"/>
      <c r="E1081" s="79"/>
      <c r="F1081" s="82">
        <f>B1081</f>
        <v>0</v>
      </c>
      <c r="G1081" s="79"/>
      <c r="H1081" s="81"/>
      <c r="I1081" s="79"/>
      <c r="J1081" s="79"/>
      <c r="K1081" s="81"/>
      <c r="L1081" s="80"/>
      <c r="M1081" s="79"/>
    </row>
    <row r="1082" spans="1:13" ht="15.75">
      <c r="A1082" s="83"/>
      <c r="B1082" s="29"/>
      <c r="C1082" s="41"/>
      <c r="D1082" s="41"/>
      <c r="E1082" s="79"/>
      <c r="F1082" s="82">
        <f>B1082</f>
        <v>0</v>
      </c>
      <c r="G1082" s="79"/>
      <c r="H1082" s="81"/>
      <c r="I1082" s="79"/>
      <c r="J1082" s="79"/>
      <c r="K1082" s="81"/>
      <c r="L1082" s="80"/>
      <c r="M1082" s="79"/>
    </row>
    <row r="1083" spans="1:13" ht="15.75">
      <c r="A1083" s="83"/>
      <c r="B1083" s="29"/>
      <c r="C1083" s="41"/>
      <c r="D1083" s="41"/>
      <c r="E1083" s="79"/>
      <c r="F1083" s="82">
        <f>B1083</f>
        <v>0</v>
      </c>
      <c r="G1083" s="79"/>
      <c r="H1083" s="81"/>
      <c r="I1083" s="79"/>
      <c r="J1083" s="79"/>
      <c r="K1083" s="81"/>
      <c r="L1083" s="80"/>
      <c r="M1083" s="79"/>
    </row>
    <row r="1084" spans="1:13" ht="15.75">
      <c r="A1084" s="83"/>
      <c r="B1084" s="29"/>
      <c r="C1084" s="41"/>
      <c r="D1084" s="41"/>
      <c r="E1084" s="79"/>
      <c r="F1084" s="82">
        <f>B1084</f>
        <v>0</v>
      </c>
      <c r="G1084" s="79"/>
      <c r="H1084" s="81"/>
      <c r="I1084" s="79"/>
      <c r="J1084" s="79"/>
      <c r="K1084" s="81"/>
      <c r="L1084" s="80"/>
      <c r="M1084" s="79"/>
    </row>
    <row r="1085" spans="1:13" ht="15.75">
      <c r="A1085" s="83"/>
      <c r="B1085" s="29"/>
      <c r="C1085" s="41"/>
      <c r="D1085" s="41"/>
      <c r="E1085" s="79"/>
      <c r="F1085" s="82">
        <f>B1085</f>
        <v>0</v>
      </c>
      <c r="G1085" s="79"/>
      <c r="H1085" s="81"/>
      <c r="I1085" s="79"/>
      <c r="J1085" s="79"/>
      <c r="K1085" s="81"/>
      <c r="L1085" s="80"/>
      <c r="M1085" s="79"/>
    </row>
    <row r="1086" spans="1:13" ht="15.75">
      <c r="A1086" s="83"/>
      <c r="B1086" s="29"/>
      <c r="C1086" s="41"/>
      <c r="D1086" s="41"/>
      <c r="E1086" s="79"/>
      <c r="F1086" s="82">
        <f>B1086</f>
        <v>0</v>
      </c>
      <c r="G1086" s="79"/>
      <c r="H1086" s="81"/>
      <c r="I1086" s="79"/>
      <c r="J1086" s="79"/>
      <c r="K1086" s="81"/>
      <c r="L1086" s="80"/>
      <c r="M1086" s="79"/>
    </row>
    <row r="1087" spans="1:13" ht="15.75">
      <c r="A1087" s="83"/>
      <c r="B1087" s="29"/>
      <c r="C1087" s="41"/>
      <c r="D1087" s="41"/>
      <c r="E1087" s="79"/>
      <c r="F1087" s="82">
        <f>B1087</f>
        <v>0</v>
      </c>
      <c r="G1087" s="79"/>
      <c r="H1087" s="81"/>
      <c r="I1087" s="79"/>
      <c r="J1087" s="79"/>
      <c r="K1087" s="81"/>
      <c r="L1087" s="80"/>
      <c r="M1087" s="79"/>
    </row>
    <row r="1088" spans="1:13" ht="15.75">
      <c r="A1088" s="83"/>
      <c r="B1088" s="29"/>
      <c r="C1088" s="41"/>
      <c r="D1088" s="41"/>
      <c r="E1088" s="79"/>
      <c r="F1088" s="82">
        <f>B1088</f>
        <v>0</v>
      </c>
      <c r="G1088" s="79"/>
      <c r="H1088" s="81"/>
      <c r="I1088" s="79"/>
      <c r="J1088" s="79"/>
      <c r="K1088" s="81"/>
      <c r="L1088" s="80"/>
      <c r="M1088" s="79"/>
    </row>
    <row r="1089" spans="1:13" ht="15.75">
      <c r="A1089" s="83"/>
      <c r="B1089" s="29"/>
      <c r="C1089" s="41"/>
      <c r="D1089" s="41"/>
      <c r="E1089" s="79"/>
      <c r="F1089" s="82">
        <f>B1089</f>
        <v>0</v>
      </c>
      <c r="G1089" s="79"/>
      <c r="H1089" s="81"/>
      <c r="I1089" s="79"/>
      <c r="J1089" s="79"/>
      <c r="K1089" s="81"/>
      <c r="L1089" s="80"/>
      <c r="M1089" s="79"/>
    </row>
    <row r="1090" spans="1:13" ht="15.75">
      <c r="A1090" s="83"/>
      <c r="B1090" s="29"/>
      <c r="C1090" s="41"/>
      <c r="D1090" s="41"/>
      <c r="E1090" s="79"/>
      <c r="F1090" s="82">
        <f>B1090</f>
        <v>0</v>
      </c>
      <c r="G1090" s="79"/>
      <c r="H1090" s="81"/>
      <c r="I1090" s="79"/>
      <c r="J1090" s="79"/>
      <c r="K1090" s="81"/>
      <c r="L1090" s="80"/>
      <c r="M1090" s="79"/>
    </row>
    <row r="1091" spans="1:13" ht="15.75">
      <c r="A1091" s="83"/>
      <c r="B1091" s="29"/>
      <c r="C1091" s="41"/>
      <c r="D1091" s="41"/>
      <c r="E1091" s="79"/>
      <c r="F1091" s="82">
        <f>B1091</f>
        <v>0</v>
      </c>
      <c r="G1091" s="79"/>
      <c r="H1091" s="81"/>
      <c r="I1091" s="79"/>
      <c r="J1091" s="79"/>
      <c r="K1091" s="81"/>
      <c r="L1091" s="80"/>
      <c r="M1091" s="79"/>
    </row>
    <row r="1092" spans="1:13" ht="15.75">
      <c r="A1092" s="83"/>
      <c r="B1092" s="29"/>
      <c r="C1092" s="41"/>
      <c r="D1092" s="41"/>
      <c r="E1092" s="79"/>
      <c r="F1092" s="82">
        <f>B1092</f>
        <v>0</v>
      </c>
      <c r="G1092" s="79"/>
      <c r="H1092" s="81"/>
      <c r="I1092" s="79"/>
      <c r="J1092" s="79"/>
      <c r="K1092" s="81"/>
      <c r="L1092" s="80"/>
      <c r="M1092" s="79"/>
    </row>
    <row r="1093" spans="1:13" ht="15.75">
      <c r="A1093" s="83"/>
      <c r="B1093" s="29"/>
      <c r="C1093" s="41"/>
      <c r="D1093" s="41"/>
      <c r="E1093" s="79"/>
      <c r="F1093" s="82">
        <f>B1093</f>
        <v>0</v>
      </c>
      <c r="G1093" s="79"/>
      <c r="H1093" s="81"/>
      <c r="I1093" s="79"/>
      <c r="J1093" s="79"/>
      <c r="K1093" s="81"/>
      <c r="L1093" s="80"/>
      <c r="M1093" s="79"/>
    </row>
    <row r="1094" spans="1:13" ht="15.75">
      <c r="A1094" s="83"/>
      <c r="B1094" s="29"/>
      <c r="C1094" s="41"/>
      <c r="D1094" s="41"/>
      <c r="E1094" s="79"/>
      <c r="F1094" s="82">
        <f>B1094</f>
        <v>0</v>
      </c>
      <c r="G1094" s="79"/>
      <c r="H1094" s="81"/>
      <c r="I1094" s="79"/>
      <c r="J1094" s="79"/>
      <c r="K1094" s="81"/>
      <c r="L1094" s="80"/>
      <c r="M1094" s="79"/>
    </row>
    <row r="1095" spans="1:13" ht="15.75">
      <c r="A1095" s="83"/>
      <c r="B1095" s="29"/>
      <c r="C1095" s="41"/>
      <c r="D1095" s="41"/>
      <c r="E1095" s="79"/>
      <c r="F1095" s="82">
        <f>B1095</f>
        <v>0</v>
      </c>
      <c r="G1095" s="79"/>
      <c r="H1095" s="81"/>
      <c r="I1095" s="79"/>
      <c r="J1095" s="79"/>
      <c r="K1095" s="81"/>
      <c r="L1095" s="80"/>
      <c r="M1095" s="79"/>
    </row>
    <row r="1096" spans="1:13" ht="15.75">
      <c r="A1096" s="83"/>
      <c r="B1096" s="29"/>
      <c r="C1096" s="41"/>
      <c r="D1096" s="41"/>
      <c r="E1096" s="79"/>
      <c r="F1096" s="82">
        <f>B1096</f>
        <v>0</v>
      </c>
      <c r="G1096" s="79"/>
      <c r="H1096" s="81"/>
      <c r="I1096" s="79"/>
      <c r="J1096" s="79"/>
      <c r="K1096" s="81"/>
      <c r="L1096" s="80"/>
      <c r="M1096" s="79"/>
    </row>
    <row r="1097" spans="1:13" ht="15.75">
      <c r="A1097" s="83"/>
      <c r="B1097" s="29"/>
      <c r="C1097" s="41"/>
      <c r="D1097" s="41"/>
      <c r="E1097" s="79"/>
      <c r="F1097" s="82">
        <f>B1097</f>
        <v>0</v>
      </c>
      <c r="G1097" s="79"/>
      <c r="H1097" s="81"/>
      <c r="I1097" s="79"/>
      <c r="J1097" s="79"/>
      <c r="K1097" s="81"/>
      <c r="L1097" s="80"/>
      <c r="M1097" s="79"/>
    </row>
    <row r="1098" spans="1:13" ht="15.75">
      <c r="A1098" s="83"/>
      <c r="B1098" s="29"/>
      <c r="C1098" s="41"/>
      <c r="D1098" s="41"/>
      <c r="E1098" s="79"/>
      <c r="F1098" s="82">
        <f>B1098</f>
        <v>0</v>
      </c>
      <c r="G1098" s="79"/>
      <c r="H1098" s="81"/>
      <c r="I1098" s="79"/>
      <c r="J1098" s="79"/>
      <c r="K1098" s="81"/>
      <c r="L1098" s="80"/>
      <c r="M1098" s="79"/>
    </row>
    <row r="1099" spans="1:13" ht="15.75">
      <c r="A1099" s="83"/>
      <c r="B1099" s="29"/>
      <c r="C1099" s="41"/>
      <c r="D1099" s="41"/>
      <c r="E1099" s="79"/>
      <c r="F1099" s="82">
        <f>B1099</f>
        <v>0</v>
      </c>
      <c r="G1099" s="79"/>
      <c r="H1099" s="81"/>
      <c r="I1099" s="79"/>
      <c r="J1099" s="79"/>
      <c r="K1099" s="81"/>
      <c r="L1099" s="80"/>
      <c r="M1099" s="79"/>
    </row>
    <row r="1100" spans="1:13" ht="15.75">
      <c r="A1100" s="83"/>
      <c r="B1100" s="29"/>
      <c r="C1100" s="41"/>
      <c r="D1100" s="41"/>
      <c r="E1100" s="79"/>
      <c r="F1100" s="82">
        <f>B1100</f>
        <v>0</v>
      </c>
      <c r="G1100" s="79"/>
      <c r="H1100" s="81"/>
      <c r="I1100" s="79"/>
      <c r="J1100" s="79"/>
      <c r="K1100" s="81"/>
      <c r="L1100" s="80"/>
      <c r="M1100" s="79"/>
    </row>
    <row r="1101" spans="1:13" ht="15.75">
      <c r="A1101" s="83"/>
      <c r="B1101" s="29"/>
      <c r="C1101" s="41"/>
      <c r="D1101" s="41"/>
      <c r="E1101" s="79"/>
      <c r="F1101" s="82">
        <f>B1101</f>
        <v>0</v>
      </c>
      <c r="G1101" s="79"/>
      <c r="H1101" s="81"/>
      <c r="I1101" s="79"/>
      <c r="J1101" s="79"/>
      <c r="K1101" s="81"/>
      <c r="L1101" s="80"/>
      <c r="M1101" s="79"/>
    </row>
    <row r="1102" spans="1:13" ht="15.75">
      <c r="A1102" s="83"/>
      <c r="B1102" s="29"/>
      <c r="C1102" s="41"/>
      <c r="D1102" s="41"/>
      <c r="E1102" s="79"/>
      <c r="F1102" s="82">
        <f>B1102</f>
        <v>0</v>
      </c>
      <c r="G1102" s="79"/>
      <c r="H1102" s="81"/>
      <c r="I1102" s="79"/>
      <c r="J1102" s="79"/>
      <c r="K1102" s="81"/>
      <c r="L1102" s="80"/>
      <c r="M1102" s="79"/>
    </row>
    <row r="1103" spans="1:13" ht="15.75">
      <c r="A1103" s="83"/>
      <c r="B1103" s="29"/>
      <c r="C1103" s="41"/>
      <c r="D1103" s="41"/>
      <c r="E1103" s="79"/>
      <c r="F1103" s="82">
        <f>B1103</f>
        <v>0</v>
      </c>
      <c r="G1103" s="79"/>
      <c r="H1103" s="81"/>
      <c r="I1103" s="79"/>
      <c r="J1103" s="79"/>
      <c r="K1103" s="81"/>
      <c r="L1103" s="80"/>
      <c r="M1103" s="79"/>
    </row>
    <row r="1104" spans="1:13" ht="26.25">
      <c r="A1104" s="78"/>
      <c r="B1104" s="78"/>
      <c r="C1104" s="77"/>
      <c r="D1104" s="76"/>
      <c r="E1104" s="74"/>
      <c r="F1104" s="75">
        <f>B1104</f>
        <v>0</v>
      </c>
      <c r="G1104" s="74"/>
      <c r="H1104" s="70"/>
      <c r="I1104" s="68"/>
      <c r="J1104" s="68"/>
      <c r="K1104" s="70"/>
      <c r="L1104" s="69"/>
      <c r="M1104" s="68"/>
    </row>
    <row r="1105" spans="1:13" ht="26.25">
      <c r="A1105" s="78"/>
      <c r="B1105" s="78"/>
      <c r="C1105" s="77"/>
      <c r="D1105" s="76"/>
      <c r="E1105" s="74"/>
      <c r="F1105" s="75">
        <f>B1105</f>
        <v>0</v>
      </c>
      <c r="G1105" s="74"/>
      <c r="H1105" s="70"/>
      <c r="I1105" s="68"/>
      <c r="J1105" s="68"/>
      <c r="K1105" s="70"/>
      <c r="L1105" s="69"/>
      <c r="M1105" s="68"/>
    </row>
    <row r="1106" spans="1:13" ht="26.25">
      <c r="A1106" s="78"/>
      <c r="B1106" s="78"/>
      <c r="C1106" s="77"/>
      <c r="D1106" s="76"/>
      <c r="E1106" s="74"/>
      <c r="F1106" s="75">
        <f>B1106</f>
        <v>0</v>
      </c>
      <c r="G1106" s="74"/>
      <c r="H1106" s="70"/>
      <c r="I1106" s="68"/>
      <c r="J1106" s="68"/>
      <c r="K1106" s="70"/>
      <c r="L1106" s="69"/>
      <c r="M1106" s="68"/>
    </row>
    <row r="1107" spans="1:13" ht="26.25">
      <c r="A1107" s="78"/>
      <c r="B1107" s="78"/>
      <c r="C1107" s="77"/>
      <c r="D1107" s="76"/>
      <c r="E1107" s="74"/>
      <c r="F1107" s="75">
        <f>B1107</f>
        <v>0</v>
      </c>
      <c r="G1107" s="74"/>
      <c r="H1107" s="70"/>
      <c r="I1107" s="68"/>
      <c r="J1107" s="68"/>
      <c r="K1107" s="70"/>
      <c r="L1107" s="69"/>
      <c r="M1107" s="68"/>
    </row>
    <row r="1108" spans="1:13" ht="26.25">
      <c r="A1108" s="78"/>
      <c r="B1108" s="78"/>
      <c r="C1108" s="77"/>
      <c r="D1108" s="76"/>
      <c r="E1108" s="74"/>
      <c r="F1108" s="75">
        <f>B1108</f>
        <v>0</v>
      </c>
      <c r="G1108" s="74"/>
      <c r="H1108" s="70"/>
      <c r="I1108" s="68"/>
      <c r="J1108" s="68"/>
      <c r="K1108" s="70"/>
      <c r="L1108" s="69"/>
      <c r="M1108" s="68"/>
    </row>
    <row r="1109" spans="1:13" ht="26.25">
      <c r="A1109" s="78"/>
      <c r="B1109" s="78"/>
      <c r="C1109" s="77"/>
      <c r="D1109" s="76"/>
      <c r="E1109" s="74"/>
      <c r="F1109" s="75">
        <f>B1109</f>
        <v>0</v>
      </c>
      <c r="G1109" s="74"/>
      <c r="H1109" s="70"/>
      <c r="I1109" s="68"/>
      <c r="J1109" s="68"/>
      <c r="K1109" s="70"/>
      <c r="L1109" s="69"/>
      <c r="M1109" s="68"/>
    </row>
    <row r="1110" spans="1:13" ht="26.25">
      <c r="A1110" s="78"/>
      <c r="B1110" s="78"/>
      <c r="C1110" s="77"/>
      <c r="D1110" s="76"/>
      <c r="E1110" s="74"/>
      <c r="F1110" s="75">
        <f>B1110</f>
        <v>0</v>
      </c>
      <c r="G1110" s="74"/>
      <c r="H1110" s="70"/>
      <c r="I1110" s="68"/>
      <c r="J1110" s="68"/>
      <c r="K1110" s="70"/>
      <c r="L1110" s="69"/>
      <c r="M1110" s="68"/>
    </row>
    <row r="1111" spans="1:13" ht="26.25">
      <c r="A1111" s="78"/>
      <c r="B1111" s="78"/>
      <c r="C1111" s="77"/>
      <c r="D1111" s="76"/>
      <c r="E1111" s="74"/>
      <c r="F1111" s="75">
        <f>B1111</f>
        <v>0</v>
      </c>
      <c r="G1111" s="74"/>
      <c r="H1111" s="70"/>
      <c r="I1111" s="68"/>
      <c r="J1111" s="68"/>
      <c r="K1111" s="70"/>
      <c r="L1111" s="69"/>
      <c r="M1111" s="68"/>
    </row>
    <row r="1112" spans="1:13" ht="26.25">
      <c r="A1112" s="78"/>
      <c r="B1112" s="78"/>
      <c r="C1112" s="77"/>
      <c r="D1112" s="76"/>
      <c r="E1112" s="74"/>
      <c r="F1112" s="75">
        <f>B1112</f>
        <v>0</v>
      </c>
      <c r="G1112" s="74"/>
      <c r="H1112" s="70"/>
      <c r="I1112" s="68"/>
      <c r="J1112" s="68"/>
      <c r="K1112" s="70"/>
      <c r="L1112" s="69"/>
      <c r="M1112" s="68"/>
    </row>
    <row r="1113" spans="1:13" ht="26.25">
      <c r="A1113" s="78"/>
      <c r="B1113" s="78"/>
      <c r="C1113" s="77"/>
      <c r="D1113" s="76"/>
      <c r="E1113" s="74"/>
      <c r="F1113" s="75">
        <f>B1113</f>
        <v>0</v>
      </c>
      <c r="G1113" s="74"/>
      <c r="H1113" s="70"/>
      <c r="I1113" s="68"/>
      <c r="J1113" s="68"/>
      <c r="K1113" s="70"/>
      <c r="L1113" s="69"/>
      <c r="M1113" s="68"/>
    </row>
    <row r="1114" spans="1:13" ht="26.25">
      <c r="A1114" s="78"/>
      <c r="B1114" s="78"/>
      <c r="C1114" s="77"/>
      <c r="D1114" s="76"/>
      <c r="E1114" s="74"/>
      <c r="F1114" s="75">
        <f>B1114</f>
        <v>0</v>
      </c>
      <c r="G1114" s="74"/>
      <c r="H1114" s="70"/>
      <c r="I1114" s="68"/>
      <c r="J1114" s="68"/>
      <c r="K1114" s="70"/>
      <c r="L1114" s="69"/>
      <c r="M1114" s="68"/>
    </row>
    <row r="1115" spans="1:13" ht="26.25">
      <c r="A1115" s="78"/>
      <c r="B1115" s="78"/>
      <c r="C1115" s="77"/>
      <c r="D1115" s="76"/>
      <c r="E1115" s="74"/>
      <c r="F1115" s="75">
        <f>B1115</f>
        <v>0</v>
      </c>
      <c r="G1115" s="74"/>
      <c r="H1115" s="70"/>
      <c r="I1115" s="68"/>
      <c r="J1115" s="68"/>
      <c r="K1115" s="70"/>
      <c r="L1115" s="69"/>
      <c r="M1115" s="68"/>
    </row>
    <row r="1116" spans="1:13" ht="26.25">
      <c r="A1116" s="78"/>
      <c r="B1116" s="78"/>
      <c r="C1116" s="77"/>
      <c r="D1116" s="76"/>
      <c r="E1116" s="74"/>
      <c r="F1116" s="75">
        <f>B1116</f>
        <v>0</v>
      </c>
      <c r="G1116" s="74"/>
      <c r="H1116" s="70"/>
      <c r="I1116" s="68"/>
      <c r="J1116" s="68"/>
      <c r="K1116" s="70"/>
      <c r="L1116" s="69"/>
      <c r="M1116" s="68"/>
    </row>
    <row r="1117" spans="1:13" ht="26.25">
      <c r="A1117" s="78"/>
      <c r="B1117" s="78"/>
      <c r="C1117" s="77"/>
      <c r="D1117" s="76"/>
      <c r="E1117" s="74"/>
      <c r="F1117" s="75">
        <f>B1117</f>
        <v>0</v>
      </c>
      <c r="G1117" s="74"/>
      <c r="H1117" s="70"/>
      <c r="I1117" s="68"/>
      <c r="J1117" s="68"/>
      <c r="K1117" s="70"/>
      <c r="L1117" s="69"/>
      <c r="M1117" s="68"/>
    </row>
    <row r="1118" spans="1:13" ht="26.25">
      <c r="A1118" s="78"/>
      <c r="B1118" s="78"/>
      <c r="C1118" s="77"/>
      <c r="D1118" s="76"/>
      <c r="E1118" s="74"/>
      <c r="F1118" s="75">
        <f>B1118</f>
        <v>0</v>
      </c>
      <c r="G1118" s="74"/>
      <c r="H1118" s="70"/>
      <c r="I1118" s="68"/>
      <c r="J1118" s="68"/>
      <c r="K1118" s="70"/>
      <c r="L1118" s="69"/>
      <c r="M1118" s="68"/>
    </row>
    <row r="1119" spans="1:13" ht="26.25">
      <c r="A1119" s="78"/>
      <c r="B1119" s="78"/>
      <c r="C1119" s="77"/>
      <c r="D1119" s="76"/>
      <c r="E1119" s="74"/>
      <c r="F1119" s="75">
        <f>B1119</f>
        <v>0</v>
      </c>
      <c r="G1119" s="74"/>
      <c r="H1119" s="70"/>
      <c r="I1119" s="68"/>
      <c r="J1119" s="68"/>
      <c r="K1119" s="70"/>
      <c r="L1119" s="69"/>
      <c r="M1119" s="68"/>
    </row>
    <row r="1120" spans="1:13" ht="26.25">
      <c r="A1120" s="78"/>
      <c r="B1120" s="78"/>
      <c r="C1120" s="77"/>
      <c r="D1120" s="76"/>
      <c r="E1120" s="74"/>
      <c r="F1120" s="75">
        <f>B1120</f>
        <v>0</v>
      </c>
      <c r="G1120" s="74"/>
      <c r="H1120" s="70"/>
      <c r="I1120" s="68"/>
      <c r="J1120" s="68"/>
      <c r="K1120" s="70"/>
      <c r="L1120" s="69"/>
      <c r="M1120" s="68"/>
    </row>
    <row r="1121" spans="1:13" ht="26.25">
      <c r="A1121" s="78"/>
      <c r="B1121" s="78"/>
      <c r="C1121" s="77"/>
      <c r="D1121" s="76"/>
      <c r="E1121" s="74"/>
      <c r="F1121" s="75">
        <f>B1121</f>
        <v>0</v>
      </c>
      <c r="G1121" s="74"/>
      <c r="H1121" s="70"/>
      <c r="I1121" s="68"/>
      <c r="J1121" s="68"/>
      <c r="K1121" s="70"/>
      <c r="L1121" s="69"/>
      <c r="M1121" s="68"/>
    </row>
    <row r="1122" spans="1:13" ht="26.25">
      <c r="A1122" s="78"/>
      <c r="B1122" s="78"/>
      <c r="C1122" s="77"/>
      <c r="D1122" s="76"/>
      <c r="E1122" s="74"/>
      <c r="F1122" s="75">
        <f>B1122</f>
        <v>0</v>
      </c>
      <c r="G1122" s="74"/>
      <c r="H1122" s="70"/>
      <c r="I1122" s="68"/>
      <c r="J1122" s="68"/>
      <c r="K1122" s="70"/>
      <c r="L1122" s="69"/>
      <c r="M1122" s="68"/>
    </row>
    <row r="1123" spans="1:13" ht="26.25">
      <c r="A1123" s="78"/>
      <c r="B1123" s="78"/>
      <c r="C1123" s="77"/>
      <c r="D1123" s="76"/>
      <c r="E1123" s="74"/>
      <c r="F1123" s="75">
        <f>B1123</f>
        <v>0</v>
      </c>
      <c r="G1123" s="74"/>
      <c r="H1123" s="70"/>
      <c r="I1123" s="68"/>
      <c r="J1123" s="68"/>
      <c r="K1123" s="70"/>
      <c r="L1123" s="69"/>
      <c r="M1123" s="68"/>
    </row>
    <row r="1124" spans="1:13" ht="26.25">
      <c r="A1124" s="78"/>
      <c r="B1124" s="78"/>
      <c r="C1124" s="77"/>
      <c r="D1124" s="76"/>
      <c r="E1124" s="74"/>
      <c r="F1124" s="75">
        <f>B1124</f>
        <v>0</v>
      </c>
      <c r="G1124" s="74"/>
      <c r="H1124" s="70"/>
      <c r="I1124" s="68"/>
      <c r="J1124" s="68"/>
      <c r="K1124" s="70"/>
      <c r="L1124" s="69"/>
      <c r="M1124" s="68"/>
    </row>
    <row r="1125" spans="1:13" ht="26.25">
      <c r="A1125" s="78"/>
      <c r="B1125" s="78"/>
      <c r="C1125" s="77"/>
      <c r="D1125" s="76"/>
      <c r="E1125" s="74"/>
      <c r="F1125" s="75">
        <f>B1125</f>
        <v>0</v>
      </c>
      <c r="G1125" s="74"/>
      <c r="H1125" s="70"/>
      <c r="I1125" s="68"/>
      <c r="J1125" s="68"/>
      <c r="K1125" s="70"/>
      <c r="L1125" s="69"/>
      <c r="M1125" s="68"/>
    </row>
    <row r="1126" spans="1:13" ht="26.25">
      <c r="A1126" s="78"/>
      <c r="B1126" s="78"/>
      <c r="C1126" s="77"/>
      <c r="D1126" s="76"/>
      <c r="E1126" s="74"/>
      <c r="F1126" s="75">
        <f>B1126</f>
        <v>0</v>
      </c>
      <c r="G1126" s="74"/>
      <c r="H1126" s="70"/>
      <c r="I1126" s="68"/>
      <c r="J1126" s="68"/>
      <c r="K1126" s="70"/>
      <c r="L1126" s="69"/>
      <c r="M1126" s="68"/>
    </row>
    <row r="1127" spans="1:13" ht="26.25">
      <c r="A1127" s="78"/>
      <c r="B1127" s="78"/>
      <c r="C1127" s="77"/>
      <c r="D1127" s="76"/>
      <c r="E1127" s="74"/>
      <c r="F1127" s="75">
        <f>B1127</f>
        <v>0</v>
      </c>
      <c r="G1127" s="74"/>
      <c r="H1127" s="70"/>
      <c r="I1127" s="68"/>
      <c r="J1127" s="68"/>
      <c r="K1127" s="70"/>
      <c r="L1127" s="69"/>
      <c r="M1127" s="68"/>
    </row>
    <row r="1128" spans="1:13" ht="26.25">
      <c r="A1128" s="78"/>
      <c r="B1128" s="78"/>
      <c r="C1128" s="77"/>
      <c r="D1128" s="76"/>
      <c r="E1128" s="74"/>
      <c r="F1128" s="75">
        <f>B1128</f>
        <v>0</v>
      </c>
      <c r="G1128" s="74"/>
      <c r="H1128" s="70"/>
      <c r="I1128" s="68"/>
      <c r="J1128" s="68"/>
      <c r="K1128" s="70"/>
      <c r="L1128" s="69"/>
      <c r="M1128" s="68"/>
    </row>
    <row r="1129" spans="1:13" ht="26.25">
      <c r="A1129" s="78"/>
      <c r="B1129" s="78"/>
      <c r="C1129" s="77"/>
      <c r="D1129" s="76"/>
      <c r="E1129" s="74"/>
      <c r="F1129" s="75">
        <f>B1129</f>
        <v>0</v>
      </c>
      <c r="G1129" s="74"/>
      <c r="H1129" s="70"/>
      <c r="I1129" s="68"/>
      <c r="J1129" s="68"/>
      <c r="K1129" s="70"/>
      <c r="L1129" s="69"/>
      <c r="M1129" s="68"/>
    </row>
    <row r="1130" spans="1:13" ht="26.25">
      <c r="A1130" s="78"/>
      <c r="B1130" s="78"/>
      <c r="C1130" s="77"/>
      <c r="D1130" s="76"/>
      <c r="E1130" s="74"/>
      <c r="F1130" s="75">
        <f>B1130</f>
        <v>0</v>
      </c>
      <c r="G1130" s="74"/>
      <c r="H1130" s="70"/>
      <c r="I1130" s="68"/>
      <c r="J1130" s="68"/>
      <c r="K1130" s="70"/>
      <c r="L1130" s="69"/>
      <c r="M1130" s="68"/>
    </row>
    <row r="1131" spans="1:13" ht="26.25">
      <c r="A1131" s="78"/>
      <c r="B1131" s="78"/>
      <c r="C1131" s="77"/>
      <c r="D1131" s="76"/>
      <c r="E1131" s="74"/>
      <c r="F1131" s="75">
        <f>B1131</f>
        <v>0</v>
      </c>
      <c r="G1131" s="74"/>
      <c r="H1131" s="70"/>
      <c r="I1131" s="68"/>
      <c r="J1131" s="68"/>
      <c r="K1131" s="70"/>
      <c r="L1131" s="69"/>
      <c r="M1131" s="68"/>
    </row>
    <row r="1132" spans="1:13" ht="26.25">
      <c r="A1132" s="78"/>
      <c r="B1132" s="78"/>
      <c r="C1132" s="77"/>
      <c r="D1132" s="76"/>
      <c r="E1132" s="74"/>
      <c r="F1132" s="75">
        <f>B1132</f>
        <v>0</v>
      </c>
      <c r="G1132" s="74"/>
      <c r="H1132" s="70"/>
      <c r="I1132" s="68"/>
      <c r="J1132" s="68"/>
      <c r="K1132" s="70"/>
      <c r="L1132" s="69"/>
      <c r="M1132" s="68"/>
    </row>
    <row r="1133" spans="1:13" ht="26.25">
      <c r="A1133" s="78"/>
      <c r="B1133" s="78"/>
      <c r="C1133" s="77"/>
      <c r="D1133" s="76"/>
      <c r="E1133" s="74"/>
      <c r="F1133" s="75">
        <f>B1133</f>
        <v>0</v>
      </c>
      <c r="G1133" s="74"/>
      <c r="H1133" s="70"/>
      <c r="I1133" s="68"/>
      <c r="J1133" s="68"/>
      <c r="K1133" s="70"/>
      <c r="L1133" s="69"/>
      <c r="M1133" s="68"/>
    </row>
    <row r="1134" spans="1:13" ht="26.25">
      <c r="A1134" s="78"/>
      <c r="B1134" s="78"/>
      <c r="C1134" s="77"/>
      <c r="D1134" s="76"/>
      <c r="E1134" s="74"/>
      <c r="F1134" s="75">
        <f>B1134</f>
        <v>0</v>
      </c>
      <c r="G1134" s="74"/>
      <c r="H1134" s="70"/>
      <c r="I1134" s="68"/>
      <c r="J1134" s="68"/>
      <c r="K1134" s="70"/>
      <c r="L1134" s="69"/>
      <c r="M1134" s="68"/>
    </row>
    <row r="1135" spans="1:13" ht="26.25">
      <c r="A1135" s="78"/>
      <c r="B1135" s="78"/>
      <c r="C1135" s="77"/>
      <c r="D1135" s="76"/>
      <c r="E1135" s="74"/>
      <c r="F1135" s="75">
        <f>B1135</f>
        <v>0</v>
      </c>
      <c r="G1135" s="74"/>
      <c r="H1135" s="70"/>
      <c r="I1135" s="68"/>
      <c r="J1135" s="68"/>
      <c r="K1135" s="70"/>
      <c r="L1135" s="69"/>
      <c r="M1135" s="68"/>
    </row>
    <row r="1136" spans="1:13" ht="26.25">
      <c r="A1136" s="78"/>
      <c r="B1136" s="78"/>
      <c r="C1136" s="77"/>
      <c r="D1136" s="76"/>
      <c r="E1136" s="74"/>
      <c r="F1136" s="75">
        <f>B1136</f>
        <v>0</v>
      </c>
      <c r="G1136" s="74"/>
      <c r="H1136" s="70"/>
      <c r="I1136" s="68"/>
      <c r="J1136" s="68"/>
      <c r="K1136" s="70"/>
      <c r="L1136" s="69"/>
      <c r="M1136" s="68"/>
    </row>
    <row r="1137" spans="1:13" ht="26.25">
      <c r="A1137" s="78"/>
      <c r="B1137" s="78"/>
      <c r="C1137" s="77"/>
      <c r="D1137" s="76"/>
      <c r="E1137" s="74"/>
      <c r="F1137" s="75">
        <f>B1137</f>
        <v>0</v>
      </c>
      <c r="G1137" s="74"/>
      <c r="H1137" s="70"/>
      <c r="I1137" s="68"/>
      <c r="J1137" s="68"/>
      <c r="K1137" s="70"/>
      <c r="L1137" s="69"/>
      <c r="M1137" s="68"/>
    </row>
    <row r="1138" spans="1:13" ht="26.25">
      <c r="A1138" s="78"/>
      <c r="B1138" s="78"/>
      <c r="C1138" s="77"/>
      <c r="D1138" s="76"/>
      <c r="E1138" s="74"/>
      <c r="F1138" s="75">
        <f>B1138</f>
        <v>0</v>
      </c>
      <c r="G1138" s="74"/>
      <c r="H1138" s="70"/>
      <c r="I1138" s="68"/>
      <c r="J1138" s="68"/>
      <c r="K1138" s="70"/>
      <c r="L1138" s="69"/>
      <c r="M1138" s="68"/>
    </row>
    <row r="1139" spans="1:13" ht="26.25">
      <c r="A1139" s="78"/>
      <c r="B1139" s="78"/>
      <c r="C1139" s="77"/>
      <c r="D1139" s="76"/>
      <c r="E1139" s="74"/>
      <c r="F1139" s="75">
        <f>B1139</f>
        <v>0</v>
      </c>
      <c r="G1139" s="74"/>
      <c r="H1139" s="70"/>
      <c r="I1139" s="68"/>
      <c r="J1139" s="68"/>
      <c r="K1139" s="70"/>
      <c r="L1139" s="69"/>
      <c r="M1139" s="68"/>
    </row>
    <row r="1140" spans="1:13" ht="26.25">
      <c r="A1140" s="78"/>
      <c r="B1140" s="78"/>
      <c r="C1140" s="77"/>
      <c r="D1140" s="76"/>
      <c r="E1140" s="74"/>
      <c r="F1140" s="75">
        <f>B1140</f>
        <v>0</v>
      </c>
      <c r="G1140" s="74"/>
      <c r="H1140" s="70"/>
      <c r="I1140" s="68"/>
      <c r="J1140" s="68"/>
      <c r="K1140" s="70"/>
      <c r="L1140" s="69"/>
      <c r="M1140" s="68"/>
    </row>
    <row r="1141" spans="1:13" ht="26.25">
      <c r="A1141" s="78"/>
      <c r="B1141" s="78"/>
      <c r="C1141" s="77"/>
      <c r="D1141" s="76"/>
      <c r="E1141" s="74"/>
      <c r="F1141" s="75">
        <f>B1141</f>
        <v>0</v>
      </c>
      <c r="G1141" s="74"/>
      <c r="H1141" s="70"/>
      <c r="I1141" s="68"/>
      <c r="J1141" s="68"/>
      <c r="K1141" s="70"/>
      <c r="L1141" s="69"/>
      <c r="M1141" s="68"/>
    </row>
    <row r="1142" spans="1:13" ht="26.25">
      <c r="A1142" s="78"/>
      <c r="B1142" s="78"/>
      <c r="C1142" s="77"/>
      <c r="D1142" s="76"/>
      <c r="E1142" s="74"/>
      <c r="F1142" s="75">
        <f>B1142</f>
        <v>0</v>
      </c>
      <c r="G1142" s="74"/>
      <c r="H1142" s="70"/>
      <c r="I1142" s="68"/>
      <c r="J1142" s="68"/>
      <c r="K1142" s="70"/>
      <c r="L1142" s="69"/>
      <c r="M1142" s="68"/>
    </row>
    <row r="1143" spans="1:13" ht="26.25">
      <c r="A1143" s="78"/>
      <c r="B1143" s="78"/>
      <c r="C1143" s="77"/>
      <c r="D1143" s="76"/>
      <c r="E1143" s="74"/>
      <c r="F1143" s="75">
        <f>B1143</f>
        <v>0</v>
      </c>
      <c r="G1143" s="74"/>
      <c r="H1143" s="70"/>
      <c r="I1143" s="68"/>
      <c r="J1143" s="68"/>
      <c r="K1143" s="70"/>
      <c r="L1143" s="69"/>
      <c r="M1143" s="68"/>
    </row>
    <row r="1144" spans="1:13" ht="26.25">
      <c r="A1144" s="78"/>
      <c r="B1144" s="78"/>
      <c r="C1144" s="77"/>
      <c r="D1144" s="76"/>
      <c r="E1144" s="74"/>
      <c r="F1144" s="75">
        <f>B1144</f>
        <v>0</v>
      </c>
      <c r="G1144" s="74"/>
      <c r="H1144" s="70"/>
      <c r="I1144" s="68"/>
      <c r="J1144" s="68"/>
      <c r="K1144" s="70"/>
      <c r="L1144" s="69"/>
      <c r="M1144" s="68"/>
    </row>
    <row r="1145" spans="1:13" ht="26.25">
      <c r="A1145" s="78"/>
      <c r="B1145" s="78"/>
      <c r="C1145" s="77"/>
      <c r="D1145" s="76"/>
      <c r="E1145" s="74"/>
      <c r="F1145" s="75">
        <f>B1145</f>
        <v>0</v>
      </c>
      <c r="G1145" s="74"/>
      <c r="H1145" s="70"/>
      <c r="I1145" s="68"/>
      <c r="J1145" s="68"/>
      <c r="K1145" s="70"/>
      <c r="L1145" s="69"/>
      <c r="M1145" s="68"/>
    </row>
    <row r="1146" spans="1:13" ht="26.25">
      <c r="A1146" s="78"/>
      <c r="B1146" s="78"/>
      <c r="C1146" s="77"/>
      <c r="D1146" s="76"/>
      <c r="E1146" s="74"/>
      <c r="F1146" s="75">
        <f>B1146</f>
        <v>0</v>
      </c>
      <c r="G1146" s="74"/>
      <c r="H1146" s="70"/>
      <c r="I1146" s="68"/>
      <c r="J1146" s="68"/>
      <c r="K1146" s="70"/>
      <c r="L1146" s="69"/>
      <c r="M1146" s="68"/>
    </row>
    <row r="1147" spans="1:13" ht="26.25">
      <c r="A1147" s="78"/>
      <c r="B1147" s="78"/>
      <c r="C1147" s="77"/>
      <c r="D1147" s="76"/>
      <c r="E1147" s="74"/>
      <c r="F1147" s="75">
        <f>B1147</f>
        <v>0</v>
      </c>
      <c r="G1147" s="74"/>
      <c r="H1147" s="70"/>
      <c r="I1147" s="68"/>
      <c r="J1147" s="68"/>
      <c r="K1147" s="70"/>
      <c r="L1147" s="69"/>
      <c r="M1147" s="68"/>
    </row>
    <row r="1148" spans="1:13" ht="26.25">
      <c r="A1148" s="78"/>
      <c r="B1148" s="78"/>
      <c r="C1148" s="77"/>
      <c r="D1148" s="76"/>
      <c r="E1148" s="74"/>
      <c r="F1148" s="75">
        <f>B1148</f>
        <v>0</v>
      </c>
      <c r="G1148" s="74"/>
      <c r="H1148" s="70"/>
      <c r="I1148" s="68"/>
      <c r="J1148" s="68"/>
      <c r="K1148" s="70"/>
      <c r="L1148" s="69"/>
      <c r="M1148" s="68"/>
    </row>
    <row r="1149" spans="1:13" ht="26.25">
      <c r="A1149" s="78"/>
      <c r="B1149" s="78"/>
      <c r="C1149" s="77"/>
      <c r="D1149" s="76"/>
      <c r="E1149" s="74"/>
      <c r="F1149" s="75">
        <f>B1149</f>
        <v>0</v>
      </c>
      <c r="G1149" s="74"/>
      <c r="H1149" s="70"/>
      <c r="I1149" s="68"/>
      <c r="J1149" s="68"/>
      <c r="K1149" s="70"/>
      <c r="L1149" s="69"/>
      <c r="M1149" s="68"/>
    </row>
    <row r="1150" spans="1:13" ht="26.25">
      <c r="A1150" s="78"/>
      <c r="B1150" s="78"/>
      <c r="C1150" s="77"/>
      <c r="D1150" s="76"/>
      <c r="E1150" s="74"/>
      <c r="F1150" s="75">
        <f>B1150</f>
        <v>0</v>
      </c>
      <c r="G1150" s="74"/>
      <c r="H1150" s="70"/>
      <c r="I1150" s="68"/>
      <c r="J1150" s="68"/>
      <c r="K1150" s="70"/>
      <c r="L1150" s="69"/>
      <c r="M1150" s="68"/>
    </row>
    <row r="1151" spans="1:13" ht="26.25">
      <c r="A1151" s="78"/>
      <c r="B1151" s="78"/>
      <c r="C1151" s="77"/>
      <c r="D1151" s="76"/>
      <c r="E1151" s="74"/>
      <c r="F1151" s="75">
        <f>B1151</f>
        <v>0</v>
      </c>
      <c r="G1151" s="74"/>
      <c r="H1151" s="70"/>
      <c r="I1151" s="68"/>
      <c r="J1151" s="68"/>
      <c r="K1151" s="70"/>
      <c r="L1151" s="69"/>
      <c r="M1151" s="68"/>
    </row>
    <row r="1152" spans="1:13" ht="26.25">
      <c r="A1152" s="78"/>
      <c r="B1152" s="78"/>
      <c r="C1152" s="77"/>
      <c r="D1152" s="76"/>
      <c r="E1152" s="74"/>
      <c r="F1152" s="75">
        <f>B1152</f>
        <v>0</v>
      </c>
      <c r="G1152" s="74"/>
      <c r="H1152" s="70"/>
      <c r="I1152" s="68"/>
      <c r="J1152" s="68"/>
      <c r="K1152" s="70"/>
      <c r="L1152" s="69"/>
      <c r="M1152" s="68"/>
    </row>
    <row r="1153" spans="1:13" ht="26.25">
      <c r="A1153" s="78"/>
      <c r="B1153" s="78"/>
      <c r="C1153" s="77"/>
      <c r="D1153" s="76"/>
      <c r="E1153" s="74"/>
      <c r="F1153" s="75">
        <f>B1153</f>
        <v>0</v>
      </c>
      <c r="G1153" s="74"/>
      <c r="H1153" s="70"/>
      <c r="I1153" s="68"/>
      <c r="J1153" s="68"/>
      <c r="K1153" s="70"/>
      <c r="L1153" s="69"/>
      <c r="M1153" s="68"/>
    </row>
    <row r="1154" spans="1:13" ht="26.25">
      <c r="A1154" s="78"/>
      <c r="B1154" s="78"/>
      <c r="C1154" s="77"/>
      <c r="D1154" s="76"/>
      <c r="E1154" s="74"/>
      <c r="F1154" s="75">
        <f>B1154</f>
        <v>0</v>
      </c>
      <c r="G1154" s="74"/>
      <c r="H1154" s="70"/>
      <c r="I1154" s="68"/>
      <c r="J1154" s="68"/>
      <c r="K1154" s="70"/>
      <c r="L1154" s="69"/>
      <c r="M1154" s="68"/>
    </row>
    <row r="1155" spans="1:13" ht="26.25">
      <c r="A1155" s="78"/>
      <c r="B1155" s="78"/>
      <c r="C1155" s="77"/>
      <c r="D1155" s="76"/>
      <c r="E1155" s="74"/>
      <c r="F1155" s="75">
        <f>B1155</f>
        <v>0</v>
      </c>
      <c r="G1155" s="74"/>
      <c r="H1155" s="70"/>
      <c r="I1155" s="68"/>
      <c r="J1155" s="68"/>
      <c r="K1155" s="70"/>
      <c r="L1155" s="69"/>
      <c r="M1155" s="68"/>
    </row>
    <row r="1156" spans="1:13" ht="26.25">
      <c r="A1156" s="78"/>
      <c r="B1156" s="78"/>
      <c r="C1156" s="77"/>
      <c r="D1156" s="76"/>
      <c r="E1156" s="74"/>
      <c r="F1156" s="75">
        <f>B1156</f>
        <v>0</v>
      </c>
      <c r="G1156" s="74"/>
      <c r="H1156" s="70"/>
      <c r="I1156" s="68"/>
      <c r="J1156" s="68"/>
      <c r="K1156" s="70"/>
      <c r="L1156" s="69"/>
      <c r="M1156" s="68"/>
    </row>
    <row r="1157" spans="1:13" ht="26.25">
      <c r="A1157" s="78"/>
      <c r="B1157" s="78"/>
      <c r="C1157" s="77"/>
      <c r="D1157" s="76"/>
      <c r="E1157" s="74"/>
      <c r="F1157" s="75">
        <f>B1157</f>
        <v>0</v>
      </c>
      <c r="G1157" s="74"/>
      <c r="H1157" s="70"/>
      <c r="I1157" s="68"/>
      <c r="J1157" s="68"/>
      <c r="K1157" s="70"/>
      <c r="L1157" s="69"/>
      <c r="M1157" s="68"/>
    </row>
    <row r="1158" spans="1:13" ht="26.25">
      <c r="A1158" s="78"/>
      <c r="B1158" s="78"/>
      <c r="C1158" s="77"/>
      <c r="D1158" s="76"/>
      <c r="E1158" s="74"/>
      <c r="F1158" s="75">
        <f>B1158</f>
        <v>0</v>
      </c>
      <c r="G1158" s="74"/>
      <c r="H1158" s="70"/>
      <c r="I1158" s="68"/>
      <c r="J1158" s="68"/>
      <c r="K1158" s="70"/>
      <c r="L1158" s="69"/>
      <c r="M1158" s="68"/>
    </row>
    <row r="1159" spans="1:13" ht="26.25">
      <c r="A1159" s="78"/>
      <c r="B1159" s="78"/>
      <c r="C1159" s="77"/>
      <c r="D1159" s="76"/>
      <c r="E1159" s="74"/>
      <c r="F1159" s="75">
        <f>B1159</f>
        <v>0</v>
      </c>
      <c r="G1159" s="74"/>
      <c r="H1159" s="70"/>
      <c r="I1159" s="68"/>
      <c r="J1159" s="68"/>
      <c r="K1159" s="70"/>
      <c r="L1159" s="69"/>
      <c r="M1159" s="68"/>
    </row>
    <row r="1160" spans="1:13" ht="26.25">
      <c r="A1160" s="78"/>
      <c r="B1160" s="78"/>
      <c r="C1160" s="77"/>
      <c r="D1160" s="76"/>
      <c r="E1160" s="74"/>
      <c r="F1160" s="75">
        <f>B1160</f>
        <v>0</v>
      </c>
      <c r="G1160" s="74"/>
      <c r="H1160" s="70"/>
      <c r="I1160" s="68"/>
      <c r="J1160" s="68"/>
      <c r="K1160" s="70"/>
      <c r="L1160" s="69"/>
      <c r="M1160" s="68"/>
    </row>
    <row r="1161" spans="1:13" ht="26.25">
      <c r="A1161" s="78"/>
      <c r="B1161" s="78"/>
      <c r="C1161" s="77"/>
      <c r="D1161" s="76"/>
      <c r="E1161" s="74"/>
      <c r="F1161" s="75">
        <f>B1161</f>
        <v>0</v>
      </c>
      <c r="G1161" s="74"/>
      <c r="H1161" s="70"/>
      <c r="I1161" s="68"/>
      <c r="J1161" s="68"/>
      <c r="K1161" s="70"/>
      <c r="L1161" s="69"/>
      <c r="M1161" s="68"/>
    </row>
    <row r="1162" spans="1:13" ht="26.25">
      <c r="A1162" s="78"/>
      <c r="B1162" s="78"/>
      <c r="C1162" s="77"/>
      <c r="D1162" s="76"/>
      <c r="E1162" s="74"/>
      <c r="F1162" s="75">
        <f>B1162</f>
        <v>0</v>
      </c>
      <c r="G1162" s="74"/>
      <c r="H1162" s="70"/>
      <c r="I1162" s="68"/>
      <c r="J1162" s="68"/>
      <c r="K1162" s="70"/>
      <c r="L1162" s="69"/>
      <c r="M1162" s="68"/>
    </row>
    <row r="1163" spans="1:13" ht="26.25">
      <c r="A1163" s="78"/>
      <c r="B1163" s="78"/>
      <c r="C1163" s="77"/>
      <c r="D1163" s="76"/>
      <c r="E1163" s="74"/>
      <c r="F1163" s="75">
        <f>B1163</f>
        <v>0</v>
      </c>
      <c r="G1163" s="74"/>
      <c r="H1163" s="70"/>
      <c r="I1163" s="68"/>
      <c r="J1163" s="68"/>
      <c r="K1163" s="70"/>
      <c r="L1163" s="69"/>
      <c r="M1163" s="68"/>
    </row>
    <row r="1164" spans="1:13" ht="26.25">
      <c r="A1164" s="78"/>
      <c r="B1164" s="78"/>
      <c r="C1164" s="77"/>
      <c r="D1164" s="76"/>
      <c r="E1164" s="74"/>
      <c r="F1164" s="75">
        <f>B1164</f>
        <v>0</v>
      </c>
      <c r="G1164" s="74"/>
      <c r="H1164" s="70"/>
      <c r="I1164" s="68"/>
      <c r="J1164" s="68"/>
      <c r="K1164" s="70"/>
      <c r="L1164" s="69"/>
      <c r="M1164" s="68"/>
    </row>
    <row r="1165" spans="1:13" ht="26.25">
      <c r="A1165" s="78"/>
      <c r="B1165" s="78"/>
      <c r="C1165" s="77"/>
      <c r="D1165" s="76"/>
      <c r="E1165" s="74"/>
      <c r="F1165" s="75">
        <f>B1165</f>
        <v>0</v>
      </c>
      <c r="G1165" s="74"/>
      <c r="H1165" s="70"/>
      <c r="I1165" s="68"/>
      <c r="J1165" s="68"/>
      <c r="K1165" s="70"/>
      <c r="L1165" s="69"/>
      <c r="M1165" s="68"/>
    </row>
    <row r="1166" spans="1:13" ht="26.25">
      <c r="A1166" s="78"/>
      <c r="B1166" s="78"/>
      <c r="C1166" s="77"/>
      <c r="D1166" s="76"/>
      <c r="E1166" s="74"/>
      <c r="F1166" s="75">
        <f>B1166</f>
        <v>0</v>
      </c>
      <c r="G1166" s="74"/>
      <c r="H1166" s="70"/>
      <c r="I1166" s="68"/>
      <c r="J1166" s="68"/>
      <c r="K1166" s="70"/>
      <c r="L1166" s="69"/>
      <c r="M1166" s="68"/>
    </row>
    <row r="1167" spans="1:13" ht="26.25">
      <c r="A1167" s="78"/>
      <c r="B1167" s="78"/>
      <c r="C1167" s="77"/>
      <c r="D1167" s="76"/>
      <c r="E1167" s="74"/>
      <c r="F1167" s="75">
        <f>B1167</f>
        <v>0</v>
      </c>
      <c r="G1167" s="74"/>
      <c r="H1167" s="70"/>
      <c r="I1167" s="68"/>
      <c r="J1167" s="68"/>
      <c r="K1167" s="70"/>
      <c r="L1167" s="69"/>
      <c r="M1167" s="68"/>
    </row>
    <row r="1168" spans="1:13" ht="26.25">
      <c r="A1168" s="78"/>
      <c r="B1168" s="78"/>
      <c r="C1168" s="77"/>
      <c r="D1168" s="76"/>
      <c r="E1168" s="74"/>
      <c r="F1168" s="75">
        <f>B1168</f>
        <v>0</v>
      </c>
      <c r="G1168" s="74"/>
      <c r="H1168" s="70"/>
      <c r="I1168" s="68"/>
      <c r="J1168" s="68"/>
      <c r="K1168" s="70"/>
      <c r="L1168" s="69"/>
      <c r="M1168" s="68"/>
    </row>
    <row r="1169" spans="1:13" ht="26.25">
      <c r="A1169" s="78"/>
      <c r="B1169" s="78"/>
      <c r="C1169" s="77"/>
      <c r="D1169" s="76"/>
      <c r="E1169" s="74"/>
      <c r="F1169" s="75">
        <f>B1169</f>
        <v>0</v>
      </c>
      <c r="G1169" s="74"/>
      <c r="H1169" s="70"/>
      <c r="I1169" s="68"/>
      <c r="J1169" s="68"/>
      <c r="K1169" s="70"/>
      <c r="L1169" s="69"/>
      <c r="M1169" s="68"/>
    </row>
    <row r="1170" spans="1:13" ht="26.25">
      <c r="A1170" s="78"/>
      <c r="B1170" s="78"/>
      <c r="C1170" s="77"/>
      <c r="D1170" s="76"/>
      <c r="E1170" s="74"/>
      <c r="F1170" s="75">
        <f>B1170</f>
        <v>0</v>
      </c>
      <c r="G1170" s="74"/>
      <c r="H1170" s="70"/>
      <c r="I1170" s="68"/>
      <c r="J1170" s="68"/>
      <c r="K1170" s="70"/>
      <c r="L1170" s="69"/>
      <c r="M1170" s="68"/>
    </row>
    <row r="1171" spans="1:13" ht="26.25">
      <c r="A1171" s="78"/>
      <c r="B1171" s="78"/>
      <c r="C1171" s="77"/>
      <c r="D1171" s="76"/>
      <c r="E1171" s="74"/>
      <c r="F1171" s="75">
        <f>B1171</f>
        <v>0</v>
      </c>
      <c r="G1171" s="74"/>
      <c r="H1171" s="70"/>
      <c r="I1171" s="68"/>
      <c r="J1171" s="68"/>
      <c r="K1171" s="70"/>
      <c r="L1171" s="69"/>
      <c r="M1171" s="68"/>
    </row>
    <row r="1172" spans="1:13" ht="26.25">
      <c r="A1172" s="78"/>
      <c r="B1172" s="78"/>
      <c r="C1172" s="77"/>
      <c r="D1172" s="76"/>
      <c r="E1172" s="74"/>
      <c r="F1172" s="75">
        <f>B1172</f>
        <v>0</v>
      </c>
      <c r="G1172" s="74"/>
      <c r="H1172" s="70"/>
      <c r="I1172" s="68"/>
      <c r="J1172" s="68"/>
      <c r="K1172" s="70"/>
      <c r="L1172" s="69"/>
      <c r="M1172" s="68"/>
    </row>
    <row r="1173" spans="1:13" ht="26.25">
      <c r="A1173" s="78"/>
      <c r="B1173" s="78"/>
      <c r="C1173" s="77"/>
      <c r="D1173" s="76"/>
      <c r="E1173" s="74"/>
      <c r="F1173" s="75">
        <f>B1173</f>
        <v>0</v>
      </c>
      <c r="G1173" s="74"/>
      <c r="H1173" s="70"/>
      <c r="I1173" s="68"/>
      <c r="J1173" s="68"/>
      <c r="K1173" s="70"/>
      <c r="L1173" s="69"/>
      <c r="M1173" s="68"/>
    </row>
    <row r="1174" spans="1:13" ht="26.25">
      <c r="A1174" s="78"/>
      <c r="B1174" s="78"/>
      <c r="C1174" s="77"/>
      <c r="D1174" s="76"/>
      <c r="E1174" s="74"/>
      <c r="F1174" s="75">
        <f>B1174</f>
        <v>0</v>
      </c>
      <c r="G1174" s="74"/>
      <c r="H1174" s="70"/>
      <c r="I1174" s="68"/>
      <c r="J1174" s="68"/>
      <c r="K1174" s="70"/>
      <c r="L1174" s="69"/>
      <c r="M1174" s="68"/>
    </row>
    <row r="1175" spans="1:13">
      <c r="A1175" s="68"/>
      <c r="B1175" s="68"/>
      <c r="C1175" s="73"/>
      <c r="D1175" s="71"/>
      <c r="E1175" s="68"/>
      <c r="F1175" s="68"/>
      <c r="G1175" s="68"/>
      <c r="H1175" s="70"/>
      <c r="I1175" s="68"/>
      <c r="J1175" s="68"/>
      <c r="K1175" s="70"/>
      <c r="L1175" s="69"/>
      <c r="M1175" s="68"/>
    </row>
    <row r="1176" spans="1:13">
      <c r="A1176" s="68"/>
      <c r="B1176" s="68"/>
      <c r="C1176" s="73"/>
      <c r="D1176" s="71"/>
      <c r="E1176" s="68"/>
      <c r="F1176" s="68"/>
      <c r="G1176" s="68"/>
      <c r="H1176" s="70"/>
      <c r="I1176" s="68"/>
      <c r="J1176" s="68"/>
      <c r="K1176" s="70"/>
      <c r="L1176" s="69"/>
      <c r="M1176" s="68"/>
    </row>
    <row r="1177" spans="1:13">
      <c r="A1177" s="68"/>
      <c r="B1177" s="68"/>
      <c r="C1177" s="73"/>
      <c r="D1177" s="71"/>
      <c r="E1177" s="68"/>
      <c r="F1177" s="68"/>
      <c r="G1177" s="68"/>
      <c r="H1177" s="70"/>
      <c r="I1177" s="68"/>
      <c r="J1177" s="68"/>
      <c r="K1177" s="70"/>
      <c r="L1177" s="69"/>
      <c r="M1177" s="68"/>
    </row>
    <row r="1178" spans="1:13">
      <c r="A1178" s="68"/>
      <c r="B1178" s="68"/>
      <c r="C1178" s="73"/>
      <c r="D1178" s="71"/>
      <c r="E1178" s="68"/>
      <c r="F1178" s="68"/>
      <c r="G1178" s="68"/>
      <c r="H1178" s="70"/>
      <c r="I1178" s="68"/>
      <c r="J1178" s="68"/>
      <c r="K1178" s="70"/>
      <c r="L1178" s="69"/>
      <c r="M1178" s="68"/>
    </row>
    <row r="1179" spans="1:13">
      <c r="A1179" s="68"/>
      <c r="B1179" s="68"/>
      <c r="C1179" s="72"/>
      <c r="D1179" s="71"/>
      <c r="E1179" s="68"/>
      <c r="F1179" s="68"/>
      <c r="G1179" s="68"/>
      <c r="H1179" s="70"/>
      <c r="I1179" s="68"/>
      <c r="J1179" s="68"/>
      <c r="K1179" s="70"/>
      <c r="L1179" s="69"/>
      <c r="M1179" s="68"/>
    </row>
    <row r="1180" spans="1:13">
      <c r="A1180" s="68"/>
      <c r="B1180" s="68"/>
      <c r="C1180" s="72"/>
      <c r="D1180" s="71"/>
      <c r="E1180" s="68"/>
      <c r="F1180" s="68"/>
      <c r="G1180" s="68"/>
      <c r="H1180" s="70"/>
      <c r="I1180" s="68"/>
      <c r="J1180" s="68"/>
      <c r="K1180" s="70"/>
      <c r="L1180" s="69"/>
      <c r="M1180" s="68"/>
    </row>
    <row r="1181" spans="1:13">
      <c r="A1181" s="68"/>
      <c r="B1181" s="68"/>
      <c r="C1181" s="72"/>
      <c r="D1181" s="71"/>
      <c r="E1181" s="68"/>
      <c r="F1181" s="68"/>
      <c r="G1181" s="68"/>
      <c r="H1181" s="70"/>
      <c r="I1181" s="68"/>
      <c r="J1181" s="68"/>
      <c r="K1181" s="70"/>
      <c r="L1181" s="69"/>
      <c r="M1181" s="68"/>
    </row>
    <row r="1182" spans="1:13">
      <c r="A1182" s="68"/>
      <c r="B1182" s="68"/>
      <c r="C1182" s="72"/>
      <c r="D1182" s="71"/>
      <c r="E1182" s="68"/>
      <c r="F1182" s="68"/>
      <c r="G1182" s="68"/>
      <c r="H1182" s="70"/>
      <c r="I1182" s="68"/>
      <c r="J1182" s="68"/>
      <c r="K1182" s="70"/>
      <c r="L1182" s="69"/>
      <c r="M1182" s="68"/>
    </row>
    <row r="1183" spans="1:13">
      <c r="A1183" s="68"/>
      <c r="B1183" s="68"/>
      <c r="C1183" s="72"/>
      <c r="D1183" s="71"/>
      <c r="E1183" s="68"/>
      <c r="F1183" s="68"/>
      <c r="G1183" s="68"/>
      <c r="H1183" s="70"/>
      <c r="I1183" s="68"/>
      <c r="J1183" s="68"/>
      <c r="K1183" s="70"/>
      <c r="L1183" s="69"/>
      <c r="M1183" s="68"/>
    </row>
  </sheetData>
  <autoFilter ref="A1:M618"/>
  <dataValidations count="2">
    <dataValidation type="list" allowBlank="1" showErrorMessage="1" sqref="B122:B141 B145:B146 B150:B156 B159:B173 B175:B200">
      <formula1>$E$2:$E$33</formula1>
    </dataValidation>
    <dataValidation type="list" allowBlank="1" showErrorMessage="1" sqref="E231:E257 E259:E277 E279:E303 E305:E317 E319:E335 E337:E353 E355:E382 E384:E397 E399:E419 E421:E425 E427:E444 E446:E455 E457:E495 E497:E532 E534:E565 E567:E582 E584:E617 E619:E844">
      <formula1>"SELECT,Conference,SCI Publication,Scopus Publication,Book Chapter,Citations,Book"</formula1>
    </dataValidation>
  </dataValidations>
  <pageMargins left="0.70866141732283472" right="0.70866141732283472" top="0.74803149606299213" bottom="0.74803149606299213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'[Faculty Research Incentive 2024-2025_ Ver 3.0 dt. 15.07.2024 (1).xlsx]Name of the Faculty'!#REF!</xm:f>
          </x14:formula1>
          <xm:sqref>C84</xm:sqref>
        </x14:dataValidation>
        <x14:dataValidation type="list" allowBlank="1" showErrorMessage="1">
          <x14:formula1>
            <xm:f>'[Faculty Research Incentive 2024-2025_ Ver 3.0 dt. 15.07.2024 (1).xlsx]Name of the Department'!#REF!</xm:f>
          </x14:formula1>
          <xm:sqref>B22 B56:B58 B84 B143:B144 B147:B149 B158 B202:B229 B231:B257 B259:B277 B279:B303 B305:B317 B319:B335 B337:B353 B355:B378 B382 B384:B397 B399:B419 B421:B425 B427:B444 B446:B455 B457:B495 B497:B532 B534:B565 B567:B582 B584:B617 B619:B1103</xm:sqref>
        </x14:dataValidation>
        <x14:dataValidation type="list" allowBlank="1" showErrorMessage="1">
          <x14:formula1>
            <xm:f>'[Faculty Research Incentive 2024-2025_ Ver 3.0 dt. 15.07.2024 (1).xlsx]Name of the Faculty'!#REF!</xm:f>
          </x14:formula1>
          <xm:sqref>C2 C85:C97 C99:C120 C122:C141 C143:C156 C158:C173 C175:C200</xm:sqref>
        </x14:dataValidation>
        <x14:dataValidation type="list" allowBlank="1" showErrorMessage="1">
          <x14:formula1>
            <xm:f>'[Faculty Research Incentive 2024-2025_ Ver 3.0 dt. 15.07.2024 (1).xlsx]Name of the Department'!#REF!</xm:f>
          </x14:formula1>
          <xm:sqref>B53:B54 B99:B120 B379:B381</xm:sqref>
        </x14:dataValidation>
        <x14:dataValidation type="list" allowBlank="1" showErrorMessage="1">
          <x14:formula1>
            <xm:f>'[Faculty Research Incentive 2024-2025_ Ver 3.0 dt. 15.07.2024 (1).xlsx]Name of the Faculty'!#REF!</xm:f>
          </x14:formula1>
          <xm:sqref>C202:C229 C231:C257 C259:C277 C279:C303 C305:C317 C319:C335 C337:C353 C355:C382 C384:C397 C399:C419 C421:C425 C427:C444 C446:C455 C457:C495 C497:C532 C534:C565 C567:C571 C573:C582 C584:C617 C619:C1103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53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7" style="1" customWidth="1"/>
    <col min="2" max="2" width="11.7109375" style="1" customWidth="1"/>
    <col min="3" max="3" width="30.7109375" style="1" customWidth="1"/>
    <col min="4" max="4" width="65.28515625" style="1" customWidth="1"/>
    <col min="5" max="5" width="28.28515625" style="1" customWidth="1"/>
    <col min="6" max="6" width="10.28515625" style="1" customWidth="1"/>
    <col min="7" max="7" width="12.5703125" style="1" customWidth="1"/>
    <col min="8" max="8" width="15.28515625" style="1" customWidth="1"/>
    <col min="9" max="9" width="15.7109375" style="1" customWidth="1"/>
    <col min="10" max="10" width="13" style="1" customWidth="1"/>
    <col min="11" max="11" width="18.7109375" style="1" customWidth="1"/>
    <col min="12" max="12" width="15.7109375" style="1" customWidth="1"/>
    <col min="13" max="16384" width="14.42578125" style="1"/>
  </cols>
  <sheetData>
    <row r="1" spans="1:12" ht="47.25">
      <c r="A1" s="46" t="s">
        <v>158</v>
      </c>
      <c r="B1" s="46" t="s">
        <v>154</v>
      </c>
      <c r="C1" s="46" t="s">
        <v>157</v>
      </c>
      <c r="D1" s="46" t="s">
        <v>156</v>
      </c>
      <c r="E1" s="46" t="s">
        <v>155</v>
      </c>
      <c r="F1" s="46" t="s">
        <v>154</v>
      </c>
      <c r="G1" s="46" t="s">
        <v>153</v>
      </c>
      <c r="H1" s="55" t="s">
        <v>152</v>
      </c>
      <c r="I1" s="46" t="s">
        <v>151</v>
      </c>
      <c r="J1" s="46">
        <f>SUM(J2:J531)</f>
        <v>1838300</v>
      </c>
      <c r="K1" s="46" t="s">
        <v>717</v>
      </c>
      <c r="L1" s="46" t="s">
        <v>716</v>
      </c>
    </row>
    <row r="2" spans="1:12" ht="31.5">
      <c r="A2" s="18">
        <v>87</v>
      </c>
      <c r="B2" s="18" t="s">
        <v>1</v>
      </c>
      <c r="C2" s="67" t="s">
        <v>388</v>
      </c>
      <c r="D2" s="57" t="s">
        <v>715</v>
      </c>
      <c r="E2" s="18" t="s">
        <v>23</v>
      </c>
      <c r="F2" s="18" t="s">
        <v>1</v>
      </c>
      <c r="G2" s="18">
        <v>4500</v>
      </c>
      <c r="H2" s="48">
        <v>44930</v>
      </c>
      <c r="I2" s="18" t="s">
        <v>12</v>
      </c>
      <c r="J2" s="34"/>
      <c r="K2" s="18"/>
      <c r="L2" s="18"/>
    </row>
    <row r="3" spans="1:12" ht="47.25">
      <c r="A3" s="18">
        <v>88</v>
      </c>
      <c r="B3" s="18" t="s">
        <v>1</v>
      </c>
      <c r="C3" s="67" t="s">
        <v>388</v>
      </c>
      <c r="D3" s="57" t="s">
        <v>714</v>
      </c>
      <c r="E3" s="18" t="s">
        <v>23</v>
      </c>
      <c r="F3" s="18" t="s">
        <v>1</v>
      </c>
      <c r="G3" s="18">
        <v>4500</v>
      </c>
      <c r="H3" s="48">
        <v>44930</v>
      </c>
      <c r="I3" s="18" t="s">
        <v>12</v>
      </c>
      <c r="J3" s="34"/>
      <c r="K3" s="18"/>
      <c r="L3" s="18"/>
    </row>
    <row r="4" spans="1:12" ht="47.25">
      <c r="A4" s="18">
        <v>89</v>
      </c>
      <c r="B4" s="18" t="s">
        <v>1</v>
      </c>
      <c r="C4" s="67" t="s">
        <v>388</v>
      </c>
      <c r="D4" s="57" t="s">
        <v>713</v>
      </c>
      <c r="E4" s="18" t="s">
        <v>56</v>
      </c>
      <c r="F4" s="18" t="s">
        <v>1</v>
      </c>
      <c r="G4" s="18">
        <v>1800</v>
      </c>
      <c r="H4" s="48">
        <v>44930</v>
      </c>
      <c r="I4" s="18" t="s">
        <v>12</v>
      </c>
      <c r="J4" s="34"/>
      <c r="K4" s="18"/>
      <c r="L4" s="18"/>
    </row>
    <row r="5" spans="1:12" ht="31.5">
      <c r="A5" s="18">
        <v>90</v>
      </c>
      <c r="B5" s="18" t="s">
        <v>5</v>
      </c>
      <c r="C5" s="67" t="s">
        <v>72</v>
      </c>
      <c r="D5" s="57" t="s">
        <v>712</v>
      </c>
      <c r="E5" s="18" t="s">
        <v>23</v>
      </c>
      <c r="F5" s="18" t="s">
        <v>5</v>
      </c>
      <c r="G5" s="18">
        <v>10000</v>
      </c>
      <c r="H5" s="48">
        <v>44930</v>
      </c>
      <c r="I5" s="18" t="s">
        <v>12</v>
      </c>
      <c r="J5" s="34"/>
      <c r="K5" s="18"/>
      <c r="L5" s="18"/>
    </row>
    <row r="6" spans="1:12" ht="31.5">
      <c r="A6" s="18">
        <v>91</v>
      </c>
      <c r="B6" s="18" t="s">
        <v>2</v>
      </c>
      <c r="C6" s="67" t="s">
        <v>68</v>
      </c>
      <c r="D6" s="57" t="s">
        <v>711</v>
      </c>
      <c r="E6" s="18" t="s">
        <v>23</v>
      </c>
      <c r="F6" s="18" t="s">
        <v>2</v>
      </c>
      <c r="G6" s="18">
        <v>6000</v>
      </c>
      <c r="H6" s="48">
        <v>44930</v>
      </c>
      <c r="I6" s="18" t="s">
        <v>12</v>
      </c>
      <c r="J6" s="34"/>
      <c r="K6" s="18"/>
      <c r="L6" s="18"/>
    </row>
    <row r="7" spans="1:12" ht="31.5">
      <c r="A7" s="18">
        <v>92</v>
      </c>
      <c r="B7" s="18" t="s">
        <v>1</v>
      </c>
      <c r="C7" s="67" t="s">
        <v>45</v>
      </c>
      <c r="D7" s="57" t="s">
        <v>710</v>
      </c>
      <c r="E7" s="18" t="s">
        <v>56</v>
      </c>
      <c r="F7" s="18" t="s">
        <v>1</v>
      </c>
      <c r="G7" s="18">
        <v>3000</v>
      </c>
      <c r="H7" s="48">
        <v>44930</v>
      </c>
      <c r="I7" s="18" t="s">
        <v>12</v>
      </c>
      <c r="J7" s="34"/>
      <c r="K7" s="18"/>
      <c r="L7" s="18"/>
    </row>
    <row r="8" spans="1:12" ht="31.5">
      <c r="A8" s="18">
        <v>93</v>
      </c>
      <c r="B8" s="18" t="s">
        <v>1</v>
      </c>
      <c r="C8" s="67" t="s">
        <v>45</v>
      </c>
      <c r="D8" s="57" t="s">
        <v>709</v>
      </c>
      <c r="E8" s="18" t="s">
        <v>56</v>
      </c>
      <c r="F8" s="18" t="s">
        <v>1</v>
      </c>
      <c r="G8" s="18">
        <v>1500</v>
      </c>
      <c r="H8" s="48">
        <v>44930</v>
      </c>
      <c r="I8" s="18" t="s">
        <v>12</v>
      </c>
      <c r="J8" s="34"/>
      <c r="K8" s="18"/>
      <c r="L8" s="18"/>
    </row>
    <row r="9" spans="1:12" ht="15.75">
      <c r="A9" s="18">
        <v>94</v>
      </c>
      <c r="B9" s="18" t="s">
        <v>1</v>
      </c>
      <c r="C9" s="67" t="s">
        <v>45</v>
      </c>
      <c r="D9" s="57" t="s">
        <v>708</v>
      </c>
      <c r="E9" s="18" t="s">
        <v>56</v>
      </c>
      <c r="F9" s="18" t="s">
        <v>1</v>
      </c>
      <c r="G9" s="18">
        <v>1500</v>
      </c>
      <c r="H9" s="48">
        <v>44930</v>
      </c>
      <c r="I9" s="18" t="s">
        <v>12</v>
      </c>
      <c r="J9" s="34"/>
      <c r="K9" s="18"/>
      <c r="L9" s="18"/>
    </row>
    <row r="10" spans="1:12" ht="15.75">
      <c r="A10" s="58"/>
      <c r="B10" s="58"/>
      <c r="C10" s="58"/>
      <c r="D10" s="58" t="s">
        <v>11</v>
      </c>
      <c r="E10" s="58"/>
      <c r="F10" s="58"/>
      <c r="G10" s="58">
        <f>SUM(G2:G9)</f>
        <v>32800</v>
      </c>
      <c r="H10" s="53"/>
      <c r="I10" s="58"/>
      <c r="J10" s="34">
        <f>G10</f>
        <v>32800</v>
      </c>
      <c r="K10" s="58"/>
      <c r="L10" s="58"/>
    </row>
    <row r="11" spans="1:12" ht="31.5">
      <c r="A11" s="18">
        <v>95</v>
      </c>
      <c r="B11" s="18" t="s">
        <v>2</v>
      </c>
      <c r="C11" s="67" t="s">
        <v>209</v>
      </c>
      <c r="D11" s="21" t="s">
        <v>707</v>
      </c>
      <c r="E11" s="18" t="s">
        <v>16</v>
      </c>
      <c r="F11" s="18" t="s">
        <v>2</v>
      </c>
      <c r="G11" s="18">
        <v>1800</v>
      </c>
      <c r="H11" s="48">
        <v>44959</v>
      </c>
      <c r="I11" s="18" t="s">
        <v>12</v>
      </c>
      <c r="J11" s="34"/>
      <c r="K11" s="18"/>
      <c r="L11" s="18"/>
    </row>
    <row r="12" spans="1:12" ht="47.25">
      <c r="A12" s="18">
        <v>96</v>
      </c>
      <c r="B12" s="18" t="s">
        <v>8</v>
      </c>
      <c r="C12" s="49" t="s">
        <v>279</v>
      </c>
      <c r="D12" s="21" t="s">
        <v>706</v>
      </c>
      <c r="E12" s="18" t="s">
        <v>23</v>
      </c>
      <c r="F12" s="18" t="s">
        <v>8</v>
      </c>
      <c r="G12" s="18">
        <v>10000</v>
      </c>
      <c r="H12" s="48">
        <v>44959</v>
      </c>
      <c r="I12" s="18" t="s">
        <v>12</v>
      </c>
      <c r="J12" s="34"/>
      <c r="K12" s="18"/>
      <c r="L12" s="18"/>
    </row>
    <row r="13" spans="1:12" ht="15.75">
      <c r="A13" s="18">
        <v>97</v>
      </c>
      <c r="B13" s="18" t="s">
        <v>5</v>
      </c>
      <c r="C13" s="67" t="s">
        <v>115</v>
      </c>
      <c r="D13" s="21" t="s">
        <v>705</v>
      </c>
      <c r="E13" s="18" t="s">
        <v>324</v>
      </c>
      <c r="F13" s="18" t="s">
        <v>5</v>
      </c>
      <c r="G13" s="18">
        <v>5000</v>
      </c>
      <c r="H13" s="48">
        <v>44959</v>
      </c>
      <c r="I13" s="18" t="s">
        <v>12</v>
      </c>
      <c r="J13" s="34"/>
      <c r="K13" s="18"/>
      <c r="L13" s="18"/>
    </row>
    <row r="14" spans="1:12" ht="31.5">
      <c r="A14" s="18">
        <v>98</v>
      </c>
      <c r="B14" s="18" t="s">
        <v>9</v>
      </c>
      <c r="C14" s="67" t="s">
        <v>38</v>
      </c>
      <c r="D14" s="21" t="s">
        <v>704</v>
      </c>
      <c r="E14" s="18" t="s">
        <v>23</v>
      </c>
      <c r="F14" s="18" t="s">
        <v>36</v>
      </c>
      <c r="G14" s="18">
        <v>10000</v>
      </c>
      <c r="H14" s="48">
        <v>44959</v>
      </c>
      <c r="I14" s="18" t="s">
        <v>35</v>
      </c>
      <c r="J14" s="34"/>
      <c r="K14" s="18"/>
      <c r="L14" s="18"/>
    </row>
    <row r="15" spans="1:12" ht="31.5">
      <c r="A15" s="18">
        <v>99</v>
      </c>
      <c r="B15" s="18" t="s">
        <v>5</v>
      </c>
      <c r="C15" s="67" t="s">
        <v>290</v>
      </c>
      <c r="D15" s="21" t="s">
        <v>703</v>
      </c>
      <c r="E15" s="18" t="s">
        <v>16</v>
      </c>
      <c r="F15" s="18" t="s">
        <v>5</v>
      </c>
      <c r="G15" s="18">
        <v>3000</v>
      </c>
      <c r="H15" s="48">
        <v>44959</v>
      </c>
      <c r="I15" s="18" t="s">
        <v>35</v>
      </c>
      <c r="J15" s="34"/>
      <c r="K15" s="18"/>
      <c r="L15" s="18"/>
    </row>
    <row r="16" spans="1:12" ht="15.75">
      <c r="A16" s="18">
        <v>100</v>
      </c>
      <c r="B16" s="18" t="s">
        <v>5</v>
      </c>
      <c r="C16" s="67" t="s">
        <v>21</v>
      </c>
      <c r="D16" s="21" t="s">
        <v>702</v>
      </c>
      <c r="E16" s="18" t="s">
        <v>16</v>
      </c>
      <c r="F16" s="18" t="s">
        <v>5</v>
      </c>
      <c r="G16" s="18">
        <v>1800</v>
      </c>
      <c r="H16" s="48">
        <v>44959</v>
      </c>
      <c r="I16" s="18" t="s">
        <v>12</v>
      </c>
      <c r="J16" s="34"/>
      <c r="K16" s="18"/>
      <c r="L16" s="18"/>
    </row>
    <row r="17" spans="1:12" ht="31.5">
      <c r="A17" s="18">
        <v>101</v>
      </c>
      <c r="B17" s="18" t="s">
        <v>5</v>
      </c>
      <c r="C17" s="67" t="s">
        <v>66</v>
      </c>
      <c r="D17" s="21" t="s">
        <v>701</v>
      </c>
      <c r="E17" s="18" t="s">
        <v>16</v>
      </c>
      <c r="F17" s="18" t="s">
        <v>5</v>
      </c>
      <c r="G17" s="18">
        <v>3000</v>
      </c>
      <c r="H17" s="48">
        <v>44959</v>
      </c>
      <c r="I17" s="18" t="s">
        <v>35</v>
      </c>
      <c r="J17" s="34"/>
      <c r="K17" s="18"/>
      <c r="L17" s="18"/>
    </row>
    <row r="18" spans="1:12" ht="31.5">
      <c r="A18" s="18">
        <v>102</v>
      </c>
      <c r="B18" s="18" t="s">
        <v>0</v>
      </c>
      <c r="C18" s="67" t="s">
        <v>334</v>
      </c>
      <c r="D18" s="21" t="s">
        <v>700</v>
      </c>
      <c r="E18" s="18" t="s">
        <v>23</v>
      </c>
      <c r="F18" s="18" t="s">
        <v>0</v>
      </c>
      <c r="G18" s="18">
        <v>10000</v>
      </c>
      <c r="H18" s="48">
        <v>44959</v>
      </c>
      <c r="I18" s="18" t="s">
        <v>12</v>
      </c>
      <c r="J18" s="34"/>
      <c r="K18" s="18"/>
      <c r="L18" s="18"/>
    </row>
    <row r="19" spans="1:12" ht="31.5">
      <c r="A19" s="18">
        <v>103</v>
      </c>
      <c r="B19" s="18" t="s">
        <v>5</v>
      </c>
      <c r="C19" s="67" t="s">
        <v>72</v>
      </c>
      <c r="D19" s="57" t="s">
        <v>699</v>
      </c>
      <c r="E19" s="18" t="s">
        <v>16</v>
      </c>
      <c r="F19" s="18" t="s">
        <v>5</v>
      </c>
      <c r="G19" s="18">
        <v>3000</v>
      </c>
      <c r="H19" s="48">
        <v>44959</v>
      </c>
      <c r="I19" s="18" t="s">
        <v>12</v>
      </c>
      <c r="J19" s="34"/>
      <c r="K19" s="18"/>
      <c r="L19" s="18"/>
    </row>
    <row r="20" spans="1:12" ht="15.75">
      <c r="A20" s="18">
        <v>104</v>
      </c>
      <c r="B20" s="18" t="s">
        <v>5</v>
      </c>
      <c r="C20" s="67" t="s">
        <v>72</v>
      </c>
      <c r="D20" s="57" t="s">
        <v>698</v>
      </c>
      <c r="E20" s="18" t="s">
        <v>16</v>
      </c>
      <c r="F20" s="18" t="s">
        <v>5</v>
      </c>
      <c r="G20" s="18">
        <v>3000</v>
      </c>
      <c r="H20" s="48">
        <v>44959</v>
      </c>
      <c r="I20" s="18" t="s">
        <v>12</v>
      </c>
      <c r="J20" s="34"/>
      <c r="K20" s="18"/>
      <c r="L20" s="18"/>
    </row>
    <row r="21" spans="1:12" ht="15.75">
      <c r="A21" s="58"/>
      <c r="B21" s="58"/>
      <c r="C21" s="58"/>
      <c r="D21" s="58" t="s">
        <v>11</v>
      </c>
      <c r="E21" s="58"/>
      <c r="F21" s="58"/>
      <c r="G21" s="58">
        <f>SUM(G11:G20)</f>
        <v>50600</v>
      </c>
      <c r="H21" s="53"/>
      <c r="I21" s="58"/>
      <c r="J21" s="34">
        <f>G21</f>
        <v>50600</v>
      </c>
      <c r="K21" s="58"/>
      <c r="L21" s="58"/>
    </row>
    <row r="22" spans="1:12" ht="31.5">
      <c r="A22" s="18">
        <v>105</v>
      </c>
      <c r="B22" s="18" t="s">
        <v>0</v>
      </c>
      <c r="C22" s="49" t="s">
        <v>334</v>
      </c>
      <c r="D22" s="21" t="s">
        <v>697</v>
      </c>
      <c r="E22" s="18" t="s">
        <v>23</v>
      </c>
      <c r="F22" s="18" t="s">
        <v>0</v>
      </c>
      <c r="G22" s="18">
        <v>6000</v>
      </c>
      <c r="H22" s="48">
        <v>44971</v>
      </c>
      <c r="I22" s="18" t="s">
        <v>12</v>
      </c>
      <c r="J22" s="34"/>
      <c r="K22" s="18"/>
      <c r="L22" s="18"/>
    </row>
    <row r="23" spans="1:12" ht="31.5">
      <c r="A23" s="18">
        <v>106</v>
      </c>
      <c r="B23" s="18" t="s">
        <v>0</v>
      </c>
      <c r="C23" s="49" t="s">
        <v>696</v>
      </c>
      <c r="D23" s="21" t="s">
        <v>695</v>
      </c>
      <c r="E23" s="18" t="s">
        <v>23</v>
      </c>
      <c r="F23" s="18" t="s">
        <v>0</v>
      </c>
      <c r="G23" s="18">
        <v>6000</v>
      </c>
      <c r="H23" s="48">
        <v>44971</v>
      </c>
      <c r="I23" s="18" t="s">
        <v>12</v>
      </c>
      <c r="J23" s="34"/>
      <c r="K23" s="18"/>
      <c r="L23" s="18"/>
    </row>
    <row r="24" spans="1:12" ht="47.25">
      <c r="A24" s="18">
        <v>107</v>
      </c>
      <c r="B24" s="18" t="s">
        <v>1</v>
      </c>
      <c r="C24" s="49" t="s">
        <v>504</v>
      </c>
      <c r="D24" s="21" t="s">
        <v>694</v>
      </c>
      <c r="E24" s="18" t="s">
        <v>23</v>
      </c>
      <c r="F24" s="18" t="s">
        <v>1</v>
      </c>
      <c r="G24" s="18">
        <v>6000</v>
      </c>
      <c r="H24" s="48">
        <v>44971</v>
      </c>
      <c r="I24" s="18" t="s">
        <v>12</v>
      </c>
      <c r="J24" s="34"/>
      <c r="K24" s="18"/>
      <c r="L24" s="18"/>
    </row>
    <row r="25" spans="1:12" ht="47.25">
      <c r="A25" s="18">
        <v>108</v>
      </c>
      <c r="B25" s="18" t="s">
        <v>1</v>
      </c>
      <c r="C25" s="49" t="s">
        <v>167</v>
      </c>
      <c r="D25" s="21" t="s">
        <v>693</v>
      </c>
      <c r="E25" s="18" t="s">
        <v>23</v>
      </c>
      <c r="F25" s="18" t="s">
        <v>1</v>
      </c>
      <c r="G25" s="18">
        <v>10000</v>
      </c>
      <c r="H25" s="48">
        <v>44971</v>
      </c>
      <c r="I25" s="18" t="s">
        <v>12</v>
      </c>
      <c r="J25" s="34"/>
      <c r="K25" s="18"/>
      <c r="L25" s="18"/>
    </row>
    <row r="26" spans="1:12" ht="47.25">
      <c r="A26" s="18">
        <v>109</v>
      </c>
      <c r="B26" s="18" t="s">
        <v>2</v>
      </c>
      <c r="C26" s="49" t="s">
        <v>99</v>
      </c>
      <c r="D26" s="21" t="s">
        <v>692</v>
      </c>
      <c r="E26" s="18" t="s">
        <v>23</v>
      </c>
      <c r="F26" s="18" t="s">
        <v>2</v>
      </c>
      <c r="G26" s="18">
        <v>6000</v>
      </c>
      <c r="H26" s="48">
        <v>44971</v>
      </c>
      <c r="I26" s="18" t="s">
        <v>12</v>
      </c>
      <c r="J26" s="34"/>
      <c r="K26" s="18"/>
      <c r="L26" s="18"/>
    </row>
    <row r="27" spans="1:12" ht="31.5">
      <c r="A27" s="18">
        <v>110</v>
      </c>
      <c r="B27" s="18" t="s">
        <v>2</v>
      </c>
      <c r="C27" s="49" t="s">
        <v>99</v>
      </c>
      <c r="D27" s="21" t="s">
        <v>691</v>
      </c>
      <c r="E27" s="18" t="s">
        <v>13</v>
      </c>
      <c r="F27" s="18" t="s">
        <v>2</v>
      </c>
      <c r="G27" s="18">
        <v>5000</v>
      </c>
      <c r="H27" s="48">
        <v>44971</v>
      </c>
      <c r="I27" s="18" t="s">
        <v>12</v>
      </c>
      <c r="J27" s="34"/>
      <c r="K27" s="18"/>
      <c r="L27" s="18"/>
    </row>
    <row r="28" spans="1:12" ht="31.5">
      <c r="A28" s="18">
        <v>111</v>
      </c>
      <c r="B28" s="18" t="s">
        <v>2</v>
      </c>
      <c r="C28" s="49" t="s">
        <v>99</v>
      </c>
      <c r="D28" s="21" t="s">
        <v>690</v>
      </c>
      <c r="E28" s="18" t="s">
        <v>13</v>
      </c>
      <c r="F28" s="18" t="s">
        <v>2</v>
      </c>
      <c r="G28" s="18">
        <v>5000</v>
      </c>
      <c r="H28" s="48">
        <v>44971</v>
      </c>
      <c r="I28" s="18" t="s">
        <v>12</v>
      </c>
      <c r="J28" s="34"/>
      <c r="K28" s="18"/>
      <c r="L28" s="18"/>
    </row>
    <row r="29" spans="1:12" ht="31.5">
      <c r="A29" s="18">
        <v>112</v>
      </c>
      <c r="B29" s="18" t="s">
        <v>2</v>
      </c>
      <c r="C29" s="49" t="s">
        <v>99</v>
      </c>
      <c r="D29" s="21" t="s">
        <v>689</v>
      </c>
      <c r="E29" s="18" t="s">
        <v>13</v>
      </c>
      <c r="F29" s="18" t="s">
        <v>2</v>
      </c>
      <c r="G29" s="18">
        <v>5000</v>
      </c>
      <c r="H29" s="48">
        <v>44971</v>
      </c>
      <c r="I29" s="18" t="s">
        <v>12</v>
      </c>
      <c r="J29" s="34"/>
      <c r="K29" s="18"/>
      <c r="L29" s="18"/>
    </row>
    <row r="30" spans="1:12" ht="31.5">
      <c r="A30" s="18">
        <v>113</v>
      </c>
      <c r="B30" s="18" t="s">
        <v>5</v>
      </c>
      <c r="C30" s="49" t="s">
        <v>288</v>
      </c>
      <c r="D30" s="21" t="s">
        <v>688</v>
      </c>
      <c r="E30" s="18" t="s">
        <v>16</v>
      </c>
      <c r="F30" s="18" t="s">
        <v>5</v>
      </c>
      <c r="G30" s="18">
        <v>1800</v>
      </c>
      <c r="H30" s="48">
        <v>44971</v>
      </c>
      <c r="I30" s="18" t="s">
        <v>35</v>
      </c>
      <c r="J30" s="34"/>
      <c r="K30" s="18"/>
      <c r="L30" s="18"/>
    </row>
    <row r="31" spans="1:12" ht="31.5">
      <c r="A31" s="18">
        <v>114</v>
      </c>
      <c r="B31" s="18" t="s">
        <v>5</v>
      </c>
      <c r="C31" s="49" t="s">
        <v>269</v>
      </c>
      <c r="D31" s="21" t="s">
        <v>687</v>
      </c>
      <c r="E31" s="18" t="s">
        <v>16</v>
      </c>
      <c r="F31" s="18" t="s">
        <v>5</v>
      </c>
      <c r="G31" s="18">
        <v>1800</v>
      </c>
      <c r="H31" s="48">
        <v>44971</v>
      </c>
      <c r="I31" s="18" t="s">
        <v>12</v>
      </c>
      <c r="J31" s="34"/>
      <c r="K31" s="18"/>
      <c r="L31" s="18"/>
    </row>
    <row r="32" spans="1:12" ht="31.5">
      <c r="A32" s="18">
        <v>115</v>
      </c>
      <c r="B32" s="18" t="s">
        <v>5</v>
      </c>
      <c r="C32" s="49" t="s">
        <v>269</v>
      </c>
      <c r="D32" s="21" t="s">
        <v>686</v>
      </c>
      <c r="E32" s="18" t="s">
        <v>16</v>
      </c>
      <c r="F32" s="18" t="s">
        <v>5</v>
      </c>
      <c r="G32" s="18">
        <v>900</v>
      </c>
      <c r="H32" s="48">
        <v>44971</v>
      </c>
      <c r="I32" s="18" t="s">
        <v>12</v>
      </c>
      <c r="J32" s="34"/>
      <c r="K32" s="18"/>
      <c r="L32" s="18"/>
    </row>
    <row r="33" spans="1:12" ht="31.5">
      <c r="A33" s="18">
        <v>116</v>
      </c>
      <c r="B33" s="18" t="s">
        <v>5</v>
      </c>
      <c r="C33" s="49" t="s">
        <v>650</v>
      </c>
      <c r="D33" s="21" t="s">
        <v>685</v>
      </c>
      <c r="E33" s="18" t="s">
        <v>16</v>
      </c>
      <c r="F33" s="18" t="s">
        <v>5</v>
      </c>
      <c r="G33" s="18">
        <v>1800</v>
      </c>
      <c r="H33" s="48">
        <v>44971</v>
      </c>
      <c r="I33" s="18" t="s">
        <v>35</v>
      </c>
      <c r="J33" s="34"/>
      <c r="K33" s="18"/>
      <c r="L33" s="18"/>
    </row>
    <row r="34" spans="1:12" ht="47.25">
      <c r="A34" s="18">
        <v>117</v>
      </c>
      <c r="B34" s="18" t="s">
        <v>5</v>
      </c>
      <c r="C34" s="49" t="s">
        <v>296</v>
      </c>
      <c r="D34" s="21" t="s">
        <v>684</v>
      </c>
      <c r="E34" s="18" t="s">
        <v>16</v>
      </c>
      <c r="F34" s="18" t="s">
        <v>5</v>
      </c>
      <c r="G34" s="18">
        <v>3000</v>
      </c>
      <c r="H34" s="48">
        <v>44971</v>
      </c>
      <c r="I34" s="18" t="s">
        <v>12</v>
      </c>
      <c r="J34" s="34"/>
      <c r="K34" s="18"/>
      <c r="L34" s="18"/>
    </row>
    <row r="35" spans="1:12" ht="47.25">
      <c r="A35" s="18">
        <v>118</v>
      </c>
      <c r="B35" s="18" t="s">
        <v>5</v>
      </c>
      <c r="C35" s="49" t="s">
        <v>66</v>
      </c>
      <c r="D35" s="21" t="s">
        <v>683</v>
      </c>
      <c r="E35" s="18" t="s">
        <v>23</v>
      </c>
      <c r="F35" s="18" t="s">
        <v>5</v>
      </c>
      <c r="G35" s="18">
        <v>3000</v>
      </c>
      <c r="H35" s="48">
        <v>44971</v>
      </c>
      <c r="I35" s="18" t="s">
        <v>35</v>
      </c>
      <c r="J35" s="34"/>
      <c r="K35" s="18"/>
      <c r="L35" s="18"/>
    </row>
    <row r="36" spans="1:12" ht="47.25">
      <c r="A36" s="18">
        <v>119</v>
      </c>
      <c r="B36" s="18" t="s">
        <v>6</v>
      </c>
      <c r="C36" s="49" t="s">
        <v>230</v>
      </c>
      <c r="D36" s="21" t="s">
        <v>682</v>
      </c>
      <c r="E36" s="18" t="s">
        <v>23</v>
      </c>
      <c r="F36" s="18" t="s">
        <v>6</v>
      </c>
      <c r="G36" s="18">
        <v>6000</v>
      </c>
      <c r="H36" s="48">
        <v>44971</v>
      </c>
      <c r="I36" s="18" t="s">
        <v>12</v>
      </c>
      <c r="J36" s="34"/>
      <c r="K36" s="18"/>
      <c r="L36" s="18"/>
    </row>
    <row r="37" spans="1:12" ht="31.5">
      <c r="A37" s="18">
        <v>120</v>
      </c>
      <c r="B37" s="18" t="s">
        <v>6</v>
      </c>
      <c r="C37" s="49" t="s">
        <v>230</v>
      </c>
      <c r="D37" s="21" t="s">
        <v>681</v>
      </c>
      <c r="E37" s="18" t="s">
        <v>16</v>
      </c>
      <c r="F37" s="18" t="s">
        <v>6</v>
      </c>
      <c r="G37" s="18">
        <v>3000</v>
      </c>
      <c r="H37" s="48">
        <v>44971</v>
      </c>
      <c r="I37" s="18" t="s">
        <v>12</v>
      </c>
      <c r="J37" s="34"/>
      <c r="K37" s="18"/>
      <c r="L37" s="18"/>
    </row>
    <row r="38" spans="1:12" ht="31.5">
      <c r="A38" s="18">
        <v>121</v>
      </c>
      <c r="B38" s="18" t="s">
        <v>6</v>
      </c>
      <c r="C38" s="49" t="s">
        <v>679</v>
      </c>
      <c r="D38" s="21" t="s">
        <v>680</v>
      </c>
      <c r="E38" s="18" t="s">
        <v>13</v>
      </c>
      <c r="F38" s="18" t="s">
        <v>6</v>
      </c>
      <c r="G38" s="18">
        <v>5000</v>
      </c>
      <c r="H38" s="48">
        <v>44971</v>
      </c>
      <c r="I38" s="18" t="s">
        <v>35</v>
      </c>
      <c r="J38" s="34"/>
      <c r="K38" s="18"/>
      <c r="L38" s="18"/>
    </row>
    <row r="39" spans="1:12" ht="31.5">
      <c r="A39" s="18">
        <v>122</v>
      </c>
      <c r="B39" s="18" t="s">
        <v>6</v>
      </c>
      <c r="C39" s="49" t="s">
        <v>679</v>
      </c>
      <c r="D39" s="21" t="s">
        <v>678</v>
      </c>
      <c r="E39" s="18" t="s">
        <v>16</v>
      </c>
      <c r="F39" s="18" t="s">
        <v>6</v>
      </c>
      <c r="G39" s="18">
        <v>1800</v>
      </c>
      <c r="H39" s="48">
        <v>44971</v>
      </c>
      <c r="I39" s="18" t="s">
        <v>35</v>
      </c>
      <c r="J39" s="34"/>
      <c r="K39" s="18"/>
      <c r="L39" s="18"/>
    </row>
    <row r="40" spans="1:12" ht="31.5">
      <c r="A40" s="18">
        <v>123</v>
      </c>
      <c r="B40" s="18" t="s">
        <v>3</v>
      </c>
      <c r="C40" s="49" t="s">
        <v>677</v>
      </c>
      <c r="D40" s="21" t="s">
        <v>676</v>
      </c>
      <c r="E40" s="18" t="s">
        <v>16</v>
      </c>
      <c r="F40" s="18" t="s">
        <v>3</v>
      </c>
      <c r="G40" s="18">
        <v>3000</v>
      </c>
      <c r="H40" s="48">
        <v>44971</v>
      </c>
      <c r="I40" s="18" t="s">
        <v>35</v>
      </c>
      <c r="J40" s="34"/>
      <c r="K40" s="18"/>
      <c r="L40" s="18"/>
    </row>
    <row r="41" spans="1:12" ht="31.5">
      <c r="A41" s="18">
        <v>124</v>
      </c>
      <c r="B41" s="18" t="s">
        <v>3</v>
      </c>
      <c r="C41" s="49" t="s">
        <v>675</v>
      </c>
      <c r="D41" s="21" t="s">
        <v>674</v>
      </c>
      <c r="E41" s="18" t="s">
        <v>16</v>
      </c>
      <c r="F41" s="18" t="s">
        <v>3</v>
      </c>
      <c r="G41" s="18">
        <v>1800</v>
      </c>
      <c r="H41" s="48">
        <v>44971</v>
      </c>
      <c r="I41" s="18" t="s">
        <v>53</v>
      </c>
      <c r="J41" s="34"/>
      <c r="K41" s="18"/>
      <c r="L41" s="18"/>
    </row>
    <row r="42" spans="1:12" ht="31.5">
      <c r="A42" s="18">
        <v>125</v>
      </c>
      <c r="B42" s="18" t="s">
        <v>3</v>
      </c>
      <c r="C42" s="49" t="s">
        <v>673</v>
      </c>
      <c r="D42" s="21" t="s">
        <v>672</v>
      </c>
      <c r="E42" s="18" t="s">
        <v>16</v>
      </c>
      <c r="F42" s="18" t="s">
        <v>3</v>
      </c>
      <c r="G42" s="18">
        <v>3000</v>
      </c>
      <c r="H42" s="48">
        <v>44971</v>
      </c>
      <c r="I42" s="18" t="s">
        <v>53</v>
      </c>
      <c r="J42" s="34"/>
      <c r="K42" s="18"/>
      <c r="L42" s="18"/>
    </row>
    <row r="43" spans="1:12" ht="31.5">
      <c r="A43" s="18">
        <v>126</v>
      </c>
      <c r="B43" s="18" t="s">
        <v>3</v>
      </c>
      <c r="C43" s="49" t="s">
        <v>55</v>
      </c>
      <c r="D43" s="21" t="s">
        <v>671</v>
      </c>
      <c r="E43" s="18" t="s">
        <v>16</v>
      </c>
      <c r="F43" s="18" t="s">
        <v>3</v>
      </c>
      <c r="G43" s="18">
        <v>3000</v>
      </c>
      <c r="H43" s="48">
        <v>44971</v>
      </c>
      <c r="I43" s="18" t="s">
        <v>53</v>
      </c>
      <c r="J43" s="34"/>
      <c r="K43" s="18"/>
      <c r="L43" s="18"/>
    </row>
    <row r="44" spans="1:12" ht="15.75">
      <c r="A44" s="58"/>
      <c r="B44" s="58"/>
      <c r="C44" s="58"/>
      <c r="D44" s="58" t="s">
        <v>11</v>
      </c>
      <c r="E44" s="58"/>
      <c r="F44" s="58"/>
      <c r="G44" s="66">
        <f>SUM(G22:G43)</f>
        <v>87900</v>
      </c>
      <c r="H44" s="65"/>
      <c r="I44" s="58"/>
      <c r="J44" s="34">
        <f>G44</f>
        <v>87900</v>
      </c>
      <c r="K44" s="58"/>
      <c r="L44" s="58"/>
    </row>
    <row r="45" spans="1:12" ht="31.5">
      <c r="A45" s="18">
        <v>127</v>
      </c>
      <c r="B45" s="18" t="s">
        <v>5</v>
      </c>
      <c r="C45" s="49" t="s">
        <v>288</v>
      </c>
      <c r="D45" s="21" t="s">
        <v>670</v>
      </c>
      <c r="E45" s="18" t="s">
        <v>16</v>
      </c>
      <c r="F45" s="18" t="s">
        <v>5</v>
      </c>
      <c r="G45" s="18">
        <v>3000</v>
      </c>
      <c r="H45" s="48">
        <v>44977</v>
      </c>
      <c r="I45" s="18" t="s">
        <v>35</v>
      </c>
      <c r="J45" s="34"/>
      <c r="K45" s="18"/>
      <c r="L45" s="18"/>
    </row>
    <row r="46" spans="1:12" ht="31.5">
      <c r="A46" s="18">
        <v>128</v>
      </c>
      <c r="B46" s="18" t="s">
        <v>5</v>
      </c>
      <c r="C46" s="49" t="s">
        <v>112</v>
      </c>
      <c r="D46" s="21" t="s">
        <v>669</v>
      </c>
      <c r="E46" s="18" t="s">
        <v>16</v>
      </c>
      <c r="F46" s="18" t="s">
        <v>5</v>
      </c>
      <c r="G46" s="62">
        <v>3000</v>
      </c>
      <c r="H46" s="48">
        <v>44977</v>
      </c>
      <c r="I46" s="18" t="s">
        <v>35</v>
      </c>
      <c r="J46" s="34"/>
      <c r="K46" s="18"/>
      <c r="L46" s="18"/>
    </row>
    <row r="47" spans="1:12" ht="15.75">
      <c r="A47" s="18">
        <v>129</v>
      </c>
      <c r="B47" s="18" t="s">
        <v>5</v>
      </c>
      <c r="C47" s="49" t="s">
        <v>269</v>
      </c>
      <c r="D47" s="21" t="s">
        <v>668</v>
      </c>
      <c r="E47" s="18" t="s">
        <v>16</v>
      </c>
      <c r="F47" s="18" t="s">
        <v>5</v>
      </c>
      <c r="G47" s="18">
        <v>3000</v>
      </c>
      <c r="H47" s="48">
        <v>44977</v>
      </c>
      <c r="I47" s="18" t="s">
        <v>12</v>
      </c>
      <c r="J47" s="34"/>
      <c r="K47" s="18"/>
      <c r="L47" s="18"/>
    </row>
    <row r="48" spans="1:12" ht="31.5">
      <c r="A48" s="18">
        <v>130</v>
      </c>
      <c r="B48" s="18" t="s">
        <v>4</v>
      </c>
      <c r="C48" s="49" t="s">
        <v>482</v>
      </c>
      <c r="D48" s="21" t="s">
        <v>667</v>
      </c>
      <c r="E48" s="18" t="s">
        <v>23</v>
      </c>
      <c r="F48" s="18" t="s">
        <v>4</v>
      </c>
      <c r="G48" s="18">
        <v>6000</v>
      </c>
      <c r="H48" s="48">
        <v>44977</v>
      </c>
      <c r="I48" s="18" t="s">
        <v>12</v>
      </c>
      <c r="J48" s="34"/>
      <c r="K48" s="18"/>
      <c r="L48" s="18"/>
    </row>
    <row r="49" spans="1:12" ht="47.25">
      <c r="A49" s="18">
        <v>131</v>
      </c>
      <c r="B49" s="18" t="s">
        <v>4</v>
      </c>
      <c r="C49" s="49" t="s">
        <v>482</v>
      </c>
      <c r="D49" s="21" t="s">
        <v>666</v>
      </c>
      <c r="E49" s="18" t="s">
        <v>16</v>
      </c>
      <c r="F49" s="18" t="s">
        <v>4</v>
      </c>
      <c r="G49" s="18">
        <v>1800</v>
      </c>
      <c r="H49" s="48">
        <v>44977</v>
      </c>
      <c r="I49" s="18" t="s">
        <v>12</v>
      </c>
      <c r="J49" s="34"/>
      <c r="K49" s="18"/>
      <c r="L49" s="18"/>
    </row>
    <row r="50" spans="1:12" ht="31.5">
      <c r="A50" s="18">
        <v>132</v>
      </c>
      <c r="B50" s="18" t="s">
        <v>5</v>
      </c>
      <c r="C50" s="49" t="s">
        <v>18</v>
      </c>
      <c r="D50" s="21" t="s">
        <v>665</v>
      </c>
      <c r="E50" s="18" t="s">
        <v>16</v>
      </c>
      <c r="F50" s="18" t="s">
        <v>5</v>
      </c>
      <c r="G50" s="18">
        <v>1800</v>
      </c>
      <c r="H50" s="48">
        <v>44977</v>
      </c>
      <c r="I50" s="18" t="s">
        <v>12</v>
      </c>
      <c r="J50" s="34"/>
      <c r="K50" s="18"/>
      <c r="L50" s="18"/>
    </row>
    <row r="51" spans="1:12" ht="31.5">
      <c r="A51" s="18">
        <v>133</v>
      </c>
      <c r="B51" s="18" t="s">
        <v>8</v>
      </c>
      <c r="C51" s="49" t="s">
        <v>577</v>
      </c>
      <c r="D51" s="21" t="s">
        <v>664</v>
      </c>
      <c r="E51" s="18" t="s">
        <v>16</v>
      </c>
      <c r="F51" s="18" t="s">
        <v>8</v>
      </c>
      <c r="G51" s="18">
        <v>1800</v>
      </c>
      <c r="H51" s="48">
        <v>44977</v>
      </c>
      <c r="I51" s="18" t="s">
        <v>35</v>
      </c>
      <c r="J51" s="34"/>
      <c r="K51" s="18"/>
      <c r="L51" s="18"/>
    </row>
    <row r="52" spans="1:12" ht="15.75">
      <c r="A52" s="18">
        <v>134</v>
      </c>
      <c r="B52" s="18" t="s">
        <v>8</v>
      </c>
      <c r="C52" s="49" t="s">
        <v>206</v>
      </c>
      <c r="D52" s="21" t="s">
        <v>663</v>
      </c>
      <c r="E52" s="18" t="s">
        <v>16</v>
      </c>
      <c r="F52" s="18" t="s">
        <v>8</v>
      </c>
      <c r="G52" s="18">
        <v>1800</v>
      </c>
      <c r="H52" s="48">
        <v>44977</v>
      </c>
      <c r="I52" s="18" t="s">
        <v>35</v>
      </c>
      <c r="J52" s="34"/>
      <c r="K52" s="18"/>
      <c r="L52" s="18"/>
    </row>
    <row r="53" spans="1:12" ht="31.5">
      <c r="A53" s="18">
        <v>135</v>
      </c>
      <c r="B53" s="18" t="s">
        <v>9</v>
      </c>
      <c r="C53" s="49" t="s">
        <v>38</v>
      </c>
      <c r="D53" s="21" t="s">
        <v>662</v>
      </c>
      <c r="E53" s="18" t="s">
        <v>13</v>
      </c>
      <c r="F53" s="18" t="s">
        <v>36</v>
      </c>
      <c r="G53" s="18">
        <v>5000</v>
      </c>
      <c r="H53" s="48">
        <v>44977</v>
      </c>
      <c r="I53" s="18" t="s">
        <v>35</v>
      </c>
      <c r="J53" s="34"/>
      <c r="K53" s="18"/>
      <c r="L53" s="18"/>
    </row>
    <row r="54" spans="1:12" ht="15.75">
      <c r="A54" s="58"/>
      <c r="B54" s="58"/>
      <c r="C54" s="60"/>
      <c r="D54" s="58" t="s">
        <v>11</v>
      </c>
      <c r="E54" s="58"/>
      <c r="F54" s="58"/>
      <c r="G54" s="58">
        <f>SUM(G45:G53)</f>
        <v>27200</v>
      </c>
      <c r="H54" s="53"/>
      <c r="I54" s="58"/>
      <c r="J54" s="34">
        <f>G54</f>
        <v>27200</v>
      </c>
      <c r="K54" s="58"/>
      <c r="L54" s="58"/>
    </row>
    <row r="55" spans="1:12" ht="47.25">
      <c r="A55" s="18">
        <v>136</v>
      </c>
      <c r="B55" s="18" t="s">
        <v>3</v>
      </c>
      <c r="C55" s="49" t="s">
        <v>360</v>
      </c>
      <c r="D55" s="21" t="s">
        <v>661</v>
      </c>
      <c r="E55" s="18" t="s">
        <v>16</v>
      </c>
      <c r="F55" s="18" t="s">
        <v>3</v>
      </c>
      <c r="G55" s="18">
        <v>3000</v>
      </c>
      <c r="H55" s="48">
        <v>44984</v>
      </c>
      <c r="I55" s="18" t="s">
        <v>12</v>
      </c>
      <c r="J55" s="34"/>
      <c r="K55" s="18"/>
      <c r="L55" s="18"/>
    </row>
    <row r="56" spans="1:12" ht="31.5">
      <c r="A56" s="18">
        <v>137</v>
      </c>
      <c r="B56" s="18" t="s">
        <v>3</v>
      </c>
      <c r="C56" s="49" t="s">
        <v>360</v>
      </c>
      <c r="D56" s="21" t="s">
        <v>660</v>
      </c>
      <c r="E56" s="18" t="s">
        <v>16</v>
      </c>
      <c r="F56" s="18" t="s">
        <v>3</v>
      </c>
      <c r="G56" s="18">
        <v>3000</v>
      </c>
      <c r="H56" s="48">
        <v>44984</v>
      </c>
      <c r="I56" s="18" t="s">
        <v>12</v>
      </c>
      <c r="J56" s="34"/>
      <c r="K56" s="18"/>
      <c r="L56" s="18"/>
    </row>
    <row r="57" spans="1:12" ht="31.5">
      <c r="A57" s="18">
        <v>138</v>
      </c>
      <c r="B57" s="18" t="s">
        <v>7</v>
      </c>
      <c r="C57" s="49" t="s">
        <v>658</v>
      </c>
      <c r="D57" s="21" t="s">
        <v>659</v>
      </c>
      <c r="E57" s="18" t="s">
        <v>16</v>
      </c>
      <c r="F57" s="18" t="s">
        <v>7</v>
      </c>
      <c r="G57" s="18">
        <v>1800</v>
      </c>
      <c r="H57" s="48">
        <v>44984</v>
      </c>
      <c r="I57" s="18" t="s">
        <v>53</v>
      </c>
      <c r="J57" s="34"/>
      <c r="K57" s="18"/>
      <c r="L57" s="18"/>
    </row>
    <row r="58" spans="1:12" ht="31.5">
      <c r="A58" s="18">
        <v>139</v>
      </c>
      <c r="B58" s="18" t="s">
        <v>7</v>
      </c>
      <c r="C58" s="49" t="s">
        <v>658</v>
      </c>
      <c r="D58" s="21" t="s">
        <v>657</v>
      </c>
      <c r="E58" s="18" t="s">
        <v>16</v>
      </c>
      <c r="F58" s="18" t="s">
        <v>7</v>
      </c>
      <c r="G58" s="18">
        <v>1800</v>
      </c>
      <c r="H58" s="48">
        <v>44984</v>
      </c>
      <c r="I58" s="18" t="s">
        <v>53</v>
      </c>
      <c r="J58" s="34"/>
      <c r="K58" s="18"/>
      <c r="L58" s="18"/>
    </row>
    <row r="59" spans="1:12" ht="31.5">
      <c r="A59" s="18">
        <v>140</v>
      </c>
      <c r="B59" s="18" t="s">
        <v>5</v>
      </c>
      <c r="C59" s="49" t="s">
        <v>50</v>
      </c>
      <c r="D59" s="21" t="s">
        <v>656</v>
      </c>
      <c r="E59" s="18" t="s">
        <v>16</v>
      </c>
      <c r="F59" s="18" t="s">
        <v>5</v>
      </c>
      <c r="G59" s="18">
        <v>3000</v>
      </c>
      <c r="H59" s="48">
        <v>44984</v>
      </c>
      <c r="I59" s="18" t="s">
        <v>35</v>
      </c>
      <c r="J59" s="34"/>
      <c r="K59" s="18"/>
      <c r="L59" s="18"/>
    </row>
    <row r="60" spans="1:12" ht="31.5">
      <c r="A60" s="18">
        <v>141</v>
      </c>
      <c r="B60" s="18" t="s">
        <v>5</v>
      </c>
      <c r="C60" s="49" t="s">
        <v>50</v>
      </c>
      <c r="D60" s="21" t="s">
        <v>655</v>
      </c>
      <c r="E60" s="18" t="s">
        <v>16</v>
      </c>
      <c r="F60" s="18" t="s">
        <v>5</v>
      </c>
      <c r="G60" s="18">
        <v>3000</v>
      </c>
      <c r="H60" s="48">
        <v>44984</v>
      </c>
      <c r="I60" s="18" t="s">
        <v>35</v>
      </c>
      <c r="J60" s="34"/>
      <c r="K60" s="18"/>
      <c r="L60" s="18"/>
    </row>
    <row r="61" spans="1:12" ht="31.5">
      <c r="A61" s="18">
        <v>142</v>
      </c>
      <c r="B61" s="18" t="s">
        <v>7</v>
      </c>
      <c r="C61" s="49" t="s">
        <v>282</v>
      </c>
      <c r="D61" s="21" t="s">
        <v>654</v>
      </c>
      <c r="E61" s="18" t="s">
        <v>16</v>
      </c>
      <c r="F61" s="18" t="s">
        <v>7</v>
      </c>
      <c r="G61" s="18">
        <v>900</v>
      </c>
      <c r="H61" s="48">
        <v>44984</v>
      </c>
      <c r="I61" s="18" t="s">
        <v>12</v>
      </c>
      <c r="J61" s="34"/>
      <c r="K61" s="18"/>
      <c r="L61" s="18"/>
    </row>
    <row r="62" spans="1:12" ht="63">
      <c r="A62" s="18">
        <v>143</v>
      </c>
      <c r="B62" s="18" t="s">
        <v>5</v>
      </c>
      <c r="C62" s="49" t="s">
        <v>26</v>
      </c>
      <c r="D62" s="21" t="s">
        <v>653</v>
      </c>
      <c r="E62" s="18" t="s">
        <v>23</v>
      </c>
      <c r="F62" s="18" t="s">
        <v>5</v>
      </c>
      <c r="G62" s="18">
        <v>2000</v>
      </c>
      <c r="H62" s="48">
        <v>44984</v>
      </c>
      <c r="I62" s="18" t="s">
        <v>12</v>
      </c>
      <c r="J62" s="34"/>
      <c r="K62" s="18"/>
      <c r="L62" s="18"/>
    </row>
    <row r="63" spans="1:12" ht="31.5">
      <c r="A63" s="18">
        <v>144</v>
      </c>
      <c r="B63" s="18" t="s">
        <v>5</v>
      </c>
      <c r="C63" s="49" t="s">
        <v>26</v>
      </c>
      <c r="D63" s="21" t="s">
        <v>652</v>
      </c>
      <c r="E63" s="18" t="s">
        <v>23</v>
      </c>
      <c r="F63" s="18" t="s">
        <v>5</v>
      </c>
      <c r="G63" s="18">
        <v>2000</v>
      </c>
      <c r="H63" s="48">
        <v>44984</v>
      </c>
      <c r="I63" s="18" t="s">
        <v>12</v>
      </c>
      <c r="J63" s="34"/>
      <c r="K63" s="18"/>
      <c r="L63" s="18"/>
    </row>
    <row r="64" spans="1:12" ht="31.5">
      <c r="A64" s="18">
        <v>145</v>
      </c>
      <c r="B64" s="18" t="s">
        <v>5</v>
      </c>
      <c r="C64" s="49" t="s">
        <v>26</v>
      </c>
      <c r="D64" s="21" t="s">
        <v>651</v>
      </c>
      <c r="E64" s="18" t="s">
        <v>16</v>
      </c>
      <c r="F64" s="18" t="s">
        <v>5</v>
      </c>
      <c r="G64" s="18">
        <v>500</v>
      </c>
      <c r="H64" s="48">
        <v>44984</v>
      </c>
      <c r="I64" s="18" t="s">
        <v>12</v>
      </c>
      <c r="J64" s="34"/>
      <c r="K64" s="18"/>
      <c r="L64" s="18"/>
    </row>
    <row r="65" spans="1:12" ht="15.75">
      <c r="A65" s="18">
        <v>146</v>
      </c>
      <c r="B65" s="18" t="s">
        <v>5</v>
      </c>
      <c r="C65" s="49" t="s">
        <v>650</v>
      </c>
      <c r="D65" s="21" t="s">
        <v>649</v>
      </c>
      <c r="E65" s="18" t="s">
        <v>16</v>
      </c>
      <c r="F65" s="18" t="s">
        <v>5</v>
      </c>
      <c r="G65" s="18">
        <v>500</v>
      </c>
      <c r="H65" s="48">
        <v>44984</v>
      </c>
      <c r="I65" s="18" t="s">
        <v>35</v>
      </c>
      <c r="J65" s="34"/>
      <c r="K65" s="18"/>
      <c r="L65" s="18"/>
    </row>
    <row r="66" spans="1:12" ht="15.75">
      <c r="A66" s="58"/>
      <c r="B66" s="58"/>
      <c r="C66" s="60"/>
      <c r="D66" s="58" t="s">
        <v>11</v>
      </c>
      <c r="E66" s="58"/>
      <c r="F66" s="58"/>
      <c r="G66" s="58">
        <f>SUM(G55:G65)</f>
        <v>21500</v>
      </c>
      <c r="H66" s="53"/>
      <c r="I66" s="58"/>
      <c r="J66" s="34">
        <f>G66</f>
        <v>21500</v>
      </c>
      <c r="K66" s="58"/>
      <c r="L66" s="58"/>
    </row>
    <row r="67" spans="1:12" ht="31.5">
      <c r="A67" s="18">
        <v>147</v>
      </c>
      <c r="B67" s="18" t="s">
        <v>1</v>
      </c>
      <c r="C67" s="49" t="s">
        <v>140</v>
      </c>
      <c r="D67" s="21" t="s">
        <v>648</v>
      </c>
      <c r="E67" s="18" t="s">
        <v>13</v>
      </c>
      <c r="F67" s="18" t="s">
        <v>1</v>
      </c>
      <c r="G67" s="18">
        <v>1500</v>
      </c>
      <c r="H67" s="48">
        <v>44998</v>
      </c>
      <c r="I67" s="18" t="s">
        <v>12</v>
      </c>
      <c r="J67" s="34"/>
      <c r="K67" s="18"/>
      <c r="L67" s="18"/>
    </row>
    <row r="68" spans="1:12" ht="31.5">
      <c r="A68" s="18">
        <v>148</v>
      </c>
      <c r="B68" s="18" t="s">
        <v>8</v>
      </c>
      <c r="C68" s="49" t="s">
        <v>206</v>
      </c>
      <c r="D68" s="21" t="s">
        <v>647</v>
      </c>
      <c r="E68" s="18" t="s">
        <v>16</v>
      </c>
      <c r="F68" s="18" t="s">
        <v>8</v>
      </c>
      <c r="G68" s="18">
        <v>3000</v>
      </c>
      <c r="H68" s="48">
        <v>44998</v>
      </c>
      <c r="I68" s="18" t="s">
        <v>35</v>
      </c>
      <c r="J68" s="34"/>
      <c r="K68" s="18"/>
      <c r="L68" s="18"/>
    </row>
    <row r="69" spans="1:12" ht="31.5">
      <c r="A69" s="18">
        <v>149</v>
      </c>
      <c r="B69" s="18" t="s">
        <v>8</v>
      </c>
      <c r="C69" s="49" t="s">
        <v>206</v>
      </c>
      <c r="D69" s="21" t="s">
        <v>646</v>
      </c>
      <c r="E69" s="18" t="s">
        <v>16</v>
      </c>
      <c r="F69" s="18" t="s">
        <v>8</v>
      </c>
      <c r="G69" s="18">
        <v>500</v>
      </c>
      <c r="H69" s="48">
        <v>44998</v>
      </c>
      <c r="I69" s="18" t="s">
        <v>35</v>
      </c>
      <c r="J69" s="34"/>
      <c r="K69" s="18"/>
      <c r="L69" s="18"/>
    </row>
    <row r="70" spans="1:12" ht="31.5">
      <c r="A70" s="18">
        <v>150</v>
      </c>
      <c r="B70" s="18" t="s">
        <v>8</v>
      </c>
      <c r="C70" s="49" t="s">
        <v>206</v>
      </c>
      <c r="D70" s="21" t="s">
        <v>645</v>
      </c>
      <c r="E70" s="18" t="s">
        <v>16</v>
      </c>
      <c r="F70" s="18" t="s">
        <v>8</v>
      </c>
      <c r="G70" s="18">
        <v>500</v>
      </c>
      <c r="H70" s="48">
        <v>44998</v>
      </c>
      <c r="I70" s="18" t="s">
        <v>35</v>
      </c>
      <c r="J70" s="34"/>
      <c r="K70" s="18"/>
      <c r="L70" s="18"/>
    </row>
    <row r="71" spans="1:12" ht="31.5">
      <c r="A71" s="18">
        <v>151</v>
      </c>
      <c r="B71" s="18" t="s">
        <v>5</v>
      </c>
      <c r="C71" s="49" t="s">
        <v>66</v>
      </c>
      <c r="D71" s="21" t="s">
        <v>644</v>
      </c>
      <c r="E71" s="18" t="s">
        <v>578</v>
      </c>
      <c r="F71" s="18" t="s">
        <v>5</v>
      </c>
      <c r="G71" s="18">
        <v>2000</v>
      </c>
      <c r="H71" s="48">
        <v>44998</v>
      </c>
      <c r="I71" s="18" t="s">
        <v>35</v>
      </c>
      <c r="J71" s="34"/>
      <c r="K71" s="18"/>
      <c r="L71" s="18"/>
    </row>
    <row r="72" spans="1:12" ht="15.75">
      <c r="A72" s="18">
        <v>152</v>
      </c>
      <c r="B72" s="18" t="s">
        <v>5</v>
      </c>
      <c r="C72" s="49" t="s">
        <v>66</v>
      </c>
      <c r="D72" s="21" t="s">
        <v>643</v>
      </c>
      <c r="E72" s="18" t="s">
        <v>16</v>
      </c>
      <c r="F72" s="18" t="s">
        <v>5</v>
      </c>
      <c r="G72" s="18">
        <v>500</v>
      </c>
      <c r="H72" s="48">
        <v>44998</v>
      </c>
      <c r="I72" s="18" t="s">
        <v>35</v>
      </c>
      <c r="J72" s="34"/>
      <c r="K72" s="18"/>
      <c r="L72" s="18"/>
    </row>
    <row r="73" spans="1:12" ht="31.5">
      <c r="A73" s="18">
        <v>153</v>
      </c>
      <c r="B73" s="18" t="s">
        <v>5</v>
      </c>
      <c r="C73" s="49" t="s">
        <v>66</v>
      </c>
      <c r="D73" s="21" t="s">
        <v>642</v>
      </c>
      <c r="E73" s="18" t="s">
        <v>16</v>
      </c>
      <c r="F73" s="18" t="s">
        <v>5</v>
      </c>
      <c r="G73" s="18">
        <v>500</v>
      </c>
      <c r="H73" s="48">
        <v>44998</v>
      </c>
      <c r="I73" s="18" t="s">
        <v>35</v>
      </c>
      <c r="J73" s="34"/>
      <c r="K73" s="18"/>
      <c r="L73" s="18"/>
    </row>
    <row r="74" spans="1:12" ht="31.5">
      <c r="A74" s="18">
        <v>154</v>
      </c>
      <c r="B74" s="18" t="s">
        <v>5</v>
      </c>
      <c r="C74" s="49" t="s">
        <v>66</v>
      </c>
      <c r="D74" s="21" t="s">
        <v>641</v>
      </c>
      <c r="E74" s="18" t="s">
        <v>16</v>
      </c>
      <c r="F74" s="18" t="s">
        <v>5</v>
      </c>
      <c r="G74" s="18">
        <v>500</v>
      </c>
      <c r="H74" s="48">
        <v>44998</v>
      </c>
      <c r="I74" s="18" t="s">
        <v>35</v>
      </c>
      <c r="J74" s="34"/>
      <c r="K74" s="18"/>
      <c r="L74" s="18"/>
    </row>
    <row r="75" spans="1:12" ht="47.25">
      <c r="A75" s="18">
        <v>155</v>
      </c>
      <c r="B75" s="18" t="s">
        <v>5</v>
      </c>
      <c r="C75" s="49" t="s">
        <v>640</v>
      </c>
      <c r="D75" s="21" t="s">
        <v>639</v>
      </c>
      <c r="E75" s="18" t="s">
        <v>16</v>
      </c>
      <c r="F75" s="18" t="s">
        <v>5</v>
      </c>
      <c r="G75" s="18">
        <v>1800</v>
      </c>
      <c r="H75" s="48">
        <v>44998</v>
      </c>
      <c r="I75" s="18" t="s">
        <v>53</v>
      </c>
      <c r="J75" s="34"/>
      <c r="K75" s="18"/>
      <c r="L75" s="18"/>
    </row>
    <row r="76" spans="1:12" ht="31.5">
      <c r="A76" s="18">
        <v>156</v>
      </c>
      <c r="B76" s="18" t="s">
        <v>8</v>
      </c>
      <c r="C76" s="49" t="s">
        <v>577</v>
      </c>
      <c r="D76" s="21" t="s">
        <v>638</v>
      </c>
      <c r="E76" s="18" t="s">
        <v>16</v>
      </c>
      <c r="F76" s="18" t="s">
        <v>8</v>
      </c>
      <c r="G76" s="18">
        <v>500</v>
      </c>
      <c r="H76" s="48">
        <v>44998</v>
      </c>
      <c r="I76" s="18" t="s">
        <v>35</v>
      </c>
      <c r="J76" s="34"/>
      <c r="K76" s="18"/>
      <c r="L76" s="18"/>
    </row>
    <row r="77" spans="1:12" ht="31.5">
      <c r="A77" s="18">
        <v>157</v>
      </c>
      <c r="B77" s="18" t="s">
        <v>8</v>
      </c>
      <c r="C77" s="49" t="s">
        <v>577</v>
      </c>
      <c r="D77" s="21" t="s">
        <v>637</v>
      </c>
      <c r="E77" s="18" t="s">
        <v>16</v>
      </c>
      <c r="F77" s="18" t="s">
        <v>8</v>
      </c>
      <c r="G77" s="18">
        <v>500</v>
      </c>
      <c r="H77" s="48">
        <v>44998</v>
      </c>
      <c r="I77" s="18" t="s">
        <v>35</v>
      </c>
      <c r="J77" s="34"/>
      <c r="K77" s="18"/>
      <c r="L77" s="18"/>
    </row>
    <row r="78" spans="1:12" ht="31.5">
      <c r="A78" s="18">
        <v>158</v>
      </c>
      <c r="B78" s="18" t="s">
        <v>5</v>
      </c>
      <c r="C78" s="49" t="s">
        <v>115</v>
      </c>
      <c r="D78" s="21" t="s">
        <v>636</v>
      </c>
      <c r="E78" s="18" t="s">
        <v>16</v>
      </c>
      <c r="F78" s="18" t="s">
        <v>5</v>
      </c>
      <c r="G78" s="18">
        <v>500</v>
      </c>
      <c r="H78" s="48">
        <v>44998</v>
      </c>
      <c r="I78" s="18" t="s">
        <v>12</v>
      </c>
      <c r="J78" s="34"/>
      <c r="K78" s="18"/>
      <c r="L78" s="18"/>
    </row>
    <row r="79" spans="1:12" ht="31.5">
      <c r="A79" s="18">
        <v>159</v>
      </c>
      <c r="B79" s="18" t="s">
        <v>5</v>
      </c>
      <c r="C79" s="49" t="s">
        <v>115</v>
      </c>
      <c r="D79" s="21" t="s">
        <v>635</v>
      </c>
      <c r="E79" s="18" t="s">
        <v>16</v>
      </c>
      <c r="F79" s="18" t="s">
        <v>5</v>
      </c>
      <c r="G79" s="18">
        <v>500</v>
      </c>
      <c r="H79" s="48">
        <v>44998</v>
      </c>
      <c r="I79" s="18" t="s">
        <v>12</v>
      </c>
      <c r="J79" s="34"/>
      <c r="K79" s="18"/>
      <c r="L79" s="18"/>
    </row>
    <row r="80" spans="1:12" ht="31.5">
      <c r="A80" s="18">
        <v>160</v>
      </c>
      <c r="B80" s="18" t="s">
        <v>5</v>
      </c>
      <c r="C80" s="49" t="s">
        <v>115</v>
      </c>
      <c r="D80" s="21" t="s">
        <v>634</v>
      </c>
      <c r="E80" s="18" t="s">
        <v>16</v>
      </c>
      <c r="F80" s="18" t="s">
        <v>5</v>
      </c>
      <c r="G80" s="18">
        <v>500</v>
      </c>
      <c r="H80" s="48">
        <v>44998</v>
      </c>
      <c r="I80" s="18" t="s">
        <v>12</v>
      </c>
      <c r="J80" s="34"/>
      <c r="K80" s="18"/>
      <c r="L80" s="18"/>
    </row>
    <row r="81" spans="1:12" ht="15.75">
      <c r="A81" s="18">
        <v>161</v>
      </c>
      <c r="B81" s="18" t="s">
        <v>5</v>
      </c>
      <c r="C81" s="49" t="s">
        <v>115</v>
      </c>
      <c r="D81" s="21" t="s">
        <v>633</v>
      </c>
      <c r="E81" s="18" t="s">
        <v>16</v>
      </c>
      <c r="F81" s="18" t="s">
        <v>5</v>
      </c>
      <c r="G81" s="18">
        <v>500</v>
      </c>
      <c r="H81" s="48">
        <v>44998</v>
      </c>
      <c r="I81" s="18" t="s">
        <v>12</v>
      </c>
      <c r="J81" s="34"/>
      <c r="K81" s="18"/>
      <c r="L81" s="18"/>
    </row>
    <row r="82" spans="1:12" ht="31.5">
      <c r="A82" s="18">
        <v>162</v>
      </c>
      <c r="B82" s="18" t="s">
        <v>5</v>
      </c>
      <c r="C82" s="49" t="s">
        <v>115</v>
      </c>
      <c r="D82" s="21" t="s">
        <v>632</v>
      </c>
      <c r="E82" s="18" t="s">
        <v>16</v>
      </c>
      <c r="F82" s="18" t="s">
        <v>5</v>
      </c>
      <c r="G82" s="18">
        <v>500</v>
      </c>
      <c r="H82" s="48">
        <v>44998</v>
      </c>
      <c r="I82" s="18" t="s">
        <v>12</v>
      </c>
      <c r="J82" s="34"/>
      <c r="K82" s="18"/>
      <c r="L82" s="18"/>
    </row>
    <row r="83" spans="1:12" ht="15.75">
      <c r="A83" s="18">
        <v>163</v>
      </c>
      <c r="B83" s="18" t="s">
        <v>5</v>
      </c>
      <c r="C83" s="49" t="s">
        <v>115</v>
      </c>
      <c r="D83" s="21" t="s">
        <v>631</v>
      </c>
      <c r="E83" s="18" t="s">
        <v>16</v>
      </c>
      <c r="F83" s="18" t="s">
        <v>5</v>
      </c>
      <c r="G83" s="18">
        <v>500</v>
      </c>
      <c r="H83" s="48">
        <v>44998</v>
      </c>
      <c r="I83" s="18" t="s">
        <v>12</v>
      </c>
      <c r="J83" s="34"/>
      <c r="K83" s="18"/>
      <c r="L83" s="18"/>
    </row>
    <row r="84" spans="1:12" ht="31.5">
      <c r="A84" s="18">
        <v>164</v>
      </c>
      <c r="B84" s="18" t="s">
        <v>5</v>
      </c>
      <c r="C84" s="49" t="s">
        <v>262</v>
      </c>
      <c r="D84" s="21" t="s">
        <v>630</v>
      </c>
      <c r="E84" s="18" t="s">
        <v>16</v>
      </c>
      <c r="F84" s="18" t="s">
        <v>5</v>
      </c>
      <c r="G84" s="18">
        <v>500</v>
      </c>
      <c r="H84" s="48">
        <v>44998</v>
      </c>
      <c r="I84" s="18" t="s">
        <v>53</v>
      </c>
      <c r="J84" s="34"/>
      <c r="K84" s="18"/>
      <c r="L84" s="18"/>
    </row>
    <row r="85" spans="1:12" ht="31.5">
      <c r="A85" s="18">
        <v>165</v>
      </c>
      <c r="B85" s="18" t="s">
        <v>5</v>
      </c>
      <c r="C85" s="49" t="s">
        <v>262</v>
      </c>
      <c r="D85" s="21" t="s">
        <v>629</v>
      </c>
      <c r="E85" s="18" t="s">
        <v>578</v>
      </c>
      <c r="F85" s="18" t="s">
        <v>5</v>
      </c>
      <c r="G85" s="18">
        <v>6000</v>
      </c>
      <c r="H85" s="48">
        <v>44998</v>
      </c>
      <c r="I85" s="18" t="s">
        <v>53</v>
      </c>
      <c r="J85" s="34"/>
      <c r="K85" s="18"/>
      <c r="L85" s="18"/>
    </row>
    <row r="86" spans="1:12" ht="31.5">
      <c r="A86" s="18">
        <v>166</v>
      </c>
      <c r="B86" s="18" t="s">
        <v>5</v>
      </c>
      <c r="C86" s="49" t="s">
        <v>290</v>
      </c>
      <c r="D86" s="21" t="s">
        <v>628</v>
      </c>
      <c r="E86" s="18" t="s">
        <v>16</v>
      </c>
      <c r="F86" s="18" t="s">
        <v>5</v>
      </c>
      <c r="G86" s="18">
        <v>500</v>
      </c>
      <c r="H86" s="48">
        <v>44998</v>
      </c>
      <c r="I86" s="18" t="s">
        <v>35</v>
      </c>
      <c r="J86" s="34"/>
      <c r="K86" s="18"/>
      <c r="L86" s="18"/>
    </row>
    <row r="87" spans="1:12" ht="47.25">
      <c r="A87" s="18">
        <v>167</v>
      </c>
      <c r="B87" s="18" t="s">
        <v>5</v>
      </c>
      <c r="C87" s="49" t="s">
        <v>290</v>
      </c>
      <c r="D87" s="21" t="s">
        <v>627</v>
      </c>
      <c r="E87" s="18" t="s">
        <v>16</v>
      </c>
      <c r="F87" s="18" t="s">
        <v>5</v>
      </c>
      <c r="G87" s="18">
        <v>500</v>
      </c>
      <c r="H87" s="48">
        <v>44998</v>
      </c>
      <c r="I87" s="18" t="s">
        <v>35</v>
      </c>
      <c r="J87" s="34"/>
      <c r="K87" s="18"/>
      <c r="L87" s="18"/>
    </row>
    <row r="88" spans="1:12" ht="31.5">
      <c r="A88" s="18">
        <v>168</v>
      </c>
      <c r="B88" s="18" t="s">
        <v>5</v>
      </c>
      <c r="C88" s="49" t="s">
        <v>311</v>
      </c>
      <c r="D88" s="21" t="s">
        <v>626</v>
      </c>
      <c r="E88" s="18" t="s">
        <v>16</v>
      </c>
      <c r="F88" s="18" t="s">
        <v>5</v>
      </c>
      <c r="G88" s="18">
        <v>500</v>
      </c>
      <c r="H88" s="48">
        <v>44998</v>
      </c>
      <c r="I88" s="18" t="s">
        <v>35</v>
      </c>
      <c r="J88" s="34"/>
      <c r="K88" s="18"/>
      <c r="L88" s="18"/>
    </row>
    <row r="89" spans="1:12" ht="31.5">
      <c r="A89" s="18">
        <v>169</v>
      </c>
      <c r="B89" s="18" t="s">
        <v>5</v>
      </c>
      <c r="C89" s="49" t="s">
        <v>544</v>
      </c>
      <c r="D89" s="21" t="s">
        <v>625</v>
      </c>
      <c r="E89" s="18" t="s">
        <v>16</v>
      </c>
      <c r="F89" s="18" t="s">
        <v>5</v>
      </c>
      <c r="G89" s="18">
        <v>500</v>
      </c>
      <c r="H89" s="48">
        <v>44998</v>
      </c>
      <c r="I89" s="18" t="s">
        <v>12</v>
      </c>
      <c r="J89" s="34"/>
      <c r="K89" s="18"/>
      <c r="L89" s="18"/>
    </row>
    <row r="90" spans="1:12" ht="15.75">
      <c r="A90" s="18">
        <v>170</v>
      </c>
      <c r="B90" s="18" t="s">
        <v>5</v>
      </c>
      <c r="C90" s="49" t="s">
        <v>544</v>
      </c>
      <c r="D90" s="21" t="s">
        <v>624</v>
      </c>
      <c r="E90" s="18" t="s">
        <v>16</v>
      </c>
      <c r="F90" s="18" t="s">
        <v>5</v>
      </c>
      <c r="G90" s="18">
        <v>500</v>
      </c>
      <c r="H90" s="48">
        <v>44998</v>
      </c>
      <c r="I90" s="18" t="s">
        <v>12</v>
      </c>
      <c r="J90" s="34"/>
      <c r="K90" s="18"/>
      <c r="L90" s="18"/>
    </row>
    <row r="91" spans="1:12" ht="31.5">
      <c r="A91" s="18">
        <v>171</v>
      </c>
      <c r="B91" s="18" t="s">
        <v>5</v>
      </c>
      <c r="C91" s="49" t="s">
        <v>420</v>
      </c>
      <c r="D91" s="21" t="s">
        <v>623</v>
      </c>
      <c r="E91" s="18" t="s">
        <v>16</v>
      </c>
      <c r="F91" s="18" t="s">
        <v>5</v>
      </c>
      <c r="G91" s="18">
        <v>500</v>
      </c>
      <c r="H91" s="48">
        <v>44998</v>
      </c>
      <c r="I91" s="18" t="s">
        <v>35</v>
      </c>
      <c r="J91" s="34"/>
      <c r="K91" s="18"/>
      <c r="L91" s="18"/>
    </row>
    <row r="92" spans="1:12" ht="31.5">
      <c r="A92" s="18">
        <v>172</v>
      </c>
      <c r="B92" s="18" t="s">
        <v>5</v>
      </c>
      <c r="C92" s="49" t="s">
        <v>420</v>
      </c>
      <c r="D92" s="21" t="s">
        <v>622</v>
      </c>
      <c r="E92" s="18" t="s">
        <v>16</v>
      </c>
      <c r="F92" s="18" t="s">
        <v>5</v>
      </c>
      <c r="G92" s="18">
        <v>500</v>
      </c>
      <c r="H92" s="48">
        <v>44998</v>
      </c>
      <c r="I92" s="18" t="s">
        <v>35</v>
      </c>
      <c r="J92" s="34"/>
      <c r="K92" s="18"/>
      <c r="L92" s="18"/>
    </row>
    <row r="93" spans="1:12" ht="15.75">
      <c r="A93" s="18">
        <v>173</v>
      </c>
      <c r="B93" s="18" t="s">
        <v>5</v>
      </c>
      <c r="C93" s="49" t="s">
        <v>420</v>
      </c>
      <c r="D93" s="21" t="s">
        <v>621</v>
      </c>
      <c r="E93" s="18" t="s">
        <v>16</v>
      </c>
      <c r="F93" s="18" t="s">
        <v>5</v>
      </c>
      <c r="G93" s="18">
        <v>500</v>
      </c>
      <c r="H93" s="48">
        <v>44998</v>
      </c>
      <c r="I93" s="18" t="s">
        <v>35</v>
      </c>
      <c r="J93" s="34"/>
      <c r="K93" s="18"/>
      <c r="L93" s="18"/>
    </row>
    <row r="94" spans="1:12" ht="31.5">
      <c r="A94" s="18">
        <v>174</v>
      </c>
      <c r="B94" s="18" t="s">
        <v>8</v>
      </c>
      <c r="C94" s="49" t="s">
        <v>279</v>
      </c>
      <c r="D94" s="21" t="s">
        <v>620</v>
      </c>
      <c r="E94" s="18" t="s">
        <v>16</v>
      </c>
      <c r="F94" s="18" t="s">
        <v>8</v>
      </c>
      <c r="G94" s="18">
        <v>500</v>
      </c>
      <c r="H94" s="48">
        <v>44998</v>
      </c>
      <c r="I94" s="18" t="s">
        <v>12</v>
      </c>
      <c r="J94" s="34"/>
      <c r="K94" s="18"/>
      <c r="L94" s="18"/>
    </row>
    <row r="95" spans="1:12" ht="31.5">
      <c r="A95" s="18">
        <v>175</v>
      </c>
      <c r="B95" s="18" t="s">
        <v>2</v>
      </c>
      <c r="C95" s="49" t="s">
        <v>209</v>
      </c>
      <c r="D95" s="21" t="s">
        <v>619</v>
      </c>
      <c r="E95" s="18" t="s">
        <v>578</v>
      </c>
      <c r="F95" s="18" t="s">
        <v>2</v>
      </c>
      <c r="G95" s="18">
        <v>10000</v>
      </c>
      <c r="H95" s="48">
        <v>44998</v>
      </c>
      <c r="I95" s="18" t="s">
        <v>12</v>
      </c>
      <c r="J95" s="34"/>
      <c r="K95" s="18"/>
      <c r="L95" s="18"/>
    </row>
    <row r="96" spans="1:12" ht="47.25">
      <c r="A96" s="18">
        <v>176</v>
      </c>
      <c r="B96" s="18" t="s">
        <v>5</v>
      </c>
      <c r="C96" s="49" t="s">
        <v>21</v>
      </c>
      <c r="D96" s="21" t="s">
        <v>618</v>
      </c>
      <c r="E96" s="18" t="s">
        <v>88</v>
      </c>
      <c r="F96" s="18" t="s">
        <v>5</v>
      </c>
      <c r="G96" s="18">
        <v>500</v>
      </c>
      <c r="H96" s="48">
        <v>44998</v>
      </c>
      <c r="I96" s="18" t="s">
        <v>12</v>
      </c>
      <c r="J96" s="34"/>
      <c r="K96" s="18"/>
      <c r="L96" s="18"/>
    </row>
    <row r="97" spans="1:12" ht="31.5">
      <c r="A97" s="18">
        <v>177</v>
      </c>
      <c r="B97" s="18" t="s">
        <v>5</v>
      </c>
      <c r="C97" s="49" t="s">
        <v>170</v>
      </c>
      <c r="D97" s="21" t="s">
        <v>617</v>
      </c>
      <c r="E97" s="18" t="s">
        <v>16</v>
      </c>
      <c r="F97" s="18" t="s">
        <v>5</v>
      </c>
      <c r="G97" s="18">
        <v>500</v>
      </c>
      <c r="H97" s="48">
        <v>44998</v>
      </c>
      <c r="I97" s="18" t="s">
        <v>12</v>
      </c>
      <c r="J97" s="34"/>
      <c r="K97" s="18"/>
      <c r="L97" s="18"/>
    </row>
    <row r="98" spans="1:12" ht="31.5">
      <c r="A98" s="18">
        <v>178</v>
      </c>
      <c r="B98" s="18" t="s">
        <v>5</v>
      </c>
      <c r="C98" s="49" t="s">
        <v>170</v>
      </c>
      <c r="D98" s="21" t="s">
        <v>616</v>
      </c>
      <c r="E98" s="18" t="s">
        <v>16</v>
      </c>
      <c r="F98" s="18" t="s">
        <v>5</v>
      </c>
      <c r="G98" s="18">
        <v>500</v>
      </c>
      <c r="H98" s="48">
        <v>44998</v>
      </c>
      <c r="I98" s="18" t="s">
        <v>12</v>
      </c>
      <c r="J98" s="34"/>
      <c r="K98" s="18"/>
      <c r="L98" s="18"/>
    </row>
    <row r="99" spans="1:12" ht="31.5">
      <c r="A99" s="18">
        <v>179</v>
      </c>
      <c r="B99" s="18" t="s">
        <v>5</v>
      </c>
      <c r="C99" s="49" t="s">
        <v>170</v>
      </c>
      <c r="D99" s="21" t="s">
        <v>615</v>
      </c>
      <c r="E99" s="18" t="s">
        <v>16</v>
      </c>
      <c r="F99" s="18" t="s">
        <v>5</v>
      </c>
      <c r="G99" s="18">
        <v>500</v>
      </c>
      <c r="H99" s="48">
        <v>44998</v>
      </c>
      <c r="I99" s="18" t="s">
        <v>12</v>
      </c>
      <c r="J99" s="34"/>
      <c r="K99" s="18"/>
      <c r="L99" s="18"/>
    </row>
    <row r="100" spans="1:12" ht="31.5">
      <c r="A100" s="18">
        <v>180</v>
      </c>
      <c r="B100" s="18" t="s">
        <v>9</v>
      </c>
      <c r="C100" s="49" t="s">
        <v>38</v>
      </c>
      <c r="D100" s="21" t="s">
        <v>614</v>
      </c>
      <c r="E100" s="18" t="s">
        <v>16</v>
      </c>
      <c r="F100" s="18" t="s">
        <v>36</v>
      </c>
      <c r="G100" s="18">
        <v>500</v>
      </c>
      <c r="H100" s="48">
        <v>44998</v>
      </c>
      <c r="I100" s="18" t="s">
        <v>35</v>
      </c>
      <c r="J100" s="34"/>
      <c r="K100" s="18"/>
      <c r="L100" s="18"/>
    </row>
    <row r="101" spans="1:12" ht="31.5">
      <c r="A101" s="18">
        <v>181</v>
      </c>
      <c r="B101" s="18" t="s">
        <v>9</v>
      </c>
      <c r="C101" s="49" t="s">
        <v>38</v>
      </c>
      <c r="D101" s="21" t="s">
        <v>613</v>
      </c>
      <c r="E101" s="18" t="s">
        <v>16</v>
      </c>
      <c r="F101" s="18" t="s">
        <v>36</v>
      </c>
      <c r="G101" s="18">
        <v>500</v>
      </c>
      <c r="H101" s="48">
        <v>44998</v>
      </c>
      <c r="I101" s="18" t="s">
        <v>35</v>
      </c>
      <c r="J101" s="34"/>
      <c r="K101" s="18"/>
      <c r="L101" s="18"/>
    </row>
    <row r="102" spans="1:12" ht="31.5">
      <c r="A102" s="18">
        <v>182</v>
      </c>
      <c r="B102" s="18" t="s">
        <v>6</v>
      </c>
      <c r="C102" s="49" t="s">
        <v>337</v>
      </c>
      <c r="D102" s="21" t="s">
        <v>612</v>
      </c>
      <c r="E102" s="18" t="s">
        <v>16</v>
      </c>
      <c r="F102" s="18" t="s">
        <v>6</v>
      </c>
      <c r="G102" s="18">
        <v>3000</v>
      </c>
      <c r="H102" s="48">
        <v>44998</v>
      </c>
      <c r="I102" s="18" t="s">
        <v>35</v>
      </c>
      <c r="J102" s="34"/>
      <c r="K102" s="18"/>
      <c r="L102" s="18"/>
    </row>
    <row r="103" spans="1:12" ht="31.5">
      <c r="A103" s="18">
        <v>183</v>
      </c>
      <c r="B103" s="18" t="s">
        <v>6</v>
      </c>
      <c r="C103" s="49" t="s">
        <v>337</v>
      </c>
      <c r="D103" s="21" t="s">
        <v>611</v>
      </c>
      <c r="E103" s="18" t="s">
        <v>88</v>
      </c>
      <c r="F103" s="18" t="s">
        <v>6</v>
      </c>
      <c r="G103" s="18">
        <v>5500</v>
      </c>
      <c r="H103" s="48">
        <v>44998</v>
      </c>
      <c r="I103" s="18" t="s">
        <v>35</v>
      </c>
      <c r="J103" s="34"/>
      <c r="K103" s="18"/>
      <c r="L103" s="18"/>
    </row>
    <row r="104" spans="1:12" ht="31.5">
      <c r="A104" s="18">
        <v>184</v>
      </c>
      <c r="B104" s="18" t="s">
        <v>2</v>
      </c>
      <c r="C104" s="49" t="s">
        <v>70</v>
      </c>
      <c r="D104" s="21" t="s">
        <v>610</v>
      </c>
      <c r="E104" s="18" t="s">
        <v>578</v>
      </c>
      <c r="F104" s="18" t="s">
        <v>2</v>
      </c>
      <c r="G104" s="18">
        <v>6000</v>
      </c>
      <c r="H104" s="48">
        <v>44998</v>
      </c>
      <c r="I104" s="18" t="s">
        <v>12</v>
      </c>
      <c r="J104" s="34"/>
      <c r="K104" s="18"/>
      <c r="L104" s="18"/>
    </row>
    <row r="105" spans="1:12" ht="31.5">
      <c r="A105" s="18">
        <v>185</v>
      </c>
      <c r="B105" s="18" t="s">
        <v>2</v>
      </c>
      <c r="C105" s="49" t="s">
        <v>70</v>
      </c>
      <c r="D105" s="21" t="s">
        <v>609</v>
      </c>
      <c r="E105" s="18" t="s">
        <v>578</v>
      </c>
      <c r="F105" s="18" t="s">
        <v>2</v>
      </c>
      <c r="G105" s="18">
        <v>2000</v>
      </c>
      <c r="H105" s="48">
        <v>44998</v>
      </c>
      <c r="I105" s="18" t="s">
        <v>12</v>
      </c>
      <c r="J105" s="34"/>
      <c r="K105" s="18"/>
      <c r="L105" s="18"/>
    </row>
    <row r="106" spans="1:12" ht="31.5">
      <c r="A106" s="18">
        <v>186</v>
      </c>
      <c r="B106" s="18" t="s">
        <v>2</v>
      </c>
      <c r="C106" s="49" t="s">
        <v>70</v>
      </c>
      <c r="D106" s="21" t="s">
        <v>608</v>
      </c>
      <c r="E106" s="18" t="s">
        <v>578</v>
      </c>
      <c r="F106" s="18" t="s">
        <v>2</v>
      </c>
      <c r="G106" s="18">
        <v>2000</v>
      </c>
      <c r="H106" s="48">
        <v>44998</v>
      </c>
      <c r="I106" s="18" t="s">
        <v>12</v>
      </c>
      <c r="J106" s="34"/>
      <c r="K106" s="18"/>
      <c r="L106" s="18"/>
    </row>
    <row r="107" spans="1:12" ht="31.5">
      <c r="A107" s="18">
        <v>187</v>
      </c>
      <c r="B107" s="18" t="s">
        <v>2</v>
      </c>
      <c r="C107" s="49" t="s">
        <v>70</v>
      </c>
      <c r="D107" s="21" t="s">
        <v>607</v>
      </c>
      <c r="E107" s="18" t="s">
        <v>578</v>
      </c>
      <c r="F107" s="18" t="s">
        <v>2</v>
      </c>
      <c r="G107" s="18">
        <v>2000</v>
      </c>
      <c r="H107" s="48">
        <v>44998</v>
      </c>
      <c r="I107" s="18" t="s">
        <v>12</v>
      </c>
      <c r="J107" s="34"/>
      <c r="K107" s="18"/>
      <c r="L107" s="18"/>
    </row>
    <row r="108" spans="1:12" ht="31.5">
      <c r="A108" s="18">
        <v>188</v>
      </c>
      <c r="B108" s="18" t="s">
        <v>2</v>
      </c>
      <c r="C108" s="49" t="s">
        <v>70</v>
      </c>
      <c r="D108" s="21" t="s">
        <v>606</v>
      </c>
      <c r="E108" s="18" t="s">
        <v>578</v>
      </c>
      <c r="F108" s="18" t="s">
        <v>2</v>
      </c>
      <c r="G108" s="18">
        <v>2000</v>
      </c>
      <c r="H108" s="48">
        <v>44998</v>
      </c>
      <c r="I108" s="18" t="s">
        <v>12</v>
      </c>
      <c r="J108" s="34"/>
      <c r="K108" s="18"/>
      <c r="L108" s="18"/>
    </row>
    <row r="109" spans="1:12" ht="47.25">
      <c r="A109" s="18">
        <v>189</v>
      </c>
      <c r="B109" s="18" t="s">
        <v>2</v>
      </c>
      <c r="C109" s="49" t="s">
        <v>70</v>
      </c>
      <c r="D109" s="21" t="s">
        <v>605</v>
      </c>
      <c r="E109" s="18" t="s">
        <v>578</v>
      </c>
      <c r="F109" s="18" t="s">
        <v>2</v>
      </c>
      <c r="G109" s="18">
        <v>2000</v>
      </c>
      <c r="H109" s="48">
        <v>44998</v>
      </c>
      <c r="I109" s="18" t="s">
        <v>12</v>
      </c>
      <c r="J109" s="34"/>
      <c r="K109" s="18"/>
      <c r="L109" s="18"/>
    </row>
    <row r="110" spans="1:12" ht="31.5">
      <c r="A110" s="18">
        <v>190</v>
      </c>
      <c r="B110" s="18" t="s">
        <v>2</v>
      </c>
      <c r="C110" s="49" t="s">
        <v>70</v>
      </c>
      <c r="D110" s="21" t="s">
        <v>604</v>
      </c>
      <c r="E110" s="18" t="s">
        <v>16</v>
      </c>
      <c r="F110" s="18" t="s">
        <v>2</v>
      </c>
      <c r="G110" s="18">
        <v>1500</v>
      </c>
      <c r="H110" s="48">
        <v>44998</v>
      </c>
      <c r="I110" s="18" t="s">
        <v>12</v>
      </c>
      <c r="J110" s="34"/>
      <c r="K110" s="18"/>
      <c r="L110" s="18"/>
    </row>
    <row r="111" spans="1:12" ht="15.75">
      <c r="A111" s="18">
        <v>191</v>
      </c>
      <c r="B111" s="18" t="s">
        <v>2</v>
      </c>
      <c r="C111" s="49" t="s">
        <v>209</v>
      </c>
      <c r="D111" s="21" t="s">
        <v>603</v>
      </c>
      <c r="E111" s="18" t="s">
        <v>16</v>
      </c>
      <c r="F111" s="18" t="s">
        <v>2</v>
      </c>
      <c r="G111" s="18">
        <v>500</v>
      </c>
      <c r="H111" s="48">
        <v>44998</v>
      </c>
      <c r="I111" s="18" t="s">
        <v>12</v>
      </c>
      <c r="J111" s="34"/>
      <c r="K111" s="18"/>
      <c r="L111" s="18"/>
    </row>
    <row r="112" spans="1:12" ht="31.5">
      <c r="A112" s="18">
        <v>192</v>
      </c>
      <c r="B112" s="18" t="s">
        <v>2</v>
      </c>
      <c r="C112" s="49" t="s">
        <v>99</v>
      </c>
      <c r="D112" s="21" t="s">
        <v>602</v>
      </c>
      <c r="E112" s="18" t="s">
        <v>16</v>
      </c>
      <c r="F112" s="18" t="s">
        <v>2</v>
      </c>
      <c r="G112" s="18">
        <v>500</v>
      </c>
      <c r="H112" s="48">
        <v>44998</v>
      </c>
      <c r="I112" s="18" t="s">
        <v>12</v>
      </c>
      <c r="J112" s="34"/>
      <c r="K112" s="18"/>
      <c r="L112" s="18"/>
    </row>
    <row r="113" spans="1:12" ht="31.5">
      <c r="A113" s="18">
        <v>193</v>
      </c>
      <c r="B113" s="18" t="s">
        <v>2</v>
      </c>
      <c r="C113" s="49" t="s">
        <v>48</v>
      </c>
      <c r="D113" s="21" t="s">
        <v>601</v>
      </c>
      <c r="E113" s="18" t="s">
        <v>578</v>
      </c>
      <c r="F113" s="18" t="s">
        <v>2</v>
      </c>
      <c r="G113" s="18">
        <v>3000</v>
      </c>
      <c r="H113" s="48">
        <v>44998</v>
      </c>
      <c r="I113" s="18" t="s">
        <v>12</v>
      </c>
      <c r="J113" s="34"/>
      <c r="K113" s="18"/>
      <c r="L113" s="18"/>
    </row>
    <row r="114" spans="1:12" ht="31.5">
      <c r="A114" s="18">
        <v>194</v>
      </c>
      <c r="B114" s="18" t="s">
        <v>2</v>
      </c>
      <c r="C114" s="49" t="s">
        <v>48</v>
      </c>
      <c r="D114" s="21" t="s">
        <v>600</v>
      </c>
      <c r="E114" s="18" t="s">
        <v>578</v>
      </c>
      <c r="F114" s="18" t="s">
        <v>2</v>
      </c>
      <c r="G114" s="18">
        <v>2000</v>
      </c>
      <c r="H114" s="48">
        <v>44998</v>
      </c>
      <c r="I114" s="18" t="s">
        <v>12</v>
      </c>
      <c r="J114" s="34"/>
      <c r="K114" s="18"/>
      <c r="L114" s="18"/>
    </row>
    <row r="115" spans="1:12" ht="31.5">
      <c r="A115" s="18">
        <v>195</v>
      </c>
      <c r="B115" s="18" t="s">
        <v>2</v>
      </c>
      <c r="C115" s="49" t="s">
        <v>48</v>
      </c>
      <c r="D115" s="21" t="s">
        <v>599</v>
      </c>
      <c r="E115" s="18" t="s">
        <v>578</v>
      </c>
      <c r="F115" s="18" t="s">
        <v>2</v>
      </c>
      <c r="G115" s="18">
        <v>2000</v>
      </c>
      <c r="H115" s="48">
        <v>44998</v>
      </c>
      <c r="I115" s="18" t="s">
        <v>12</v>
      </c>
      <c r="J115" s="34"/>
      <c r="K115" s="18"/>
      <c r="L115" s="18"/>
    </row>
    <row r="116" spans="1:12" ht="47.25">
      <c r="A116" s="18">
        <v>196</v>
      </c>
      <c r="B116" s="18" t="s">
        <v>2</v>
      </c>
      <c r="C116" s="49" t="s">
        <v>48</v>
      </c>
      <c r="D116" s="21" t="s">
        <v>598</v>
      </c>
      <c r="E116" s="18" t="s">
        <v>578</v>
      </c>
      <c r="F116" s="18" t="s">
        <v>2</v>
      </c>
      <c r="G116" s="18">
        <v>2000</v>
      </c>
      <c r="H116" s="48">
        <v>44998</v>
      </c>
      <c r="I116" s="18" t="s">
        <v>12</v>
      </c>
      <c r="J116" s="34"/>
      <c r="K116" s="18"/>
      <c r="L116" s="18"/>
    </row>
    <row r="117" spans="1:12" ht="47.25">
      <c r="A117" s="18">
        <v>197</v>
      </c>
      <c r="B117" s="18" t="s">
        <v>2</v>
      </c>
      <c r="C117" s="49" t="s">
        <v>48</v>
      </c>
      <c r="D117" s="21" t="s">
        <v>597</v>
      </c>
      <c r="E117" s="18" t="s">
        <v>578</v>
      </c>
      <c r="F117" s="18" t="s">
        <v>2</v>
      </c>
      <c r="G117" s="18">
        <v>2000</v>
      </c>
      <c r="H117" s="48">
        <v>44998</v>
      </c>
      <c r="I117" s="18" t="s">
        <v>12</v>
      </c>
      <c r="J117" s="34"/>
      <c r="K117" s="18"/>
      <c r="L117" s="18"/>
    </row>
    <row r="118" spans="1:12" ht="31.5">
      <c r="A118" s="18">
        <v>198</v>
      </c>
      <c r="B118" s="18" t="s">
        <v>5</v>
      </c>
      <c r="C118" s="49" t="s">
        <v>214</v>
      </c>
      <c r="D118" s="21" t="s">
        <v>596</v>
      </c>
      <c r="E118" s="18" t="s">
        <v>16</v>
      </c>
      <c r="F118" s="18" t="s">
        <v>5</v>
      </c>
      <c r="G118" s="18">
        <v>1800</v>
      </c>
      <c r="H118" s="48">
        <v>44998</v>
      </c>
      <c r="I118" s="18" t="s">
        <v>12</v>
      </c>
      <c r="J118" s="34"/>
      <c r="K118" s="18"/>
      <c r="L118" s="18"/>
    </row>
    <row r="119" spans="1:12" ht="31.5">
      <c r="A119" s="18">
        <v>199</v>
      </c>
      <c r="B119" s="18" t="s">
        <v>5</v>
      </c>
      <c r="C119" s="49" t="s">
        <v>214</v>
      </c>
      <c r="D119" s="21" t="s">
        <v>595</v>
      </c>
      <c r="E119" s="18" t="s">
        <v>16</v>
      </c>
      <c r="F119" s="18" t="s">
        <v>5</v>
      </c>
      <c r="G119" s="18">
        <v>1800</v>
      </c>
      <c r="H119" s="48">
        <v>44998</v>
      </c>
      <c r="I119" s="18" t="s">
        <v>12</v>
      </c>
      <c r="J119" s="34"/>
      <c r="K119" s="18"/>
      <c r="L119" s="18"/>
    </row>
    <row r="120" spans="1:12" ht="31.5">
      <c r="A120" s="18">
        <v>200</v>
      </c>
      <c r="B120" s="18" t="s">
        <v>5</v>
      </c>
      <c r="C120" s="49" t="s">
        <v>52</v>
      </c>
      <c r="D120" s="21" t="s">
        <v>594</v>
      </c>
      <c r="E120" s="18" t="s">
        <v>16</v>
      </c>
      <c r="F120" s="18" t="s">
        <v>5</v>
      </c>
      <c r="G120" s="18">
        <v>3000</v>
      </c>
      <c r="H120" s="48">
        <v>44998</v>
      </c>
      <c r="I120" s="18" t="s">
        <v>35</v>
      </c>
      <c r="J120" s="34"/>
      <c r="K120" s="18"/>
      <c r="L120" s="18"/>
    </row>
    <row r="121" spans="1:12" ht="31.5">
      <c r="A121" s="18">
        <v>201</v>
      </c>
      <c r="B121" s="18" t="s">
        <v>2</v>
      </c>
      <c r="C121" s="49" t="s">
        <v>209</v>
      </c>
      <c r="D121" s="21" t="s">
        <v>593</v>
      </c>
      <c r="E121" s="18" t="s">
        <v>13</v>
      </c>
      <c r="F121" s="18" t="s">
        <v>2</v>
      </c>
      <c r="G121" s="18">
        <v>5000</v>
      </c>
      <c r="H121" s="48">
        <v>44998</v>
      </c>
      <c r="I121" s="18" t="s">
        <v>12</v>
      </c>
      <c r="J121" s="34"/>
      <c r="K121" s="18"/>
      <c r="L121" s="18"/>
    </row>
    <row r="122" spans="1:12" ht="47.25">
      <c r="A122" s="18">
        <v>202</v>
      </c>
      <c r="B122" s="18" t="s">
        <v>5</v>
      </c>
      <c r="C122" s="49" t="s">
        <v>66</v>
      </c>
      <c r="D122" s="21" t="s">
        <v>592</v>
      </c>
      <c r="E122" s="18" t="s">
        <v>578</v>
      </c>
      <c r="F122" s="18" t="s">
        <v>5</v>
      </c>
      <c r="G122" s="18">
        <v>7000</v>
      </c>
      <c r="H122" s="48">
        <v>44998</v>
      </c>
      <c r="I122" s="18" t="s">
        <v>35</v>
      </c>
      <c r="J122" s="34"/>
      <c r="K122" s="18"/>
      <c r="L122" s="18"/>
    </row>
    <row r="123" spans="1:12" ht="47.25">
      <c r="A123" s="18">
        <v>203</v>
      </c>
      <c r="B123" s="18" t="s">
        <v>2</v>
      </c>
      <c r="C123" s="49" t="s">
        <v>74</v>
      </c>
      <c r="D123" s="21" t="s">
        <v>591</v>
      </c>
      <c r="E123" s="18" t="s">
        <v>578</v>
      </c>
      <c r="F123" s="18" t="s">
        <v>2</v>
      </c>
      <c r="G123" s="18">
        <v>2000</v>
      </c>
      <c r="H123" s="48">
        <v>44998</v>
      </c>
      <c r="I123" s="18" t="s">
        <v>12</v>
      </c>
      <c r="J123" s="34"/>
      <c r="K123" s="18"/>
      <c r="L123" s="18"/>
    </row>
    <row r="124" spans="1:12" ht="31.5">
      <c r="A124" s="18">
        <v>204</v>
      </c>
      <c r="B124" s="18" t="s">
        <v>2</v>
      </c>
      <c r="C124" s="49" t="s">
        <v>74</v>
      </c>
      <c r="D124" s="21" t="s">
        <v>590</v>
      </c>
      <c r="E124" s="18" t="s">
        <v>578</v>
      </c>
      <c r="F124" s="18" t="s">
        <v>2</v>
      </c>
      <c r="G124" s="18">
        <v>2000</v>
      </c>
      <c r="H124" s="48">
        <v>44998</v>
      </c>
      <c r="I124" s="18" t="s">
        <v>12</v>
      </c>
      <c r="J124" s="34"/>
      <c r="K124" s="18"/>
      <c r="L124" s="18"/>
    </row>
    <row r="125" spans="1:12" ht="31.5">
      <c r="A125" s="18">
        <v>205</v>
      </c>
      <c r="B125" s="18" t="s">
        <v>7</v>
      </c>
      <c r="C125" s="49" t="s">
        <v>285</v>
      </c>
      <c r="D125" s="21" t="s">
        <v>589</v>
      </c>
      <c r="E125" s="18" t="s">
        <v>578</v>
      </c>
      <c r="F125" s="18" t="s">
        <v>7</v>
      </c>
      <c r="G125" s="18">
        <v>2000</v>
      </c>
      <c r="H125" s="48">
        <v>44998</v>
      </c>
      <c r="I125" s="18" t="s">
        <v>35</v>
      </c>
      <c r="J125" s="34"/>
      <c r="K125" s="18"/>
      <c r="L125" s="18"/>
    </row>
    <row r="126" spans="1:12" ht="47.25">
      <c r="A126" s="18">
        <v>206</v>
      </c>
      <c r="B126" s="18" t="s">
        <v>7</v>
      </c>
      <c r="C126" s="49" t="s">
        <v>586</v>
      </c>
      <c r="D126" s="21" t="s">
        <v>588</v>
      </c>
      <c r="E126" s="18" t="s">
        <v>16</v>
      </c>
      <c r="F126" s="18" t="s">
        <v>7</v>
      </c>
      <c r="G126" s="18">
        <v>1800</v>
      </c>
      <c r="H126" s="48">
        <v>44998</v>
      </c>
      <c r="I126" s="18" t="s">
        <v>35</v>
      </c>
      <c r="J126" s="34"/>
      <c r="K126" s="18"/>
      <c r="L126" s="18"/>
    </row>
    <row r="127" spans="1:12" ht="31.5">
      <c r="A127" s="18">
        <v>207</v>
      </c>
      <c r="B127" s="18" t="s">
        <v>7</v>
      </c>
      <c r="C127" s="49" t="s">
        <v>586</v>
      </c>
      <c r="D127" s="21" t="s">
        <v>587</v>
      </c>
      <c r="E127" s="18" t="s">
        <v>16</v>
      </c>
      <c r="F127" s="18" t="s">
        <v>7</v>
      </c>
      <c r="G127" s="18">
        <v>1800</v>
      </c>
      <c r="H127" s="48">
        <v>44998</v>
      </c>
      <c r="I127" s="18" t="s">
        <v>35</v>
      </c>
      <c r="J127" s="34"/>
      <c r="K127" s="18"/>
      <c r="L127" s="18"/>
    </row>
    <row r="128" spans="1:12" ht="31.5">
      <c r="A128" s="18">
        <v>208</v>
      </c>
      <c r="B128" s="18" t="s">
        <v>7</v>
      </c>
      <c r="C128" s="49" t="s">
        <v>586</v>
      </c>
      <c r="D128" s="21" t="s">
        <v>585</v>
      </c>
      <c r="E128" s="18" t="s">
        <v>16</v>
      </c>
      <c r="F128" s="18" t="s">
        <v>7</v>
      </c>
      <c r="G128" s="18">
        <v>900</v>
      </c>
      <c r="H128" s="48">
        <v>44998</v>
      </c>
      <c r="I128" s="18" t="s">
        <v>35</v>
      </c>
      <c r="J128" s="34"/>
      <c r="K128" s="18"/>
      <c r="L128" s="18"/>
    </row>
    <row r="129" spans="1:12" ht="31.5">
      <c r="A129" s="18">
        <v>209</v>
      </c>
      <c r="B129" s="18" t="s">
        <v>2</v>
      </c>
      <c r="C129" s="49" t="s">
        <v>583</v>
      </c>
      <c r="D129" s="21" t="s">
        <v>584</v>
      </c>
      <c r="E129" s="18" t="s">
        <v>578</v>
      </c>
      <c r="F129" s="18" t="s">
        <v>2</v>
      </c>
      <c r="G129" s="18">
        <v>6000</v>
      </c>
      <c r="H129" s="48">
        <v>44998</v>
      </c>
      <c r="I129" s="18" t="s">
        <v>12</v>
      </c>
      <c r="J129" s="34"/>
      <c r="K129" s="18"/>
      <c r="L129" s="18"/>
    </row>
    <row r="130" spans="1:12" ht="31.5">
      <c r="A130" s="18">
        <v>210</v>
      </c>
      <c r="B130" s="18" t="s">
        <v>2</v>
      </c>
      <c r="C130" s="49" t="s">
        <v>583</v>
      </c>
      <c r="D130" s="21" t="s">
        <v>582</v>
      </c>
      <c r="E130" s="18" t="s">
        <v>578</v>
      </c>
      <c r="F130" s="18" t="s">
        <v>2</v>
      </c>
      <c r="G130" s="18">
        <v>10000</v>
      </c>
      <c r="H130" s="48">
        <v>44998</v>
      </c>
      <c r="I130" s="18" t="s">
        <v>12</v>
      </c>
      <c r="J130" s="34"/>
      <c r="K130" s="18"/>
      <c r="L130" s="18"/>
    </row>
    <row r="131" spans="1:12" ht="15.75">
      <c r="A131" s="18">
        <v>211</v>
      </c>
      <c r="B131" s="18" t="s">
        <v>1</v>
      </c>
      <c r="C131" s="49" t="s">
        <v>140</v>
      </c>
      <c r="D131" s="21" t="s">
        <v>581</v>
      </c>
      <c r="E131" s="18" t="s">
        <v>16</v>
      </c>
      <c r="F131" s="18" t="s">
        <v>1</v>
      </c>
      <c r="G131" s="18">
        <v>500</v>
      </c>
      <c r="H131" s="48">
        <v>44998</v>
      </c>
      <c r="I131" s="18" t="s">
        <v>12</v>
      </c>
      <c r="J131" s="34"/>
      <c r="K131" s="18"/>
      <c r="L131" s="18"/>
    </row>
    <row r="132" spans="1:12" ht="31.5">
      <c r="A132" s="18">
        <v>212</v>
      </c>
      <c r="B132" s="18" t="s">
        <v>2</v>
      </c>
      <c r="C132" s="49" t="s">
        <v>580</v>
      </c>
      <c r="D132" s="21" t="s">
        <v>579</v>
      </c>
      <c r="E132" s="18" t="s">
        <v>578</v>
      </c>
      <c r="F132" s="18" t="s">
        <v>2</v>
      </c>
      <c r="G132" s="18">
        <v>2000</v>
      </c>
      <c r="H132" s="48">
        <v>44998</v>
      </c>
      <c r="I132" s="18" t="s">
        <v>35</v>
      </c>
      <c r="J132" s="34"/>
      <c r="K132" s="18"/>
      <c r="L132" s="18"/>
    </row>
    <row r="133" spans="1:12" ht="31.5">
      <c r="A133" s="18">
        <v>213</v>
      </c>
      <c r="B133" s="18" t="s">
        <v>8</v>
      </c>
      <c r="C133" s="49" t="s">
        <v>577</v>
      </c>
      <c r="D133" s="21" t="s">
        <v>576</v>
      </c>
      <c r="E133" s="18" t="s">
        <v>13</v>
      </c>
      <c r="F133" s="18" t="s">
        <v>8</v>
      </c>
      <c r="G133" s="18">
        <v>3000</v>
      </c>
      <c r="H133" s="48">
        <v>44998</v>
      </c>
      <c r="I133" s="18" t="s">
        <v>35</v>
      </c>
      <c r="J133" s="34"/>
      <c r="K133" s="18"/>
      <c r="L133" s="18"/>
    </row>
    <row r="134" spans="1:12" ht="31.5">
      <c r="A134" s="18">
        <v>214</v>
      </c>
      <c r="B134" s="18" t="s">
        <v>2</v>
      </c>
      <c r="C134" s="49" t="s">
        <v>209</v>
      </c>
      <c r="D134" s="21" t="s">
        <v>575</v>
      </c>
      <c r="E134" s="18" t="s">
        <v>13</v>
      </c>
      <c r="F134" s="18" t="s">
        <v>2</v>
      </c>
      <c r="G134" s="18">
        <v>5000</v>
      </c>
      <c r="H134" s="48">
        <v>44998</v>
      </c>
      <c r="I134" s="18" t="s">
        <v>12</v>
      </c>
      <c r="J134" s="34"/>
      <c r="K134" s="18"/>
      <c r="L134" s="18"/>
    </row>
    <row r="135" spans="1:12" ht="31.5">
      <c r="A135" s="18">
        <v>215</v>
      </c>
      <c r="B135" s="18" t="s">
        <v>6</v>
      </c>
      <c r="C135" s="49" t="s">
        <v>337</v>
      </c>
      <c r="D135" s="21" t="s">
        <v>574</v>
      </c>
      <c r="E135" s="18" t="s">
        <v>16</v>
      </c>
      <c r="F135" s="18" t="s">
        <v>6</v>
      </c>
      <c r="G135" s="18">
        <v>500</v>
      </c>
      <c r="H135" s="48">
        <v>44998</v>
      </c>
      <c r="I135" s="18" t="s">
        <v>35</v>
      </c>
      <c r="J135" s="34"/>
      <c r="K135" s="18"/>
      <c r="L135" s="18"/>
    </row>
    <row r="136" spans="1:12" ht="15.75">
      <c r="A136" s="58"/>
      <c r="B136" s="58"/>
      <c r="C136" s="60"/>
      <c r="D136" s="58" t="s">
        <v>11</v>
      </c>
      <c r="E136" s="58"/>
      <c r="F136" s="58"/>
      <c r="G136" s="58">
        <f>SUM(G67:G135)</f>
        <v>132900</v>
      </c>
      <c r="H136" s="53"/>
      <c r="I136" s="58"/>
      <c r="J136" s="34">
        <f>G136</f>
        <v>132900</v>
      </c>
      <c r="K136" s="58"/>
      <c r="L136" s="58"/>
    </row>
    <row r="137" spans="1:12" ht="31.5">
      <c r="A137" s="18">
        <v>216</v>
      </c>
      <c r="B137" s="18" t="s">
        <v>5</v>
      </c>
      <c r="C137" s="49" t="s">
        <v>18</v>
      </c>
      <c r="D137" s="21" t="s">
        <v>573</v>
      </c>
      <c r="E137" s="18" t="s">
        <v>13</v>
      </c>
      <c r="F137" s="18" t="s">
        <v>5</v>
      </c>
      <c r="G137" s="18">
        <v>3000</v>
      </c>
      <c r="H137" s="48">
        <v>45006</v>
      </c>
      <c r="I137" s="18" t="s">
        <v>12</v>
      </c>
      <c r="J137" s="34"/>
      <c r="K137" s="18"/>
      <c r="L137" s="18"/>
    </row>
    <row r="138" spans="1:12" ht="31.5">
      <c r="A138" s="18">
        <v>217</v>
      </c>
      <c r="B138" s="18" t="s">
        <v>6</v>
      </c>
      <c r="C138" s="49" t="s">
        <v>572</v>
      </c>
      <c r="D138" s="21" t="s">
        <v>571</v>
      </c>
      <c r="E138" s="18" t="s">
        <v>16</v>
      </c>
      <c r="F138" s="18" t="s">
        <v>6</v>
      </c>
      <c r="G138" s="18">
        <v>500</v>
      </c>
      <c r="H138" s="48">
        <v>45006</v>
      </c>
      <c r="I138" s="18" t="s">
        <v>35</v>
      </c>
      <c r="J138" s="34"/>
      <c r="K138" s="18"/>
      <c r="L138" s="18"/>
    </row>
    <row r="139" spans="1:12" ht="31.5">
      <c r="A139" s="18">
        <v>218</v>
      </c>
      <c r="B139" s="18" t="s">
        <v>2</v>
      </c>
      <c r="C139" s="49" t="s">
        <v>254</v>
      </c>
      <c r="D139" s="21" t="s">
        <v>570</v>
      </c>
      <c r="E139" s="18" t="s">
        <v>23</v>
      </c>
      <c r="F139" s="18" t="s">
        <v>2</v>
      </c>
      <c r="G139" s="18">
        <v>6000</v>
      </c>
      <c r="H139" s="48">
        <v>45006</v>
      </c>
      <c r="I139" s="18" t="s">
        <v>35</v>
      </c>
      <c r="J139" s="34"/>
      <c r="K139" s="18"/>
      <c r="L139" s="18"/>
    </row>
    <row r="140" spans="1:12" ht="31.5">
      <c r="A140" s="18">
        <v>219</v>
      </c>
      <c r="B140" s="18" t="s">
        <v>8</v>
      </c>
      <c r="C140" s="49" t="s">
        <v>34</v>
      </c>
      <c r="D140" s="21" t="s">
        <v>569</v>
      </c>
      <c r="E140" s="18" t="s">
        <v>16</v>
      </c>
      <c r="F140" s="18" t="s">
        <v>8</v>
      </c>
      <c r="G140" s="18">
        <v>3000</v>
      </c>
      <c r="H140" s="48">
        <v>45006</v>
      </c>
      <c r="I140" s="18" t="s">
        <v>12</v>
      </c>
      <c r="J140" s="34"/>
      <c r="K140" s="18"/>
      <c r="L140" s="18"/>
    </row>
    <row r="141" spans="1:12" ht="31.5">
      <c r="A141" s="18">
        <v>220</v>
      </c>
      <c r="B141" s="18" t="s">
        <v>6</v>
      </c>
      <c r="C141" s="49" t="s">
        <v>566</v>
      </c>
      <c r="D141" s="21" t="s">
        <v>568</v>
      </c>
      <c r="E141" s="18" t="s">
        <v>13</v>
      </c>
      <c r="F141" s="18" t="s">
        <v>6</v>
      </c>
      <c r="G141" s="18">
        <v>3000</v>
      </c>
      <c r="H141" s="48">
        <v>45006</v>
      </c>
      <c r="I141" s="18" t="s">
        <v>35</v>
      </c>
      <c r="J141" s="34"/>
      <c r="K141" s="18"/>
      <c r="L141" s="18"/>
    </row>
    <row r="142" spans="1:12" ht="31.5">
      <c r="A142" s="18">
        <v>221</v>
      </c>
      <c r="B142" s="18" t="s">
        <v>6</v>
      </c>
      <c r="C142" s="49" t="s">
        <v>566</v>
      </c>
      <c r="D142" s="21" t="s">
        <v>567</v>
      </c>
      <c r="E142" s="18" t="s">
        <v>16</v>
      </c>
      <c r="F142" s="18" t="s">
        <v>6</v>
      </c>
      <c r="G142" s="18">
        <v>3000</v>
      </c>
      <c r="H142" s="48">
        <v>45006</v>
      </c>
      <c r="I142" s="18" t="s">
        <v>35</v>
      </c>
      <c r="J142" s="34"/>
      <c r="K142" s="18"/>
      <c r="L142" s="18"/>
    </row>
    <row r="143" spans="1:12" ht="31.5">
      <c r="A143" s="18">
        <v>222</v>
      </c>
      <c r="B143" s="18" t="s">
        <v>6</v>
      </c>
      <c r="C143" s="49" t="s">
        <v>566</v>
      </c>
      <c r="D143" s="21" t="s">
        <v>565</v>
      </c>
      <c r="E143" s="18" t="s">
        <v>16</v>
      </c>
      <c r="F143" s="18" t="s">
        <v>6</v>
      </c>
      <c r="G143" s="18">
        <v>1800</v>
      </c>
      <c r="H143" s="48">
        <v>45006</v>
      </c>
      <c r="I143" s="18" t="s">
        <v>35</v>
      </c>
      <c r="J143" s="34"/>
      <c r="K143" s="18"/>
      <c r="L143" s="18"/>
    </row>
    <row r="144" spans="1:12" ht="31.5">
      <c r="A144" s="18">
        <v>223</v>
      </c>
      <c r="B144" s="18" t="s">
        <v>8</v>
      </c>
      <c r="C144" s="49" t="s">
        <v>279</v>
      </c>
      <c r="D144" s="21" t="s">
        <v>564</v>
      </c>
      <c r="E144" s="18" t="s">
        <v>23</v>
      </c>
      <c r="F144" s="18" t="s">
        <v>8</v>
      </c>
      <c r="G144" s="18">
        <v>10000</v>
      </c>
      <c r="H144" s="48">
        <v>45006</v>
      </c>
      <c r="I144" s="18" t="s">
        <v>12</v>
      </c>
      <c r="J144" s="34"/>
      <c r="K144" s="18"/>
      <c r="L144" s="18"/>
    </row>
    <row r="145" spans="1:12" ht="31.5">
      <c r="A145" s="18">
        <v>224</v>
      </c>
      <c r="B145" s="18" t="s">
        <v>8</v>
      </c>
      <c r="C145" s="49" t="s">
        <v>279</v>
      </c>
      <c r="D145" s="21" t="s">
        <v>563</v>
      </c>
      <c r="E145" s="18" t="s">
        <v>13</v>
      </c>
      <c r="F145" s="18" t="s">
        <v>8</v>
      </c>
      <c r="G145" s="18">
        <v>3000</v>
      </c>
      <c r="H145" s="48">
        <v>45006</v>
      </c>
      <c r="I145" s="18" t="s">
        <v>12</v>
      </c>
      <c r="J145" s="34"/>
      <c r="K145" s="18"/>
      <c r="L145" s="18"/>
    </row>
    <row r="146" spans="1:12" ht="15.75">
      <c r="A146" s="18">
        <v>225</v>
      </c>
      <c r="B146" s="18" t="s">
        <v>0</v>
      </c>
      <c r="C146" s="49" t="s">
        <v>126</v>
      </c>
      <c r="D146" s="29" t="s">
        <v>354</v>
      </c>
      <c r="E146" s="18" t="s">
        <v>193</v>
      </c>
      <c r="F146" s="18" t="s">
        <v>0</v>
      </c>
      <c r="G146" s="18">
        <v>4000</v>
      </c>
      <c r="H146" s="48">
        <v>45006</v>
      </c>
      <c r="I146" s="18" t="s">
        <v>12</v>
      </c>
      <c r="J146" s="34"/>
      <c r="K146" s="18"/>
      <c r="L146" s="18"/>
    </row>
    <row r="147" spans="1:12" ht="31.5">
      <c r="A147" s="18">
        <v>226</v>
      </c>
      <c r="B147" s="18" t="s">
        <v>8</v>
      </c>
      <c r="C147" s="49" t="s">
        <v>349</v>
      </c>
      <c r="D147" s="21" t="s">
        <v>562</v>
      </c>
      <c r="E147" s="18" t="s">
        <v>23</v>
      </c>
      <c r="F147" s="18" t="s">
        <v>8</v>
      </c>
      <c r="G147" s="18">
        <v>10000</v>
      </c>
      <c r="H147" s="48">
        <v>45006</v>
      </c>
      <c r="I147" s="18" t="s">
        <v>12</v>
      </c>
      <c r="J147" s="34"/>
      <c r="K147" s="18"/>
      <c r="L147" s="18"/>
    </row>
    <row r="148" spans="1:12" ht="47.25">
      <c r="A148" s="18">
        <v>227</v>
      </c>
      <c r="B148" s="18" t="s">
        <v>2</v>
      </c>
      <c r="C148" s="49" t="s">
        <v>93</v>
      </c>
      <c r="D148" s="21" t="s">
        <v>561</v>
      </c>
      <c r="E148" s="18" t="s">
        <v>23</v>
      </c>
      <c r="F148" s="18" t="s">
        <v>2</v>
      </c>
      <c r="G148" s="18">
        <v>10000</v>
      </c>
      <c r="H148" s="48">
        <v>45006</v>
      </c>
      <c r="I148" s="18" t="s">
        <v>12</v>
      </c>
      <c r="J148" s="34"/>
      <c r="K148" s="18"/>
      <c r="L148" s="18"/>
    </row>
    <row r="149" spans="1:12" ht="31.5">
      <c r="A149" s="18">
        <v>228</v>
      </c>
      <c r="B149" s="18" t="s">
        <v>2</v>
      </c>
      <c r="C149" s="49" t="s">
        <v>93</v>
      </c>
      <c r="D149" s="21" t="s">
        <v>560</v>
      </c>
      <c r="E149" s="18" t="s">
        <v>13</v>
      </c>
      <c r="F149" s="18" t="s">
        <v>2</v>
      </c>
      <c r="G149" s="18">
        <v>3000</v>
      </c>
      <c r="H149" s="48">
        <v>45006</v>
      </c>
      <c r="I149" s="18" t="s">
        <v>12</v>
      </c>
      <c r="J149" s="34"/>
      <c r="K149" s="18"/>
      <c r="L149" s="18"/>
    </row>
    <row r="150" spans="1:12" ht="15.75">
      <c r="A150" s="18">
        <v>229</v>
      </c>
      <c r="B150" s="18" t="s">
        <v>2</v>
      </c>
      <c r="C150" s="49" t="s">
        <v>93</v>
      </c>
      <c r="D150" s="18" t="s">
        <v>162</v>
      </c>
      <c r="E150" s="18" t="s">
        <v>193</v>
      </c>
      <c r="F150" s="18" t="s">
        <v>2</v>
      </c>
      <c r="G150" s="18">
        <v>2000</v>
      </c>
      <c r="H150" s="48">
        <v>45006</v>
      </c>
      <c r="I150" s="18" t="s">
        <v>12</v>
      </c>
      <c r="J150" s="34"/>
      <c r="K150" s="18"/>
      <c r="L150" s="18"/>
    </row>
    <row r="151" spans="1:12" ht="31.5">
      <c r="A151" s="18">
        <v>230</v>
      </c>
      <c r="B151" s="18" t="s">
        <v>5</v>
      </c>
      <c r="C151" s="49" t="s">
        <v>15</v>
      </c>
      <c r="D151" s="21" t="s">
        <v>559</v>
      </c>
      <c r="E151" s="18" t="s">
        <v>13</v>
      </c>
      <c r="F151" s="18" t="s">
        <v>5</v>
      </c>
      <c r="G151" s="18">
        <v>3000</v>
      </c>
      <c r="H151" s="48">
        <v>45006</v>
      </c>
      <c r="I151" s="18" t="s">
        <v>12</v>
      </c>
      <c r="J151" s="34"/>
      <c r="K151" s="18"/>
      <c r="L151" s="18"/>
    </row>
    <row r="152" spans="1:12" ht="31.5">
      <c r="A152" s="18">
        <v>231</v>
      </c>
      <c r="B152" s="18" t="s">
        <v>5</v>
      </c>
      <c r="C152" s="49" t="s">
        <v>15</v>
      </c>
      <c r="D152" s="21" t="s">
        <v>558</v>
      </c>
      <c r="E152" s="18" t="s">
        <v>13</v>
      </c>
      <c r="F152" s="18" t="s">
        <v>5</v>
      </c>
      <c r="G152" s="18">
        <v>3000</v>
      </c>
      <c r="H152" s="48">
        <v>45006</v>
      </c>
      <c r="I152" s="18" t="s">
        <v>12</v>
      </c>
      <c r="J152" s="34"/>
      <c r="K152" s="18"/>
      <c r="L152" s="18"/>
    </row>
    <row r="153" spans="1:12" ht="31.5">
      <c r="A153" s="18">
        <v>232</v>
      </c>
      <c r="B153" s="18" t="s">
        <v>7</v>
      </c>
      <c r="C153" s="49" t="s">
        <v>557</v>
      </c>
      <c r="D153" s="21" t="s">
        <v>556</v>
      </c>
      <c r="E153" s="18" t="s">
        <v>13</v>
      </c>
      <c r="F153" s="18" t="s">
        <v>7</v>
      </c>
      <c r="G153" s="18">
        <v>3000</v>
      </c>
      <c r="H153" s="48">
        <v>45006</v>
      </c>
      <c r="I153" s="18" t="s">
        <v>53</v>
      </c>
      <c r="J153" s="34"/>
      <c r="K153" s="18"/>
      <c r="L153" s="18"/>
    </row>
    <row r="154" spans="1:12" ht="31.5">
      <c r="A154" s="18">
        <v>233</v>
      </c>
      <c r="B154" s="18" t="s">
        <v>3</v>
      </c>
      <c r="C154" s="49" t="s">
        <v>245</v>
      </c>
      <c r="D154" s="21" t="s">
        <v>555</v>
      </c>
      <c r="E154" s="18" t="s">
        <v>16</v>
      </c>
      <c r="F154" s="18" t="s">
        <v>3</v>
      </c>
      <c r="G154" s="18">
        <v>1800</v>
      </c>
      <c r="H154" s="48">
        <v>45006</v>
      </c>
      <c r="I154" s="18" t="s">
        <v>35</v>
      </c>
      <c r="J154" s="34"/>
      <c r="K154" s="18"/>
      <c r="L154" s="18"/>
    </row>
    <row r="155" spans="1:12" ht="31.5">
      <c r="A155" s="18">
        <v>234</v>
      </c>
      <c r="B155" s="18" t="s">
        <v>3</v>
      </c>
      <c r="C155" s="49" t="s">
        <v>360</v>
      </c>
      <c r="D155" s="21" t="s">
        <v>554</v>
      </c>
      <c r="E155" s="18" t="s">
        <v>23</v>
      </c>
      <c r="F155" s="18" t="s">
        <v>3</v>
      </c>
      <c r="G155" s="18">
        <v>6000</v>
      </c>
      <c r="H155" s="48">
        <v>45006</v>
      </c>
      <c r="I155" s="18" t="s">
        <v>12</v>
      </c>
      <c r="J155" s="34"/>
      <c r="K155" s="18"/>
      <c r="L155" s="18"/>
    </row>
    <row r="156" spans="1:12" ht="15.75">
      <c r="A156" s="58"/>
      <c r="B156" s="58"/>
      <c r="C156" s="60"/>
      <c r="D156" s="58" t="s">
        <v>11</v>
      </c>
      <c r="E156" s="58"/>
      <c r="F156" s="58"/>
      <c r="G156" s="58">
        <f>SUM(G137:G155)</f>
        <v>79100</v>
      </c>
      <c r="H156" s="53"/>
      <c r="I156" s="58"/>
      <c r="J156" s="34">
        <f>G156</f>
        <v>79100</v>
      </c>
      <c r="K156" s="58"/>
      <c r="L156" s="58"/>
    </row>
    <row r="157" spans="1:12" ht="31.5">
      <c r="A157" s="18">
        <v>235</v>
      </c>
      <c r="B157" s="18" t="s">
        <v>5</v>
      </c>
      <c r="C157" s="49" t="s">
        <v>269</v>
      </c>
      <c r="D157" s="21" t="s">
        <v>553</v>
      </c>
      <c r="E157" s="18" t="s">
        <v>16</v>
      </c>
      <c r="F157" s="18" t="s">
        <v>5</v>
      </c>
      <c r="G157" s="18">
        <v>1800</v>
      </c>
      <c r="H157" s="48">
        <v>45014</v>
      </c>
      <c r="I157" s="18" t="s">
        <v>542</v>
      </c>
      <c r="J157" s="34"/>
      <c r="K157" s="18"/>
      <c r="L157" s="18"/>
    </row>
    <row r="158" spans="1:12" ht="31.5">
      <c r="A158" s="18">
        <v>236</v>
      </c>
      <c r="B158" s="18" t="s">
        <v>6</v>
      </c>
      <c r="C158" s="49" t="s">
        <v>181</v>
      </c>
      <c r="D158" s="21" t="s">
        <v>552</v>
      </c>
      <c r="E158" s="18" t="s">
        <v>16</v>
      </c>
      <c r="F158" s="18" t="s">
        <v>6</v>
      </c>
      <c r="G158" s="18">
        <v>1800</v>
      </c>
      <c r="H158" s="48">
        <v>45014</v>
      </c>
      <c r="I158" s="18" t="s">
        <v>35</v>
      </c>
      <c r="J158" s="34"/>
      <c r="K158" s="18"/>
      <c r="L158" s="18"/>
    </row>
    <row r="159" spans="1:12" ht="30" customHeight="1">
      <c r="A159" s="18">
        <v>237</v>
      </c>
      <c r="B159" s="18" t="s">
        <v>6</v>
      </c>
      <c r="C159" s="49" t="s">
        <v>181</v>
      </c>
      <c r="D159" s="21" t="s">
        <v>551</v>
      </c>
      <c r="E159" s="18" t="s">
        <v>16</v>
      </c>
      <c r="F159" s="18" t="s">
        <v>6</v>
      </c>
      <c r="G159" s="18">
        <v>1800</v>
      </c>
      <c r="H159" s="48">
        <v>45014</v>
      </c>
      <c r="I159" s="18" t="s">
        <v>35</v>
      </c>
      <c r="J159" s="34"/>
      <c r="K159" s="18"/>
      <c r="L159" s="18"/>
    </row>
    <row r="160" spans="1:12" ht="47.25">
      <c r="A160" s="18">
        <v>238</v>
      </c>
      <c r="B160" s="18" t="s">
        <v>2</v>
      </c>
      <c r="C160" s="49" t="s">
        <v>209</v>
      </c>
      <c r="D160" s="21" t="s">
        <v>550</v>
      </c>
      <c r="E160" s="18" t="s">
        <v>13</v>
      </c>
      <c r="F160" s="18" t="s">
        <v>2</v>
      </c>
      <c r="G160" s="18">
        <v>5000</v>
      </c>
      <c r="H160" s="48">
        <v>45014</v>
      </c>
      <c r="I160" s="18" t="s">
        <v>542</v>
      </c>
      <c r="J160" s="34"/>
      <c r="K160" s="18"/>
      <c r="L160" s="18"/>
    </row>
    <row r="161" spans="1:12" ht="31.5">
      <c r="A161" s="18">
        <v>239</v>
      </c>
      <c r="B161" s="18" t="s">
        <v>5</v>
      </c>
      <c r="C161" s="49" t="s">
        <v>115</v>
      </c>
      <c r="D161" s="21" t="s">
        <v>549</v>
      </c>
      <c r="E161" s="18" t="s">
        <v>13</v>
      </c>
      <c r="F161" s="18" t="s">
        <v>5</v>
      </c>
      <c r="G161" s="18">
        <v>3000</v>
      </c>
      <c r="H161" s="48">
        <v>45014</v>
      </c>
      <c r="I161" s="18" t="s">
        <v>542</v>
      </c>
      <c r="J161" s="34"/>
      <c r="K161" s="18"/>
      <c r="L161" s="18"/>
    </row>
    <row r="162" spans="1:12" ht="31.5">
      <c r="A162" s="18">
        <v>240</v>
      </c>
      <c r="B162" s="18" t="s">
        <v>5</v>
      </c>
      <c r="C162" s="49" t="s">
        <v>178</v>
      </c>
      <c r="D162" s="21" t="s">
        <v>548</v>
      </c>
      <c r="E162" s="18" t="s">
        <v>16</v>
      </c>
      <c r="F162" s="18" t="s">
        <v>5</v>
      </c>
      <c r="G162" s="18">
        <v>1800</v>
      </c>
      <c r="H162" s="48">
        <v>45014</v>
      </c>
      <c r="I162" s="18" t="s">
        <v>542</v>
      </c>
      <c r="J162" s="34"/>
      <c r="K162" s="18"/>
      <c r="L162" s="18"/>
    </row>
    <row r="163" spans="1:12" ht="31.5">
      <c r="A163" s="18">
        <v>241</v>
      </c>
      <c r="B163" s="18" t="s">
        <v>5</v>
      </c>
      <c r="C163" s="49" t="s">
        <v>178</v>
      </c>
      <c r="D163" s="21" t="s">
        <v>547</v>
      </c>
      <c r="E163" s="18" t="s">
        <v>16</v>
      </c>
      <c r="F163" s="18" t="s">
        <v>5</v>
      </c>
      <c r="G163" s="18">
        <v>1800</v>
      </c>
      <c r="H163" s="48">
        <v>45014</v>
      </c>
      <c r="I163" s="18" t="s">
        <v>542</v>
      </c>
      <c r="J163" s="34"/>
      <c r="K163" s="18"/>
      <c r="L163" s="18"/>
    </row>
    <row r="164" spans="1:12" ht="31.5">
      <c r="A164" s="18">
        <v>242</v>
      </c>
      <c r="B164" s="18" t="s">
        <v>5</v>
      </c>
      <c r="C164" s="49" t="s">
        <v>311</v>
      </c>
      <c r="D164" s="21" t="s">
        <v>546</v>
      </c>
      <c r="E164" s="18" t="s">
        <v>16</v>
      </c>
      <c r="F164" s="18" t="s">
        <v>5</v>
      </c>
      <c r="G164" s="18">
        <v>3000</v>
      </c>
      <c r="H164" s="48">
        <v>45014</v>
      </c>
      <c r="I164" s="18" t="s">
        <v>35</v>
      </c>
      <c r="J164" s="34"/>
      <c r="K164" s="18"/>
      <c r="L164" s="18"/>
    </row>
    <row r="165" spans="1:12" ht="15.75">
      <c r="A165" s="18">
        <v>243</v>
      </c>
      <c r="B165" s="18" t="s">
        <v>5</v>
      </c>
      <c r="C165" s="49" t="s">
        <v>544</v>
      </c>
      <c r="D165" s="21" t="s">
        <v>545</v>
      </c>
      <c r="E165" s="18" t="s">
        <v>16</v>
      </c>
      <c r="F165" s="18" t="s">
        <v>5</v>
      </c>
      <c r="G165" s="18">
        <v>3000</v>
      </c>
      <c r="H165" s="48">
        <v>45014</v>
      </c>
      <c r="I165" s="18" t="s">
        <v>542</v>
      </c>
      <c r="J165" s="34"/>
      <c r="K165" s="18"/>
      <c r="L165" s="18"/>
    </row>
    <row r="166" spans="1:12" ht="31.5">
      <c r="A166" s="18">
        <v>244</v>
      </c>
      <c r="B166" s="18" t="s">
        <v>5</v>
      </c>
      <c r="C166" s="49" t="s">
        <v>544</v>
      </c>
      <c r="D166" s="21" t="s">
        <v>543</v>
      </c>
      <c r="E166" s="18" t="s">
        <v>16</v>
      </c>
      <c r="F166" s="18" t="s">
        <v>5</v>
      </c>
      <c r="G166" s="18">
        <v>3000</v>
      </c>
      <c r="H166" s="48">
        <v>45014</v>
      </c>
      <c r="I166" s="18" t="s">
        <v>542</v>
      </c>
      <c r="J166" s="34"/>
      <c r="K166" s="18"/>
      <c r="L166" s="18"/>
    </row>
    <row r="167" spans="1:12" ht="31.5">
      <c r="A167" s="18">
        <v>245</v>
      </c>
      <c r="B167" s="18" t="s">
        <v>6</v>
      </c>
      <c r="C167" s="49" t="s">
        <v>541</v>
      </c>
      <c r="D167" s="21" t="s">
        <v>540</v>
      </c>
      <c r="E167" s="18" t="s">
        <v>16</v>
      </c>
      <c r="F167" s="18" t="s">
        <v>6</v>
      </c>
      <c r="G167" s="18">
        <v>3000</v>
      </c>
      <c r="H167" s="48">
        <v>45014</v>
      </c>
      <c r="I167" s="18"/>
      <c r="J167" s="34"/>
      <c r="K167" s="18"/>
      <c r="L167" s="18"/>
    </row>
    <row r="168" spans="1:12" ht="15.75">
      <c r="A168" s="58"/>
      <c r="B168" s="58"/>
      <c r="C168" s="60"/>
      <c r="D168" s="58" t="s">
        <v>11</v>
      </c>
      <c r="E168" s="58"/>
      <c r="F168" s="58"/>
      <c r="G168" s="64">
        <f>SUBTOTAL(9,G157:G167)</f>
        <v>29000</v>
      </c>
      <c r="H168" s="53"/>
      <c r="I168" s="58"/>
      <c r="J168" s="34">
        <f>G168</f>
        <v>29000</v>
      </c>
      <c r="K168" s="58"/>
      <c r="L168" s="58"/>
    </row>
    <row r="169" spans="1:12" ht="15.75">
      <c r="A169" s="18">
        <v>246</v>
      </c>
      <c r="B169" s="18" t="s">
        <v>4</v>
      </c>
      <c r="C169" s="49" t="s">
        <v>136</v>
      </c>
      <c r="D169" s="21" t="s">
        <v>539</v>
      </c>
      <c r="E169" s="18" t="s">
        <v>16</v>
      </c>
      <c r="F169" s="18" t="s">
        <v>4</v>
      </c>
      <c r="G169" s="18">
        <v>500</v>
      </c>
      <c r="H169" s="48">
        <v>45022</v>
      </c>
      <c r="I169" s="18" t="s">
        <v>35</v>
      </c>
      <c r="J169" s="34"/>
      <c r="K169" s="18"/>
      <c r="L169" s="18"/>
    </row>
    <row r="170" spans="1:12" ht="15.75">
      <c r="A170" s="18">
        <v>247</v>
      </c>
      <c r="B170" s="18" t="s">
        <v>4</v>
      </c>
      <c r="C170" s="49" t="s">
        <v>199</v>
      </c>
      <c r="D170" s="21" t="s">
        <v>538</v>
      </c>
      <c r="E170" s="18" t="s">
        <v>16</v>
      </c>
      <c r="F170" s="18" t="s">
        <v>4</v>
      </c>
      <c r="G170" s="18">
        <v>500</v>
      </c>
      <c r="H170" s="48">
        <v>45022</v>
      </c>
      <c r="I170" s="18" t="s">
        <v>35</v>
      </c>
      <c r="J170" s="34"/>
      <c r="K170" s="18"/>
      <c r="L170" s="18"/>
    </row>
    <row r="171" spans="1:12" ht="15.75">
      <c r="A171" s="18">
        <v>248</v>
      </c>
      <c r="B171" s="18" t="s">
        <v>4</v>
      </c>
      <c r="C171" s="49" t="s">
        <v>199</v>
      </c>
      <c r="D171" s="21" t="s">
        <v>537</v>
      </c>
      <c r="E171" s="18" t="s">
        <v>16</v>
      </c>
      <c r="F171" s="18" t="s">
        <v>4</v>
      </c>
      <c r="G171" s="18">
        <v>1800</v>
      </c>
      <c r="H171" s="48">
        <v>45022</v>
      </c>
      <c r="I171" s="18" t="s">
        <v>35</v>
      </c>
      <c r="J171" s="34"/>
      <c r="K171" s="18"/>
      <c r="L171" s="18"/>
    </row>
    <row r="172" spans="1:12" ht="15.75">
      <c r="A172" s="18">
        <v>249</v>
      </c>
      <c r="B172" s="18" t="s">
        <v>4</v>
      </c>
      <c r="C172" s="49" t="s">
        <v>455</v>
      </c>
      <c r="D172" s="21" t="s">
        <v>536</v>
      </c>
      <c r="E172" s="18" t="s">
        <v>16</v>
      </c>
      <c r="F172" s="18" t="s">
        <v>4</v>
      </c>
      <c r="G172" s="18">
        <v>500</v>
      </c>
      <c r="H172" s="48">
        <v>45022</v>
      </c>
      <c r="I172" s="18" t="s">
        <v>35</v>
      </c>
      <c r="J172" s="34"/>
      <c r="K172" s="18"/>
      <c r="L172" s="18"/>
    </row>
    <row r="173" spans="1:12" ht="31.5">
      <c r="A173" s="18">
        <v>250</v>
      </c>
      <c r="B173" s="18" t="s">
        <v>4</v>
      </c>
      <c r="C173" s="49" t="s">
        <v>532</v>
      </c>
      <c r="D173" s="21" t="s">
        <v>535</v>
      </c>
      <c r="E173" s="18" t="s">
        <v>16</v>
      </c>
      <c r="F173" s="18" t="s">
        <v>4</v>
      </c>
      <c r="G173" s="18">
        <v>500</v>
      </c>
      <c r="H173" s="48">
        <v>45022</v>
      </c>
      <c r="I173" s="18" t="s">
        <v>35</v>
      </c>
      <c r="J173" s="34"/>
      <c r="K173" s="18"/>
      <c r="L173" s="18"/>
    </row>
    <row r="174" spans="1:12" ht="47.25">
      <c r="A174" s="18">
        <v>251</v>
      </c>
      <c r="B174" s="18" t="s">
        <v>4</v>
      </c>
      <c r="C174" s="49" t="s">
        <v>532</v>
      </c>
      <c r="D174" s="21" t="s">
        <v>534</v>
      </c>
      <c r="E174" s="18" t="s">
        <v>16</v>
      </c>
      <c r="F174" s="18" t="s">
        <v>4</v>
      </c>
      <c r="G174" s="18">
        <v>500</v>
      </c>
      <c r="H174" s="48">
        <v>45022</v>
      </c>
      <c r="I174" s="18" t="s">
        <v>35</v>
      </c>
      <c r="J174" s="34"/>
      <c r="K174" s="18"/>
      <c r="L174" s="18"/>
    </row>
    <row r="175" spans="1:12" ht="31.5">
      <c r="A175" s="18">
        <v>252</v>
      </c>
      <c r="B175" s="18" t="s">
        <v>4</v>
      </c>
      <c r="C175" s="49" t="s">
        <v>532</v>
      </c>
      <c r="D175" s="21" t="s">
        <v>533</v>
      </c>
      <c r="E175" s="18" t="s">
        <v>16</v>
      </c>
      <c r="F175" s="18" t="s">
        <v>4</v>
      </c>
      <c r="G175" s="18">
        <v>1800</v>
      </c>
      <c r="H175" s="48">
        <v>45022</v>
      </c>
      <c r="I175" s="18" t="s">
        <v>35</v>
      </c>
      <c r="J175" s="34"/>
      <c r="K175" s="18"/>
      <c r="L175" s="18"/>
    </row>
    <row r="176" spans="1:12" ht="31.5">
      <c r="A176" s="18">
        <v>253</v>
      </c>
      <c r="B176" s="18" t="s">
        <v>4</v>
      </c>
      <c r="C176" s="49" t="s">
        <v>532</v>
      </c>
      <c r="D176" s="21" t="s">
        <v>531</v>
      </c>
      <c r="E176" s="18" t="s">
        <v>16</v>
      </c>
      <c r="F176" s="18" t="s">
        <v>4</v>
      </c>
      <c r="G176" s="18">
        <v>1800</v>
      </c>
      <c r="H176" s="48">
        <v>45022</v>
      </c>
      <c r="I176" s="18" t="s">
        <v>35</v>
      </c>
      <c r="J176" s="34"/>
      <c r="K176" s="18"/>
      <c r="L176" s="18"/>
    </row>
    <row r="177" spans="1:12" ht="31.5">
      <c r="A177" s="18">
        <v>254</v>
      </c>
      <c r="B177" s="18" t="s">
        <v>8</v>
      </c>
      <c r="C177" s="49" t="s">
        <v>440</v>
      </c>
      <c r="D177" s="21" t="s">
        <v>530</v>
      </c>
      <c r="E177" s="18" t="s">
        <v>16</v>
      </c>
      <c r="F177" s="18" t="s">
        <v>8</v>
      </c>
      <c r="G177" s="18">
        <v>3000</v>
      </c>
      <c r="H177" s="48">
        <v>45022</v>
      </c>
      <c r="I177" s="18" t="s">
        <v>35</v>
      </c>
      <c r="J177" s="34"/>
      <c r="K177" s="18"/>
      <c r="L177" s="18"/>
    </row>
    <row r="178" spans="1:12" ht="15.75">
      <c r="A178" s="18">
        <v>255</v>
      </c>
      <c r="B178" s="18" t="s">
        <v>0</v>
      </c>
      <c r="C178" s="49" t="s">
        <v>126</v>
      </c>
      <c r="D178" s="29" t="s">
        <v>354</v>
      </c>
      <c r="E178" s="18" t="s">
        <v>193</v>
      </c>
      <c r="F178" s="18" t="s">
        <v>0</v>
      </c>
      <c r="G178" s="18">
        <v>4000</v>
      </c>
      <c r="H178" s="48">
        <v>45022</v>
      </c>
      <c r="I178" s="18" t="s">
        <v>12</v>
      </c>
      <c r="J178" s="34"/>
      <c r="K178" s="18"/>
      <c r="L178" s="18"/>
    </row>
    <row r="179" spans="1:12" ht="31.5">
      <c r="A179" s="18">
        <v>256</v>
      </c>
      <c r="B179" s="18" t="s">
        <v>5</v>
      </c>
      <c r="C179" s="49" t="s">
        <v>26</v>
      </c>
      <c r="D179" s="21" t="s">
        <v>529</v>
      </c>
      <c r="E179" s="18" t="s">
        <v>16</v>
      </c>
      <c r="F179" s="18" t="s">
        <v>5</v>
      </c>
      <c r="G179" s="18">
        <v>1800</v>
      </c>
      <c r="H179" s="48">
        <v>45022</v>
      </c>
      <c r="I179" s="18" t="s">
        <v>12</v>
      </c>
      <c r="J179" s="34"/>
      <c r="K179" s="18"/>
      <c r="L179" s="18"/>
    </row>
    <row r="180" spans="1:12" ht="31.5">
      <c r="A180" s="18">
        <v>257</v>
      </c>
      <c r="B180" s="18" t="s">
        <v>7</v>
      </c>
      <c r="C180" s="49" t="s">
        <v>40</v>
      </c>
      <c r="D180" s="21" t="s">
        <v>528</v>
      </c>
      <c r="E180" s="18" t="s">
        <v>16</v>
      </c>
      <c r="F180" s="18" t="s">
        <v>7</v>
      </c>
      <c r="G180" s="18">
        <v>3000</v>
      </c>
      <c r="H180" s="48">
        <v>45022</v>
      </c>
      <c r="I180" s="18" t="s">
        <v>12</v>
      </c>
      <c r="J180" s="34"/>
      <c r="K180" s="18"/>
      <c r="L180" s="18"/>
    </row>
    <row r="181" spans="1:12" ht="63">
      <c r="A181" s="18">
        <v>258</v>
      </c>
      <c r="B181" s="18" t="s">
        <v>1</v>
      </c>
      <c r="C181" s="49" t="s">
        <v>167</v>
      </c>
      <c r="D181" s="21" t="s">
        <v>527</v>
      </c>
      <c r="E181" s="18" t="s">
        <v>23</v>
      </c>
      <c r="F181" s="18" t="s">
        <v>1</v>
      </c>
      <c r="G181" s="18">
        <v>10000</v>
      </c>
      <c r="H181" s="48">
        <v>45022</v>
      </c>
      <c r="I181" s="18" t="s">
        <v>12</v>
      </c>
      <c r="J181" s="34"/>
      <c r="K181" s="18"/>
      <c r="L181" s="18"/>
    </row>
    <row r="182" spans="1:12" ht="47.25">
      <c r="A182" s="18">
        <v>259</v>
      </c>
      <c r="B182" s="18" t="s">
        <v>5</v>
      </c>
      <c r="C182" s="49" t="s">
        <v>170</v>
      </c>
      <c r="D182" s="21" t="s">
        <v>526</v>
      </c>
      <c r="E182" s="18" t="s">
        <v>23</v>
      </c>
      <c r="F182" s="18" t="s">
        <v>5</v>
      </c>
      <c r="G182" s="18">
        <v>10000</v>
      </c>
      <c r="H182" s="48">
        <v>45022</v>
      </c>
      <c r="I182" s="18" t="s">
        <v>12</v>
      </c>
      <c r="J182" s="34"/>
      <c r="K182" s="18"/>
      <c r="L182" s="18"/>
    </row>
    <row r="183" spans="1:12" ht="31.5">
      <c r="A183" s="18">
        <v>260</v>
      </c>
      <c r="B183" s="18" t="s">
        <v>5</v>
      </c>
      <c r="C183" s="49" t="s">
        <v>288</v>
      </c>
      <c r="D183" s="21" t="s">
        <v>525</v>
      </c>
      <c r="E183" s="18" t="s">
        <v>16</v>
      </c>
      <c r="F183" s="18" t="s">
        <v>5</v>
      </c>
      <c r="G183" s="18">
        <v>3000</v>
      </c>
      <c r="H183" s="48">
        <v>45022</v>
      </c>
      <c r="I183" s="18" t="s">
        <v>35</v>
      </c>
      <c r="J183" s="34"/>
      <c r="K183" s="18"/>
      <c r="L183" s="18"/>
    </row>
    <row r="184" spans="1:12" ht="31.5">
      <c r="A184" s="18">
        <v>261</v>
      </c>
      <c r="B184" s="18" t="s">
        <v>5</v>
      </c>
      <c r="C184" s="49" t="s">
        <v>112</v>
      </c>
      <c r="D184" s="63" t="s">
        <v>524</v>
      </c>
      <c r="E184" s="18" t="s">
        <v>16</v>
      </c>
      <c r="F184" s="18" t="s">
        <v>5</v>
      </c>
      <c r="G184" s="62">
        <v>3000</v>
      </c>
      <c r="H184" s="48">
        <v>45022</v>
      </c>
      <c r="I184" s="18" t="s">
        <v>35</v>
      </c>
      <c r="J184" s="34"/>
      <c r="K184" s="18"/>
      <c r="L184" s="18"/>
    </row>
    <row r="185" spans="1:12" ht="31.5">
      <c r="A185" s="18">
        <v>262</v>
      </c>
      <c r="B185" s="18" t="s">
        <v>5</v>
      </c>
      <c r="C185" s="49" t="s">
        <v>214</v>
      </c>
      <c r="D185" s="21" t="s">
        <v>523</v>
      </c>
      <c r="E185" s="18" t="s">
        <v>23</v>
      </c>
      <c r="F185" s="18" t="s">
        <v>5</v>
      </c>
      <c r="G185" s="18">
        <v>10000</v>
      </c>
      <c r="H185" s="48">
        <v>45022</v>
      </c>
      <c r="I185" s="18" t="s">
        <v>12</v>
      </c>
      <c r="J185" s="34"/>
      <c r="K185" s="18"/>
      <c r="L185" s="18"/>
    </row>
    <row r="186" spans="1:12" ht="31.5">
      <c r="A186" s="18">
        <v>263</v>
      </c>
      <c r="B186" s="18" t="s">
        <v>5</v>
      </c>
      <c r="C186" s="49" t="s">
        <v>214</v>
      </c>
      <c r="D186" s="21" t="s">
        <v>522</v>
      </c>
      <c r="E186" s="18" t="s">
        <v>16</v>
      </c>
      <c r="F186" s="18" t="s">
        <v>5</v>
      </c>
      <c r="G186" s="18">
        <v>3000</v>
      </c>
      <c r="H186" s="48">
        <v>45022</v>
      </c>
      <c r="I186" s="18" t="s">
        <v>12</v>
      </c>
      <c r="J186" s="34"/>
      <c r="K186" s="18"/>
      <c r="L186" s="18"/>
    </row>
    <row r="187" spans="1:12" ht="47.25">
      <c r="A187" s="18">
        <v>264</v>
      </c>
      <c r="B187" s="18" t="s">
        <v>5</v>
      </c>
      <c r="C187" s="49" t="s">
        <v>214</v>
      </c>
      <c r="D187" s="21" t="s">
        <v>521</v>
      </c>
      <c r="E187" s="18" t="s">
        <v>16</v>
      </c>
      <c r="F187" s="18" t="s">
        <v>5</v>
      </c>
      <c r="G187" s="18">
        <v>1800</v>
      </c>
      <c r="H187" s="48">
        <v>45022</v>
      </c>
      <c r="I187" s="18" t="s">
        <v>12</v>
      </c>
      <c r="J187" s="34"/>
      <c r="K187" s="18"/>
      <c r="L187" s="18"/>
    </row>
    <row r="188" spans="1:12" ht="31.5">
      <c r="A188" s="18">
        <v>265</v>
      </c>
      <c r="B188" s="18" t="s">
        <v>6</v>
      </c>
      <c r="C188" s="49" t="s">
        <v>105</v>
      </c>
      <c r="D188" s="21" t="s">
        <v>520</v>
      </c>
      <c r="E188" s="18" t="s">
        <v>23</v>
      </c>
      <c r="F188" s="18" t="s">
        <v>6</v>
      </c>
      <c r="G188" s="18">
        <v>3000</v>
      </c>
      <c r="H188" s="48">
        <v>45022</v>
      </c>
      <c r="I188" s="18" t="s">
        <v>12</v>
      </c>
      <c r="J188" s="34"/>
      <c r="K188" s="18"/>
      <c r="L188" s="18"/>
    </row>
    <row r="189" spans="1:12" ht="31.5">
      <c r="A189" s="18">
        <v>266</v>
      </c>
      <c r="B189" s="18" t="s">
        <v>6</v>
      </c>
      <c r="C189" s="49" t="s">
        <v>105</v>
      </c>
      <c r="D189" s="21" t="s">
        <v>519</v>
      </c>
      <c r="E189" s="18" t="s">
        <v>23</v>
      </c>
      <c r="F189" s="18" t="s">
        <v>6</v>
      </c>
      <c r="G189" s="18">
        <v>2000</v>
      </c>
      <c r="H189" s="48">
        <v>45022</v>
      </c>
      <c r="I189" s="18" t="s">
        <v>12</v>
      </c>
      <c r="J189" s="34"/>
      <c r="K189" s="18"/>
      <c r="L189" s="18"/>
    </row>
    <row r="190" spans="1:12" ht="31.5">
      <c r="A190" s="18">
        <v>267</v>
      </c>
      <c r="B190" s="18" t="s">
        <v>6</v>
      </c>
      <c r="C190" s="49" t="s">
        <v>105</v>
      </c>
      <c r="D190" s="21" t="s">
        <v>518</v>
      </c>
      <c r="E190" s="18" t="s">
        <v>23</v>
      </c>
      <c r="F190" s="18" t="s">
        <v>6</v>
      </c>
      <c r="G190" s="18">
        <v>2000</v>
      </c>
      <c r="H190" s="48">
        <v>45022</v>
      </c>
      <c r="I190" s="18" t="s">
        <v>12</v>
      </c>
      <c r="J190" s="34"/>
      <c r="K190" s="18"/>
      <c r="L190" s="18"/>
    </row>
    <row r="191" spans="1:12" ht="31.5">
      <c r="A191" s="18">
        <v>268</v>
      </c>
      <c r="B191" s="18" t="s">
        <v>6</v>
      </c>
      <c r="C191" s="49" t="s">
        <v>105</v>
      </c>
      <c r="D191" s="21" t="s">
        <v>517</v>
      </c>
      <c r="E191" s="18" t="s">
        <v>23</v>
      </c>
      <c r="F191" s="18" t="s">
        <v>6</v>
      </c>
      <c r="G191" s="18">
        <v>2000</v>
      </c>
      <c r="H191" s="48">
        <v>45022</v>
      </c>
      <c r="I191" s="18" t="s">
        <v>12</v>
      </c>
      <c r="J191" s="34"/>
      <c r="K191" s="18"/>
      <c r="L191" s="18"/>
    </row>
    <row r="192" spans="1:12" ht="31.5">
      <c r="A192" s="18">
        <v>269</v>
      </c>
      <c r="B192" s="18" t="s">
        <v>6</v>
      </c>
      <c r="C192" s="49" t="s">
        <v>105</v>
      </c>
      <c r="D192" s="21" t="s">
        <v>516</v>
      </c>
      <c r="E192" s="18" t="s">
        <v>13</v>
      </c>
      <c r="F192" s="18" t="s">
        <v>6</v>
      </c>
      <c r="G192" s="18">
        <v>500</v>
      </c>
      <c r="H192" s="48">
        <v>45022</v>
      </c>
      <c r="I192" s="18" t="s">
        <v>12</v>
      </c>
      <c r="J192" s="34"/>
      <c r="K192" s="18"/>
      <c r="L192" s="18"/>
    </row>
    <row r="193" spans="1:12" ht="47.25">
      <c r="A193" s="18">
        <v>270</v>
      </c>
      <c r="B193" s="18" t="s">
        <v>6</v>
      </c>
      <c r="C193" s="49" t="s">
        <v>105</v>
      </c>
      <c r="D193" s="21" t="s">
        <v>515</v>
      </c>
      <c r="E193" s="18" t="s">
        <v>13</v>
      </c>
      <c r="F193" s="18" t="s">
        <v>6</v>
      </c>
      <c r="G193" s="18">
        <v>500</v>
      </c>
      <c r="H193" s="48">
        <v>45022</v>
      </c>
      <c r="I193" s="18" t="s">
        <v>12</v>
      </c>
      <c r="J193" s="34"/>
      <c r="K193" s="18"/>
      <c r="L193" s="18"/>
    </row>
    <row r="194" spans="1:12" ht="31.5">
      <c r="A194" s="18">
        <v>271</v>
      </c>
      <c r="B194" s="18" t="s">
        <v>6</v>
      </c>
      <c r="C194" s="49" t="s">
        <v>105</v>
      </c>
      <c r="D194" s="21" t="s">
        <v>514</v>
      </c>
      <c r="E194" s="18" t="s">
        <v>13</v>
      </c>
      <c r="F194" s="18" t="s">
        <v>6</v>
      </c>
      <c r="G194" s="18">
        <v>500</v>
      </c>
      <c r="H194" s="48">
        <v>45022</v>
      </c>
      <c r="I194" s="18" t="s">
        <v>12</v>
      </c>
      <c r="J194" s="34"/>
      <c r="K194" s="18"/>
      <c r="L194" s="18"/>
    </row>
    <row r="195" spans="1:12" ht="31.5">
      <c r="A195" s="18">
        <v>272</v>
      </c>
      <c r="B195" s="18" t="s">
        <v>6</v>
      </c>
      <c r="C195" s="49" t="s">
        <v>105</v>
      </c>
      <c r="D195" s="21" t="s">
        <v>513</v>
      </c>
      <c r="E195" s="18" t="s">
        <v>13</v>
      </c>
      <c r="F195" s="18" t="s">
        <v>6</v>
      </c>
      <c r="G195" s="18">
        <v>2000</v>
      </c>
      <c r="H195" s="48">
        <v>45022</v>
      </c>
      <c r="I195" s="18" t="s">
        <v>12</v>
      </c>
      <c r="J195" s="34"/>
      <c r="K195" s="18"/>
      <c r="L195" s="18"/>
    </row>
    <row r="196" spans="1:12" ht="15.75">
      <c r="A196" s="18">
        <v>273</v>
      </c>
      <c r="B196" s="18" t="s">
        <v>6</v>
      </c>
      <c r="C196" s="49" t="s">
        <v>105</v>
      </c>
      <c r="D196" s="18" t="s">
        <v>162</v>
      </c>
      <c r="E196" s="18" t="s">
        <v>193</v>
      </c>
      <c r="F196" s="18" t="s">
        <v>6</v>
      </c>
      <c r="G196" s="18">
        <v>10000</v>
      </c>
      <c r="H196" s="48">
        <v>45022</v>
      </c>
      <c r="I196" s="18" t="s">
        <v>12</v>
      </c>
      <c r="J196" s="34"/>
      <c r="K196" s="18"/>
      <c r="L196" s="18"/>
    </row>
    <row r="197" spans="1:12" ht="15.75">
      <c r="A197" s="58"/>
      <c r="B197" s="58"/>
      <c r="C197" s="60"/>
      <c r="D197" s="58" t="s">
        <v>11</v>
      </c>
      <c r="E197" s="58"/>
      <c r="F197" s="58"/>
      <c r="G197" s="58">
        <f>SUM(G169:G196)</f>
        <v>83000</v>
      </c>
      <c r="H197" s="53"/>
      <c r="I197" s="58"/>
      <c r="J197" s="34">
        <f>G197</f>
        <v>83000</v>
      </c>
      <c r="K197" s="58"/>
      <c r="L197" s="58"/>
    </row>
    <row r="198" spans="1:12" ht="31.5">
      <c r="A198" s="18">
        <v>274</v>
      </c>
      <c r="B198" s="18" t="s">
        <v>2</v>
      </c>
      <c r="C198" s="49" t="s">
        <v>209</v>
      </c>
      <c r="D198" s="21" t="s">
        <v>512</v>
      </c>
      <c r="E198" s="18" t="s">
        <v>23</v>
      </c>
      <c r="F198" s="18" t="s">
        <v>2</v>
      </c>
      <c r="G198" s="18">
        <v>10000</v>
      </c>
      <c r="H198" s="48">
        <v>45048</v>
      </c>
      <c r="I198" s="18" t="s">
        <v>12</v>
      </c>
      <c r="J198" s="34"/>
      <c r="K198" s="18"/>
      <c r="L198" s="18"/>
    </row>
    <row r="199" spans="1:12" ht="31.5">
      <c r="A199" s="18">
        <v>275</v>
      </c>
      <c r="B199" s="18" t="s">
        <v>5</v>
      </c>
      <c r="C199" s="49" t="s">
        <v>52</v>
      </c>
      <c r="D199" s="21" t="s">
        <v>511</v>
      </c>
      <c r="E199" s="18" t="s">
        <v>16</v>
      </c>
      <c r="F199" s="18" t="s">
        <v>5</v>
      </c>
      <c r="G199" s="18">
        <v>1800</v>
      </c>
      <c r="H199" s="48">
        <v>45048</v>
      </c>
      <c r="I199" s="18" t="s">
        <v>12</v>
      </c>
      <c r="J199" s="34"/>
      <c r="K199" s="18"/>
      <c r="L199" s="18"/>
    </row>
    <row r="200" spans="1:12" ht="63">
      <c r="A200" s="18">
        <v>276</v>
      </c>
      <c r="B200" s="18" t="s">
        <v>1</v>
      </c>
      <c r="C200" s="49" t="s">
        <v>45</v>
      </c>
      <c r="D200" s="21" t="s">
        <v>510</v>
      </c>
      <c r="E200" s="18" t="s">
        <v>23</v>
      </c>
      <c r="F200" s="18" t="s">
        <v>1</v>
      </c>
      <c r="G200" s="18">
        <v>6000</v>
      </c>
      <c r="H200" s="48">
        <v>45048</v>
      </c>
      <c r="I200" s="18" t="s">
        <v>12</v>
      </c>
      <c r="J200" s="34"/>
      <c r="K200" s="18"/>
      <c r="L200" s="18"/>
    </row>
    <row r="201" spans="1:12" ht="31.5">
      <c r="A201" s="18">
        <v>277</v>
      </c>
      <c r="B201" s="18" t="s">
        <v>1</v>
      </c>
      <c r="C201" s="49" t="s">
        <v>45</v>
      </c>
      <c r="D201" s="21" t="s">
        <v>509</v>
      </c>
      <c r="E201" s="18" t="s">
        <v>13</v>
      </c>
      <c r="F201" s="18" t="s">
        <v>1</v>
      </c>
      <c r="G201" s="18">
        <v>3000</v>
      </c>
      <c r="H201" s="48">
        <v>45048</v>
      </c>
      <c r="I201" s="18" t="s">
        <v>12</v>
      </c>
      <c r="J201" s="34"/>
      <c r="K201" s="18"/>
      <c r="L201" s="18"/>
    </row>
    <row r="202" spans="1:12" ht="15.75">
      <c r="A202" s="18">
        <v>278</v>
      </c>
      <c r="B202" s="18" t="s">
        <v>5</v>
      </c>
      <c r="C202" s="49" t="s">
        <v>115</v>
      </c>
      <c r="D202" s="18" t="s">
        <v>166</v>
      </c>
      <c r="E202" s="18" t="s">
        <v>193</v>
      </c>
      <c r="F202" s="18" t="s">
        <v>5</v>
      </c>
      <c r="G202" s="18">
        <v>2000</v>
      </c>
      <c r="H202" s="48">
        <v>45048</v>
      </c>
      <c r="I202" s="18" t="s">
        <v>12</v>
      </c>
      <c r="J202" s="34"/>
      <c r="K202" s="18"/>
      <c r="L202" s="18"/>
    </row>
    <row r="203" spans="1:12" ht="31.5">
      <c r="A203" s="18">
        <v>279</v>
      </c>
      <c r="B203" s="18" t="s">
        <v>1</v>
      </c>
      <c r="C203" s="49" t="s">
        <v>140</v>
      </c>
      <c r="D203" s="21" t="s">
        <v>508</v>
      </c>
      <c r="E203" s="18" t="s">
        <v>16</v>
      </c>
      <c r="F203" s="18" t="s">
        <v>1</v>
      </c>
      <c r="G203" s="18">
        <v>1800</v>
      </c>
      <c r="H203" s="48">
        <v>45048</v>
      </c>
      <c r="I203" s="18" t="s">
        <v>12</v>
      </c>
      <c r="J203" s="34"/>
      <c r="K203" s="18"/>
      <c r="L203" s="18"/>
    </row>
    <row r="204" spans="1:12" ht="31.5">
      <c r="A204" s="18">
        <v>280</v>
      </c>
      <c r="B204" s="18" t="s">
        <v>6</v>
      </c>
      <c r="C204" s="49" t="s">
        <v>507</v>
      </c>
      <c r="D204" s="21" t="s">
        <v>506</v>
      </c>
      <c r="E204" s="18" t="s">
        <v>16</v>
      </c>
      <c r="F204" s="18" t="s">
        <v>6</v>
      </c>
      <c r="G204" s="18">
        <v>1800</v>
      </c>
      <c r="H204" s="48">
        <v>45048</v>
      </c>
      <c r="I204" s="18" t="s">
        <v>35</v>
      </c>
      <c r="J204" s="34"/>
      <c r="K204" s="18"/>
      <c r="L204" s="18"/>
    </row>
    <row r="205" spans="1:12" ht="31.5">
      <c r="A205" s="18">
        <v>281</v>
      </c>
      <c r="B205" s="18" t="s">
        <v>1</v>
      </c>
      <c r="C205" s="49" t="s">
        <v>504</v>
      </c>
      <c r="D205" s="21" t="s">
        <v>505</v>
      </c>
      <c r="E205" s="18" t="s">
        <v>23</v>
      </c>
      <c r="F205" s="18" t="s">
        <v>1</v>
      </c>
      <c r="G205" s="18">
        <v>6000</v>
      </c>
      <c r="H205" s="48">
        <v>45048</v>
      </c>
      <c r="I205" s="18" t="s">
        <v>12</v>
      </c>
      <c r="J205" s="34"/>
      <c r="K205" s="18"/>
      <c r="L205" s="18"/>
    </row>
    <row r="206" spans="1:12" ht="31.5">
      <c r="A206" s="18">
        <v>282</v>
      </c>
      <c r="B206" s="18" t="s">
        <v>1</v>
      </c>
      <c r="C206" s="49" t="s">
        <v>504</v>
      </c>
      <c r="D206" s="21" t="s">
        <v>503</v>
      </c>
      <c r="E206" s="18" t="s">
        <v>88</v>
      </c>
      <c r="F206" s="18" t="s">
        <v>1</v>
      </c>
      <c r="G206" s="18">
        <v>500</v>
      </c>
      <c r="H206" s="48">
        <v>45048</v>
      </c>
      <c r="I206" s="18" t="s">
        <v>12</v>
      </c>
      <c r="J206" s="34"/>
      <c r="K206" s="18"/>
      <c r="L206" s="18"/>
    </row>
    <row r="207" spans="1:12" ht="31.5">
      <c r="A207" s="18">
        <v>283</v>
      </c>
      <c r="B207" s="18" t="s">
        <v>5</v>
      </c>
      <c r="C207" s="49" t="s">
        <v>211</v>
      </c>
      <c r="D207" s="21" t="s">
        <v>502</v>
      </c>
      <c r="E207" s="18" t="s">
        <v>16</v>
      </c>
      <c r="F207" s="18" t="s">
        <v>5</v>
      </c>
      <c r="G207" s="18">
        <v>1800</v>
      </c>
      <c r="H207" s="48">
        <v>45048</v>
      </c>
      <c r="I207" s="18" t="s">
        <v>35</v>
      </c>
      <c r="J207" s="34"/>
      <c r="K207" s="18"/>
      <c r="L207" s="18"/>
    </row>
    <row r="208" spans="1:12" ht="15.75">
      <c r="A208" s="18">
        <v>284</v>
      </c>
      <c r="B208" s="18" t="s">
        <v>5</v>
      </c>
      <c r="C208" s="49" t="s">
        <v>211</v>
      </c>
      <c r="D208" s="21" t="s">
        <v>501</v>
      </c>
      <c r="E208" s="18" t="s">
        <v>16</v>
      </c>
      <c r="F208" s="18" t="s">
        <v>5</v>
      </c>
      <c r="G208" s="18">
        <v>1800</v>
      </c>
      <c r="H208" s="48">
        <v>45048</v>
      </c>
      <c r="I208" s="18" t="s">
        <v>35</v>
      </c>
      <c r="J208" s="34"/>
      <c r="K208" s="18"/>
      <c r="L208" s="18"/>
    </row>
    <row r="209" spans="1:12" ht="31.5">
      <c r="A209" s="18">
        <v>285</v>
      </c>
      <c r="B209" s="18" t="s">
        <v>5</v>
      </c>
      <c r="C209" s="49" t="s">
        <v>66</v>
      </c>
      <c r="D209" s="21" t="s">
        <v>500</v>
      </c>
      <c r="E209" s="18" t="s">
        <v>16</v>
      </c>
      <c r="F209" s="18" t="s">
        <v>5</v>
      </c>
      <c r="G209" s="18">
        <v>1800</v>
      </c>
      <c r="H209" s="48">
        <v>45048</v>
      </c>
      <c r="I209" s="18" t="s">
        <v>35</v>
      </c>
      <c r="J209" s="34"/>
      <c r="K209" s="18"/>
      <c r="L209" s="18"/>
    </row>
    <row r="210" spans="1:12" ht="31.5">
      <c r="A210" s="18">
        <v>286</v>
      </c>
      <c r="B210" s="18" t="s">
        <v>5</v>
      </c>
      <c r="C210" s="49" t="s">
        <v>28</v>
      </c>
      <c r="D210" s="21" t="s">
        <v>499</v>
      </c>
      <c r="E210" s="18" t="s">
        <v>16</v>
      </c>
      <c r="F210" s="18" t="s">
        <v>5</v>
      </c>
      <c r="G210" s="18">
        <v>3000</v>
      </c>
      <c r="H210" s="48">
        <v>45048</v>
      </c>
      <c r="I210" s="18" t="s">
        <v>12</v>
      </c>
      <c r="J210" s="34"/>
      <c r="K210" s="18"/>
      <c r="L210" s="18"/>
    </row>
    <row r="211" spans="1:12" ht="31.5">
      <c r="A211" s="18">
        <v>287</v>
      </c>
      <c r="B211" s="18" t="s">
        <v>5</v>
      </c>
      <c r="C211" s="49" t="s">
        <v>403</v>
      </c>
      <c r="D211" s="21" t="s">
        <v>498</v>
      </c>
      <c r="E211" s="18" t="s">
        <v>23</v>
      </c>
      <c r="F211" s="18" t="s">
        <v>5</v>
      </c>
      <c r="G211" s="18">
        <v>10000</v>
      </c>
      <c r="H211" s="48">
        <v>45048</v>
      </c>
      <c r="I211" s="18" t="s">
        <v>12</v>
      </c>
      <c r="J211" s="34"/>
      <c r="K211" s="18"/>
      <c r="L211" s="18"/>
    </row>
    <row r="212" spans="1:12" ht="31.5">
      <c r="A212" s="18">
        <v>288</v>
      </c>
      <c r="B212" s="18" t="s">
        <v>5</v>
      </c>
      <c r="C212" s="61" t="s">
        <v>262</v>
      </c>
      <c r="D212" s="21" t="s">
        <v>497</v>
      </c>
      <c r="E212" s="18" t="s">
        <v>16</v>
      </c>
      <c r="F212" s="18" t="s">
        <v>5</v>
      </c>
      <c r="G212" s="18">
        <v>1800</v>
      </c>
      <c r="H212" s="48">
        <v>45048</v>
      </c>
      <c r="I212" s="18" t="s">
        <v>35</v>
      </c>
      <c r="J212" s="34"/>
      <c r="K212" s="18"/>
      <c r="L212" s="18"/>
    </row>
    <row r="213" spans="1:12" ht="15.75">
      <c r="A213" s="18">
        <v>289</v>
      </c>
      <c r="B213" s="18" t="s">
        <v>5</v>
      </c>
      <c r="C213" s="49" t="s">
        <v>178</v>
      </c>
      <c r="D213" s="18" t="s">
        <v>166</v>
      </c>
      <c r="E213" s="18" t="s">
        <v>193</v>
      </c>
      <c r="F213" s="18" t="s">
        <v>5</v>
      </c>
      <c r="G213" s="18">
        <v>2000</v>
      </c>
      <c r="H213" s="48">
        <v>45048</v>
      </c>
      <c r="I213" s="18" t="s">
        <v>12</v>
      </c>
      <c r="J213" s="34"/>
      <c r="K213" s="18"/>
      <c r="L213" s="18"/>
    </row>
    <row r="214" spans="1:12" ht="31.5">
      <c r="A214" s="18">
        <v>290</v>
      </c>
      <c r="B214" s="18" t="s">
        <v>4</v>
      </c>
      <c r="C214" s="49" t="s">
        <v>63</v>
      </c>
      <c r="D214" s="21" t="s">
        <v>496</v>
      </c>
      <c r="E214" s="18" t="s">
        <v>23</v>
      </c>
      <c r="F214" s="18" t="s">
        <v>4</v>
      </c>
      <c r="G214" s="18">
        <v>10000</v>
      </c>
      <c r="H214" s="48">
        <v>45048</v>
      </c>
      <c r="I214" s="18" t="s">
        <v>12</v>
      </c>
      <c r="J214" s="34"/>
      <c r="K214" s="18"/>
      <c r="L214" s="18"/>
    </row>
    <row r="215" spans="1:12" ht="31.5">
      <c r="A215" s="18">
        <v>291</v>
      </c>
      <c r="B215" s="18" t="s">
        <v>4</v>
      </c>
      <c r="C215" s="49" t="s">
        <v>63</v>
      </c>
      <c r="D215" s="21" t="s">
        <v>495</v>
      </c>
      <c r="E215" s="18" t="s">
        <v>16</v>
      </c>
      <c r="F215" s="18" t="s">
        <v>4</v>
      </c>
      <c r="G215" s="18">
        <v>900</v>
      </c>
      <c r="H215" s="48">
        <v>45048</v>
      </c>
      <c r="I215" s="18" t="s">
        <v>12</v>
      </c>
      <c r="J215" s="34"/>
      <c r="K215" s="18"/>
      <c r="L215" s="18"/>
    </row>
    <row r="216" spans="1:12" ht="31.5">
      <c r="A216" s="18">
        <v>292</v>
      </c>
      <c r="B216" s="18" t="s">
        <v>4</v>
      </c>
      <c r="C216" s="49" t="s">
        <v>199</v>
      </c>
      <c r="D216" s="21" t="s">
        <v>494</v>
      </c>
      <c r="E216" s="18" t="s">
        <v>16</v>
      </c>
      <c r="F216" s="18" t="s">
        <v>4</v>
      </c>
      <c r="G216" s="18">
        <v>3000</v>
      </c>
      <c r="H216" s="48">
        <v>45048</v>
      </c>
      <c r="I216" s="18" t="s">
        <v>35</v>
      </c>
      <c r="J216" s="34"/>
      <c r="K216" s="18"/>
      <c r="L216" s="18"/>
    </row>
    <row r="217" spans="1:12" ht="15.75">
      <c r="A217" s="18">
        <v>293</v>
      </c>
      <c r="B217" s="18" t="s">
        <v>4</v>
      </c>
      <c r="C217" s="49" t="s">
        <v>199</v>
      </c>
      <c r="D217" s="21" t="s">
        <v>493</v>
      </c>
      <c r="E217" s="18" t="s">
        <v>16</v>
      </c>
      <c r="F217" s="18" t="s">
        <v>4</v>
      </c>
      <c r="G217" s="18">
        <v>3000</v>
      </c>
      <c r="H217" s="48">
        <v>45048</v>
      </c>
      <c r="I217" s="18" t="s">
        <v>35</v>
      </c>
      <c r="J217" s="34"/>
      <c r="K217" s="18"/>
      <c r="L217" s="18"/>
    </row>
    <row r="218" spans="1:12" ht="15.75">
      <c r="A218" s="58"/>
      <c r="B218" s="58"/>
      <c r="C218" s="60"/>
      <c r="D218" s="58" t="s">
        <v>11</v>
      </c>
      <c r="E218" s="58"/>
      <c r="F218" s="58"/>
      <c r="G218" s="58">
        <f>SUM(G198:G217)</f>
        <v>72000</v>
      </c>
      <c r="H218" s="53"/>
      <c r="I218" s="58"/>
      <c r="J218" s="34">
        <f>G218</f>
        <v>72000</v>
      </c>
      <c r="K218" s="58"/>
      <c r="L218" s="58"/>
    </row>
    <row r="219" spans="1:12" ht="31.5">
      <c r="A219" s="18">
        <v>294</v>
      </c>
      <c r="B219" s="18" t="s">
        <v>1</v>
      </c>
      <c r="C219" s="49" t="s">
        <v>140</v>
      </c>
      <c r="D219" s="21" t="s">
        <v>492</v>
      </c>
      <c r="E219" s="18" t="s">
        <v>13</v>
      </c>
      <c r="F219" s="18" t="s">
        <v>1</v>
      </c>
      <c r="G219" s="18">
        <v>3000</v>
      </c>
      <c r="H219" s="48">
        <v>45054</v>
      </c>
      <c r="I219" s="18" t="s">
        <v>12</v>
      </c>
      <c r="J219" s="34"/>
      <c r="K219" s="18"/>
      <c r="L219" s="18"/>
    </row>
    <row r="220" spans="1:12" ht="31.5">
      <c r="A220" s="18">
        <v>295</v>
      </c>
      <c r="B220" s="18" t="s">
        <v>2</v>
      </c>
      <c r="C220" s="49" t="s">
        <v>99</v>
      </c>
      <c r="D220" s="21" t="s">
        <v>491</v>
      </c>
      <c r="E220" s="18" t="s">
        <v>13</v>
      </c>
      <c r="F220" s="18" t="s">
        <v>2</v>
      </c>
      <c r="G220" s="18">
        <v>5000</v>
      </c>
      <c r="H220" s="48">
        <v>45054</v>
      </c>
      <c r="I220" s="18" t="s">
        <v>12</v>
      </c>
      <c r="J220" s="34"/>
      <c r="K220" s="18"/>
      <c r="L220" s="18"/>
    </row>
    <row r="221" spans="1:12" ht="31.5">
      <c r="A221" s="18">
        <v>296</v>
      </c>
      <c r="B221" s="18" t="s">
        <v>2</v>
      </c>
      <c r="C221" s="49" t="s">
        <v>99</v>
      </c>
      <c r="D221" s="21" t="s">
        <v>490</v>
      </c>
      <c r="E221" s="18" t="s">
        <v>13</v>
      </c>
      <c r="F221" s="18" t="s">
        <v>2</v>
      </c>
      <c r="G221" s="18">
        <v>5000</v>
      </c>
      <c r="H221" s="48">
        <v>45054</v>
      </c>
      <c r="I221" s="18" t="s">
        <v>12</v>
      </c>
      <c r="J221" s="34"/>
      <c r="K221" s="18"/>
      <c r="L221" s="18"/>
    </row>
    <row r="222" spans="1:12" ht="47.25">
      <c r="A222" s="18">
        <v>297</v>
      </c>
      <c r="B222" s="18" t="s">
        <v>8</v>
      </c>
      <c r="C222" s="49" t="s">
        <v>307</v>
      </c>
      <c r="D222" s="21" t="s">
        <v>489</v>
      </c>
      <c r="E222" s="18" t="s">
        <v>16</v>
      </c>
      <c r="F222" s="18" t="s">
        <v>8</v>
      </c>
      <c r="G222" s="18">
        <v>1800</v>
      </c>
      <c r="H222" s="48">
        <v>45054</v>
      </c>
      <c r="I222" s="18" t="s">
        <v>12</v>
      </c>
      <c r="J222" s="34"/>
      <c r="K222" s="18"/>
      <c r="L222" s="18"/>
    </row>
    <row r="223" spans="1:12" ht="31.5">
      <c r="A223" s="18">
        <v>298</v>
      </c>
      <c r="B223" s="18" t="s">
        <v>8</v>
      </c>
      <c r="C223" s="49" t="s">
        <v>307</v>
      </c>
      <c r="D223" s="21" t="s">
        <v>488</v>
      </c>
      <c r="E223" s="18" t="s">
        <v>16</v>
      </c>
      <c r="F223" s="18" t="s">
        <v>8</v>
      </c>
      <c r="G223" s="18">
        <v>1800</v>
      </c>
      <c r="H223" s="48">
        <v>45054</v>
      </c>
      <c r="I223" s="18" t="s">
        <v>12</v>
      </c>
      <c r="J223" s="34"/>
      <c r="K223" s="18"/>
      <c r="L223" s="18"/>
    </row>
    <row r="224" spans="1:12" ht="15.75">
      <c r="A224" s="18">
        <v>299</v>
      </c>
      <c r="B224" s="18" t="s">
        <v>8</v>
      </c>
      <c r="C224" s="49" t="s">
        <v>307</v>
      </c>
      <c r="D224" s="21" t="s">
        <v>487</v>
      </c>
      <c r="E224" s="18" t="s">
        <v>16</v>
      </c>
      <c r="F224" s="18" t="s">
        <v>8</v>
      </c>
      <c r="G224" s="18">
        <v>1800</v>
      </c>
      <c r="H224" s="48">
        <v>45054</v>
      </c>
      <c r="I224" s="18" t="s">
        <v>12</v>
      </c>
      <c r="J224" s="34"/>
      <c r="K224" s="18"/>
      <c r="L224" s="18"/>
    </row>
    <row r="225" spans="1:12" ht="31.5">
      <c r="A225" s="18">
        <v>300</v>
      </c>
      <c r="B225" s="18" t="s">
        <v>5</v>
      </c>
      <c r="C225" s="49" t="s">
        <v>290</v>
      </c>
      <c r="D225" s="21" t="s">
        <v>486</v>
      </c>
      <c r="E225" s="18" t="s">
        <v>16</v>
      </c>
      <c r="F225" s="18" t="s">
        <v>5</v>
      </c>
      <c r="G225" s="18">
        <v>1800</v>
      </c>
      <c r="H225" s="48">
        <v>45054</v>
      </c>
      <c r="I225" s="18" t="s">
        <v>35</v>
      </c>
      <c r="J225" s="34"/>
      <c r="K225" s="18"/>
      <c r="L225" s="18"/>
    </row>
    <row r="226" spans="1:12" ht="31.5">
      <c r="A226" s="18">
        <v>301</v>
      </c>
      <c r="B226" s="18" t="s">
        <v>5</v>
      </c>
      <c r="C226" s="49" t="s">
        <v>290</v>
      </c>
      <c r="D226" s="21" t="s">
        <v>485</v>
      </c>
      <c r="E226" s="18" t="s">
        <v>16</v>
      </c>
      <c r="F226" s="18" t="s">
        <v>5</v>
      </c>
      <c r="G226" s="18">
        <v>1800</v>
      </c>
      <c r="H226" s="48">
        <v>45054</v>
      </c>
      <c r="I226" s="18" t="s">
        <v>35</v>
      </c>
      <c r="J226" s="34"/>
      <c r="K226" s="18"/>
      <c r="L226" s="18"/>
    </row>
    <row r="227" spans="1:12" ht="31.5">
      <c r="A227" s="18">
        <v>302</v>
      </c>
      <c r="B227" s="18" t="s">
        <v>4</v>
      </c>
      <c r="C227" s="49" t="s">
        <v>482</v>
      </c>
      <c r="D227" s="21" t="s">
        <v>484</v>
      </c>
      <c r="E227" s="18" t="s">
        <v>16</v>
      </c>
      <c r="F227" s="18" t="s">
        <v>4</v>
      </c>
      <c r="G227" s="18">
        <v>3000</v>
      </c>
      <c r="H227" s="48">
        <v>45054</v>
      </c>
      <c r="I227" s="18" t="s">
        <v>12</v>
      </c>
      <c r="J227" s="34"/>
      <c r="K227" s="18"/>
      <c r="L227" s="18"/>
    </row>
    <row r="228" spans="1:12" ht="31.5">
      <c r="A228" s="18">
        <v>303</v>
      </c>
      <c r="B228" s="18" t="s">
        <v>4</v>
      </c>
      <c r="C228" s="49" t="s">
        <v>482</v>
      </c>
      <c r="D228" s="21" t="s">
        <v>483</v>
      </c>
      <c r="E228" s="18" t="s">
        <v>16</v>
      </c>
      <c r="F228" s="18" t="s">
        <v>4</v>
      </c>
      <c r="G228" s="18">
        <v>1800</v>
      </c>
      <c r="H228" s="48">
        <v>45054</v>
      </c>
      <c r="I228" s="18" t="s">
        <v>12</v>
      </c>
      <c r="J228" s="34"/>
      <c r="K228" s="18"/>
      <c r="L228" s="18"/>
    </row>
    <row r="229" spans="1:12" ht="47.25">
      <c r="A229" s="18">
        <v>304</v>
      </c>
      <c r="B229" s="18" t="s">
        <v>4</v>
      </c>
      <c r="C229" s="49" t="s">
        <v>482</v>
      </c>
      <c r="D229" s="21" t="s">
        <v>481</v>
      </c>
      <c r="E229" s="18" t="s">
        <v>16</v>
      </c>
      <c r="F229" s="18" t="s">
        <v>4</v>
      </c>
      <c r="G229" s="18">
        <v>1800</v>
      </c>
      <c r="H229" s="48">
        <v>45054</v>
      </c>
      <c r="I229" s="18" t="s">
        <v>12</v>
      </c>
      <c r="J229" s="34"/>
      <c r="K229" s="18"/>
      <c r="L229" s="18"/>
    </row>
    <row r="230" spans="1:12" ht="31.5">
      <c r="A230" s="18">
        <v>305</v>
      </c>
      <c r="B230" s="18" t="s">
        <v>6</v>
      </c>
      <c r="C230" s="49" t="s">
        <v>479</v>
      </c>
      <c r="D230" s="21" t="s">
        <v>480</v>
      </c>
      <c r="E230" s="18" t="s">
        <v>16</v>
      </c>
      <c r="F230" s="18" t="s">
        <v>6</v>
      </c>
      <c r="G230" s="18">
        <v>1800</v>
      </c>
      <c r="H230" s="48">
        <v>45054</v>
      </c>
      <c r="I230" s="18" t="s">
        <v>12</v>
      </c>
      <c r="J230" s="34"/>
      <c r="K230" s="18"/>
      <c r="L230" s="18"/>
    </row>
    <row r="231" spans="1:12" ht="31.5">
      <c r="A231" s="18">
        <v>306</v>
      </c>
      <c r="B231" s="18" t="s">
        <v>6</v>
      </c>
      <c r="C231" s="49" t="s">
        <v>479</v>
      </c>
      <c r="D231" s="21" t="s">
        <v>478</v>
      </c>
      <c r="E231" s="18" t="s">
        <v>16</v>
      </c>
      <c r="F231" s="18" t="s">
        <v>6</v>
      </c>
      <c r="G231" s="18">
        <v>900</v>
      </c>
      <c r="H231" s="48">
        <v>45054</v>
      </c>
      <c r="I231" s="18" t="s">
        <v>12</v>
      </c>
      <c r="J231" s="34"/>
      <c r="K231" s="18"/>
      <c r="L231" s="18"/>
    </row>
    <row r="232" spans="1:12" ht="15.75">
      <c r="A232" s="58"/>
      <c r="B232" s="58"/>
      <c r="C232" s="60"/>
      <c r="D232" s="58" t="s">
        <v>11</v>
      </c>
      <c r="E232" s="58"/>
      <c r="F232" s="58"/>
      <c r="G232" s="58">
        <f>SUM(G219:G231)</f>
        <v>31300</v>
      </c>
      <c r="H232" s="53"/>
      <c r="I232" s="58"/>
      <c r="J232" s="34">
        <f>G232</f>
        <v>31300</v>
      </c>
      <c r="K232" s="58"/>
      <c r="L232" s="58"/>
    </row>
    <row r="233" spans="1:12" ht="63">
      <c r="A233" s="18">
        <v>307</v>
      </c>
      <c r="B233" s="18" t="s">
        <v>1</v>
      </c>
      <c r="C233" s="49" t="s">
        <v>140</v>
      </c>
      <c r="D233" s="21" t="s">
        <v>477</v>
      </c>
      <c r="E233" s="18" t="s">
        <v>23</v>
      </c>
      <c r="F233" s="18" t="s">
        <v>1</v>
      </c>
      <c r="G233" s="18">
        <v>3000</v>
      </c>
      <c r="H233" s="48">
        <v>45061</v>
      </c>
      <c r="I233" s="18" t="s">
        <v>12</v>
      </c>
      <c r="J233" s="34"/>
      <c r="K233" s="18"/>
      <c r="L233" s="18"/>
    </row>
    <row r="234" spans="1:12" ht="15.75">
      <c r="A234" s="18">
        <v>308</v>
      </c>
      <c r="B234" s="18" t="s">
        <v>2</v>
      </c>
      <c r="C234" s="49" t="s">
        <v>70</v>
      </c>
      <c r="D234" s="21" t="s">
        <v>476</v>
      </c>
      <c r="E234" s="18" t="s">
        <v>23</v>
      </c>
      <c r="F234" s="18" t="s">
        <v>2</v>
      </c>
      <c r="G234" s="18">
        <v>6000</v>
      </c>
      <c r="H234" s="48">
        <v>45061</v>
      </c>
      <c r="I234" s="18" t="s">
        <v>12</v>
      </c>
      <c r="J234" s="34"/>
      <c r="K234" s="18"/>
      <c r="L234" s="18"/>
    </row>
    <row r="235" spans="1:12" ht="31.5">
      <c r="A235" s="18">
        <v>309</v>
      </c>
      <c r="B235" s="18" t="s">
        <v>2</v>
      </c>
      <c r="C235" s="49" t="s">
        <v>70</v>
      </c>
      <c r="D235" s="21" t="s">
        <v>475</v>
      </c>
      <c r="E235" s="18" t="s">
        <v>23</v>
      </c>
      <c r="F235" s="18" t="s">
        <v>2</v>
      </c>
      <c r="G235" s="18">
        <v>10000</v>
      </c>
      <c r="H235" s="48">
        <v>45061</v>
      </c>
      <c r="I235" s="18" t="s">
        <v>12</v>
      </c>
      <c r="J235" s="34"/>
      <c r="K235" s="18"/>
      <c r="L235" s="18"/>
    </row>
    <row r="236" spans="1:12" ht="31.5">
      <c r="A236" s="18">
        <v>310</v>
      </c>
      <c r="B236" s="18" t="s">
        <v>2</v>
      </c>
      <c r="C236" s="49" t="s">
        <v>472</v>
      </c>
      <c r="D236" s="21" t="s">
        <v>474</v>
      </c>
      <c r="E236" s="18" t="s">
        <v>16</v>
      </c>
      <c r="F236" s="18" t="s">
        <v>2</v>
      </c>
      <c r="G236" s="18">
        <v>3000</v>
      </c>
      <c r="H236" s="48">
        <v>45061</v>
      </c>
      <c r="I236" s="18" t="s">
        <v>35</v>
      </c>
      <c r="J236" s="34"/>
      <c r="K236" s="18"/>
      <c r="L236" s="18"/>
    </row>
    <row r="237" spans="1:12" ht="31.5">
      <c r="A237" s="18">
        <v>311</v>
      </c>
      <c r="B237" s="18" t="s">
        <v>2</v>
      </c>
      <c r="C237" s="49" t="s">
        <v>472</v>
      </c>
      <c r="D237" s="21" t="s">
        <v>473</v>
      </c>
      <c r="E237" s="18" t="s">
        <v>16</v>
      </c>
      <c r="F237" s="18" t="s">
        <v>2</v>
      </c>
      <c r="G237" s="18">
        <v>3000</v>
      </c>
      <c r="H237" s="48">
        <v>45061</v>
      </c>
      <c r="I237" s="18" t="s">
        <v>35</v>
      </c>
      <c r="J237" s="34"/>
      <c r="K237" s="18"/>
      <c r="L237" s="18"/>
    </row>
    <row r="238" spans="1:12" ht="31.5">
      <c r="A238" s="18">
        <v>312</v>
      </c>
      <c r="B238" s="18" t="s">
        <v>2</v>
      </c>
      <c r="C238" s="49" t="s">
        <v>472</v>
      </c>
      <c r="D238" s="21" t="s">
        <v>471</v>
      </c>
      <c r="E238" s="18" t="s">
        <v>16</v>
      </c>
      <c r="F238" s="18" t="s">
        <v>2</v>
      </c>
      <c r="G238" s="18">
        <v>1800</v>
      </c>
      <c r="H238" s="48">
        <v>45061</v>
      </c>
      <c r="I238" s="18" t="s">
        <v>35</v>
      </c>
      <c r="J238" s="34"/>
      <c r="K238" s="18"/>
      <c r="L238" s="18"/>
    </row>
    <row r="239" spans="1:12" ht="31.5">
      <c r="A239" s="18">
        <v>313</v>
      </c>
      <c r="B239" s="18" t="s">
        <v>2</v>
      </c>
      <c r="C239" s="49" t="s">
        <v>252</v>
      </c>
      <c r="D239" s="21" t="s">
        <v>470</v>
      </c>
      <c r="E239" s="18" t="s">
        <v>16</v>
      </c>
      <c r="F239" s="18" t="s">
        <v>2</v>
      </c>
      <c r="G239" s="18">
        <v>900</v>
      </c>
      <c r="H239" s="48">
        <v>45061</v>
      </c>
      <c r="I239" s="18" t="s">
        <v>35</v>
      </c>
      <c r="J239" s="34"/>
      <c r="K239" s="18"/>
      <c r="L239" s="18"/>
    </row>
    <row r="240" spans="1:12" ht="31.5">
      <c r="A240" s="18">
        <v>314</v>
      </c>
      <c r="B240" s="18" t="s">
        <v>8</v>
      </c>
      <c r="C240" s="49" t="s">
        <v>206</v>
      </c>
      <c r="D240" s="21" t="s">
        <v>469</v>
      </c>
      <c r="E240" s="18" t="s">
        <v>16</v>
      </c>
      <c r="F240" s="18" t="s">
        <v>8</v>
      </c>
      <c r="G240" s="18">
        <v>3000</v>
      </c>
      <c r="H240" s="48">
        <v>45061</v>
      </c>
      <c r="I240" s="18" t="s">
        <v>35</v>
      </c>
      <c r="J240" s="34"/>
      <c r="K240" s="18"/>
      <c r="L240" s="18"/>
    </row>
    <row r="241" spans="1:12" ht="31.5">
      <c r="A241" s="18">
        <v>315</v>
      </c>
      <c r="B241" s="18" t="s">
        <v>7</v>
      </c>
      <c r="C241" s="49" t="s">
        <v>282</v>
      </c>
      <c r="D241" s="21" t="s">
        <v>468</v>
      </c>
      <c r="E241" s="18" t="s">
        <v>13</v>
      </c>
      <c r="F241" s="18" t="s">
        <v>7</v>
      </c>
      <c r="G241" s="18">
        <v>3000</v>
      </c>
      <c r="H241" s="48">
        <v>45061</v>
      </c>
      <c r="I241" s="18" t="s">
        <v>12</v>
      </c>
      <c r="J241" s="34"/>
      <c r="K241" s="18"/>
      <c r="L241" s="18"/>
    </row>
    <row r="242" spans="1:12" ht="15.75">
      <c r="A242" s="58"/>
      <c r="B242" s="58"/>
      <c r="C242" s="60"/>
      <c r="D242" s="58" t="s">
        <v>11</v>
      </c>
      <c r="E242" s="58"/>
      <c r="F242" s="58"/>
      <c r="G242" s="58">
        <f>SUM(G233:G241)</f>
        <v>33700</v>
      </c>
      <c r="H242" s="53"/>
      <c r="I242" s="58"/>
      <c r="J242" s="34">
        <f>G242</f>
        <v>33700</v>
      </c>
      <c r="K242" s="58"/>
      <c r="L242" s="58"/>
    </row>
    <row r="243" spans="1:12" ht="31.5">
      <c r="A243" s="18">
        <v>316</v>
      </c>
      <c r="B243" s="18" t="s">
        <v>5</v>
      </c>
      <c r="C243" s="49" t="s">
        <v>21</v>
      </c>
      <c r="D243" s="21" t="s">
        <v>467</v>
      </c>
      <c r="E243" s="18" t="s">
        <v>16</v>
      </c>
      <c r="F243" s="18" t="s">
        <v>5</v>
      </c>
      <c r="G243" s="18">
        <v>1800</v>
      </c>
      <c r="H243" s="48">
        <v>45072</v>
      </c>
      <c r="I243" s="18" t="s">
        <v>12</v>
      </c>
      <c r="J243" s="34"/>
      <c r="K243" s="18"/>
      <c r="L243" s="18"/>
    </row>
    <row r="244" spans="1:12" ht="31.5">
      <c r="A244" s="18">
        <v>317</v>
      </c>
      <c r="B244" s="18" t="s">
        <v>5</v>
      </c>
      <c r="C244" s="49" t="s">
        <v>21</v>
      </c>
      <c r="D244" s="21" t="s">
        <v>466</v>
      </c>
      <c r="E244" s="18" t="s">
        <v>16</v>
      </c>
      <c r="F244" s="18" t="s">
        <v>5</v>
      </c>
      <c r="G244" s="18">
        <v>1800</v>
      </c>
      <c r="H244" s="48">
        <v>45072</v>
      </c>
      <c r="I244" s="18" t="s">
        <v>12</v>
      </c>
      <c r="J244" s="34"/>
      <c r="K244" s="18"/>
      <c r="L244" s="18"/>
    </row>
    <row r="245" spans="1:12" ht="31.5">
      <c r="A245" s="18">
        <v>318</v>
      </c>
      <c r="B245" s="18" t="s">
        <v>5</v>
      </c>
      <c r="C245" s="49" t="s">
        <v>21</v>
      </c>
      <c r="D245" s="21" t="s">
        <v>465</v>
      </c>
      <c r="E245" s="18" t="s">
        <v>16</v>
      </c>
      <c r="F245" s="18" t="s">
        <v>5</v>
      </c>
      <c r="G245" s="18">
        <v>1800</v>
      </c>
      <c r="H245" s="48">
        <v>45072</v>
      </c>
      <c r="I245" s="18" t="s">
        <v>12</v>
      </c>
      <c r="J245" s="34"/>
      <c r="K245" s="18"/>
      <c r="L245" s="18"/>
    </row>
    <row r="246" spans="1:12" ht="15.75">
      <c r="A246" s="18">
        <v>319</v>
      </c>
      <c r="B246" s="18" t="s">
        <v>5</v>
      </c>
      <c r="C246" s="49" t="s">
        <v>21</v>
      </c>
      <c r="D246" s="21" t="s">
        <v>464</v>
      </c>
      <c r="E246" s="18" t="s">
        <v>16</v>
      </c>
      <c r="F246" s="18" t="s">
        <v>5</v>
      </c>
      <c r="G246" s="18">
        <v>900</v>
      </c>
      <c r="H246" s="48">
        <v>45072</v>
      </c>
      <c r="I246" s="18" t="s">
        <v>12</v>
      </c>
      <c r="J246" s="34"/>
      <c r="K246" s="18"/>
      <c r="L246" s="18"/>
    </row>
    <row r="247" spans="1:12" ht="31.5">
      <c r="A247" s="18">
        <v>320</v>
      </c>
      <c r="B247" s="18" t="s">
        <v>5</v>
      </c>
      <c r="C247" s="49" t="s">
        <v>66</v>
      </c>
      <c r="D247" s="21" t="s">
        <v>463</v>
      </c>
      <c r="E247" s="18" t="s">
        <v>16</v>
      </c>
      <c r="F247" s="18" t="s">
        <v>5</v>
      </c>
      <c r="G247" s="18">
        <v>1800</v>
      </c>
      <c r="H247" s="48">
        <v>45072</v>
      </c>
      <c r="I247" s="18" t="s">
        <v>35</v>
      </c>
      <c r="J247" s="34"/>
      <c r="K247" s="18"/>
      <c r="L247" s="18"/>
    </row>
    <row r="248" spans="1:12" ht="15.75">
      <c r="A248" s="18">
        <v>321</v>
      </c>
      <c r="B248" s="18" t="s">
        <v>5</v>
      </c>
      <c r="C248" s="49" t="s">
        <v>170</v>
      </c>
      <c r="D248" s="18" t="s">
        <v>162</v>
      </c>
      <c r="E248" s="18" t="s">
        <v>193</v>
      </c>
      <c r="F248" s="18" t="s">
        <v>5</v>
      </c>
      <c r="G248" s="18">
        <v>2000</v>
      </c>
      <c r="H248" s="48">
        <v>45072</v>
      </c>
      <c r="I248" s="18" t="s">
        <v>12</v>
      </c>
      <c r="J248" s="34"/>
      <c r="K248" s="18"/>
      <c r="L248" s="18"/>
    </row>
    <row r="249" spans="1:12" ht="31.5">
      <c r="A249" s="18">
        <v>322</v>
      </c>
      <c r="B249" s="18" t="s">
        <v>6</v>
      </c>
      <c r="C249" s="49" t="s">
        <v>340</v>
      </c>
      <c r="D249" s="21" t="s">
        <v>462</v>
      </c>
      <c r="E249" s="18" t="s">
        <v>23</v>
      </c>
      <c r="F249" s="18" t="s">
        <v>6</v>
      </c>
      <c r="G249" s="18">
        <v>6000</v>
      </c>
      <c r="H249" s="48">
        <v>45072</v>
      </c>
      <c r="I249" s="18" t="s">
        <v>12</v>
      </c>
      <c r="J249" s="34"/>
      <c r="K249" s="18"/>
      <c r="L249" s="18"/>
    </row>
    <row r="250" spans="1:12" ht="15.75">
      <c r="A250" s="18">
        <v>323</v>
      </c>
      <c r="B250" s="18" t="s">
        <v>6</v>
      </c>
      <c r="C250" s="49" t="s">
        <v>340</v>
      </c>
      <c r="D250" s="21" t="s">
        <v>461</v>
      </c>
      <c r="E250" s="18" t="s">
        <v>13</v>
      </c>
      <c r="F250" s="18" t="s">
        <v>6</v>
      </c>
      <c r="G250" s="18">
        <v>3000</v>
      </c>
      <c r="H250" s="48">
        <v>45072</v>
      </c>
      <c r="I250" s="18" t="s">
        <v>12</v>
      </c>
      <c r="J250" s="34"/>
      <c r="K250" s="18"/>
      <c r="L250" s="18"/>
    </row>
    <row r="251" spans="1:12" ht="31.5">
      <c r="A251" s="18">
        <v>324</v>
      </c>
      <c r="B251" s="18" t="s">
        <v>6</v>
      </c>
      <c r="C251" s="49" t="s">
        <v>340</v>
      </c>
      <c r="D251" s="21" t="s">
        <v>460</v>
      </c>
      <c r="E251" s="18" t="s">
        <v>16</v>
      </c>
      <c r="F251" s="18" t="s">
        <v>6</v>
      </c>
      <c r="G251" s="18">
        <v>1800</v>
      </c>
      <c r="H251" s="48">
        <v>45072</v>
      </c>
      <c r="I251" s="18" t="s">
        <v>12</v>
      </c>
      <c r="J251" s="34"/>
      <c r="K251" s="18"/>
      <c r="L251" s="18"/>
    </row>
    <row r="252" spans="1:12" ht="31.5">
      <c r="A252" s="18">
        <v>325</v>
      </c>
      <c r="B252" s="18" t="s">
        <v>6</v>
      </c>
      <c r="C252" s="49" t="s">
        <v>340</v>
      </c>
      <c r="D252" s="21" t="s">
        <v>459</v>
      </c>
      <c r="E252" s="18" t="s">
        <v>16</v>
      </c>
      <c r="F252" s="18" t="s">
        <v>6</v>
      </c>
      <c r="G252" s="18">
        <v>1800</v>
      </c>
      <c r="H252" s="48">
        <v>45072</v>
      </c>
      <c r="I252" s="18" t="s">
        <v>12</v>
      </c>
      <c r="J252" s="34"/>
      <c r="K252" s="18"/>
      <c r="L252" s="18"/>
    </row>
    <row r="253" spans="1:12" ht="31.5">
      <c r="A253" s="18">
        <v>326</v>
      </c>
      <c r="B253" s="18" t="s">
        <v>6</v>
      </c>
      <c r="C253" s="49" t="s">
        <v>340</v>
      </c>
      <c r="D253" s="21" t="s">
        <v>458</v>
      </c>
      <c r="E253" s="18" t="s">
        <v>16</v>
      </c>
      <c r="F253" s="18" t="s">
        <v>6</v>
      </c>
      <c r="G253" s="18">
        <v>1800</v>
      </c>
      <c r="H253" s="48">
        <v>45072</v>
      </c>
      <c r="I253" s="18" t="s">
        <v>12</v>
      </c>
      <c r="J253" s="34"/>
      <c r="K253" s="18"/>
      <c r="L253" s="18"/>
    </row>
    <row r="254" spans="1:12" ht="47.25">
      <c r="A254" s="18">
        <v>327</v>
      </c>
      <c r="B254" s="18" t="s">
        <v>4</v>
      </c>
      <c r="C254" s="49" t="s">
        <v>455</v>
      </c>
      <c r="D254" s="21" t="s">
        <v>457</v>
      </c>
      <c r="E254" s="18" t="s">
        <v>16</v>
      </c>
      <c r="F254" s="18" t="s">
        <v>4</v>
      </c>
      <c r="G254" s="18">
        <v>1800</v>
      </c>
      <c r="H254" s="48">
        <v>45072</v>
      </c>
      <c r="I254" s="18" t="s">
        <v>35</v>
      </c>
      <c r="J254" s="34"/>
      <c r="K254" s="18"/>
      <c r="L254" s="18"/>
    </row>
    <row r="255" spans="1:12" ht="31.5">
      <c r="A255" s="18">
        <v>328</v>
      </c>
      <c r="B255" s="18" t="s">
        <v>4</v>
      </c>
      <c r="C255" s="49" t="s">
        <v>455</v>
      </c>
      <c r="D255" s="21" t="s">
        <v>456</v>
      </c>
      <c r="E255" s="18" t="s">
        <v>16</v>
      </c>
      <c r="F255" s="18" t="s">
        <v>4</v>
      </c>
      <c r="G255" s="18">
        <v>3000</v>
      </c>
      <c r="H255" s="48">
        <v>45072</v>
      </c>
      <c r="I255" s="18" t="s">
        <v>35</v>
      </c>
      <c r="J255" s="34"/>
      <c r="K255" s="18"/>
      <c r="L255" s="18"/>
    </row>
    <row r="256" spans="1:12" ht="47.25">
      <c r="A256" s="18">
        <v>329</v>
      </c>
      <c r="B256" s="18" t="s">
        <v>4</v>
      </c>
      <c r="C256" s="49" t="s">
        <v>455</v>
      </c>
      <c r="D256" s="21" t="s">
        <v>454</v>
      </c>
      <c r="E256" s="18" t="s">
        <v>16</v>
      </c>
      <c r="F256" s="18" t="s">
        <v>4</v>
      </c>
      <c r="G256" s="18">
        <v>900</v>
      </c>
      <c r="H256" s="48">
        <v>45072</v>
      </c>
      <c r="I256" s="18" t="s">
        <v>35</v>
      </c>
      <c r="J256" s="34"/>
      <c r="K256" s="18"/>
      <c r="L256" s="18"/>
    </row>
    <row r="257" spans="1:12" ht="31.5">
      <c r="A257" s="18">
        <v>330</v>
      </c>
      <c r="B257" s="18" t="s">
        <v>5</v>
      </c>
      <c r="C257" s="49" t="s">
        <v>214</v>
      </c>
      <c r="D257" s="21" t="s">
        <v>453</v>
      </c>
      <c r="E257" s="18" t="s">
        <v>23</v>
      </c>
      <c r="F257" s="18" t="s">
        <v>5</v>
      </c>
      <c r="G257" s="18">
        <v>10000</v>
      </c>
      <c r="H257" s="48">
        <v>45072</v>
      </c>
      <c r="I257" s="18" t="s">
        <v>12</v>
      </c>
      <c r="J257" s="34"/>
      <c r="K257" s="18"/>
      <c r="L257" s="18"/>
    </row>
    <row r="258" spans="1:12" ht="15.75">
      <c r="A258" s="58"/>
      <c r="B258" s="58"/>
      <c r="C258" s="60"/>
      <c r="D258" s="58" t="s">
        <v>11</v>
      </c>
      <c r="E258" s="58"/>
      <c r="F258" s="58"/>
      <c r="G258" s="58">
        <f>SUM(G243:G257)</f>
        <v>40200</v>
      </c>
      <c r="H258" s="53"/>
      <c r="I258" s="58"/>
      <c r="J258" s="34">
        <f>G258</f>
        <v>40200</v>
      </c>
      <c r="K258" s="58"/>
      <c r="L258" s="58"/>
    </row>
    <row r="259" spans="1:12" ht="15.75">
      <c r="A259" s="18">
        <v>331</v>
      </c>
      <c r="B259" s="18" t="s">
        <v>5</v>
      </c>
      <c r="C259" s="49" t="s">
        <v>15</v>
      </c>
      <c r="D259" s="18" t="s">
        <v>162</v>
      </c>
      <c r="E259" s="18" t="s">
        <v>193</v>
      </c>
      <c r="F259" s="18" t="s">
        <v>5</v>
      </c>
      <c r="G259" s="18">
        <v>2000</v>
      </c>
      <c r="H259" s="48">
        <v>45097</v>
      </c>
      <c r="I259" s="18" t="s">
        <v>12</v>
      </c>
      <c r="J259" s="34"/>
      <c r="K259" s="18"/>
      <c r="L259" s="18"/>
    </row>
    <row r="260" spans="1:12" ht="31.5">
      <c r="A260" s="18">
        <v>332</v>
      </c>
      <c r="B260" s="18" t="s">
        <v>6</v>
      </c>
      <c r="C260" s="49" t="s">
        <v>181</v>
      </c>
      <c r="D260" s="21" t="s">
        <v>452</v>
      </c>
      <c r="E260" s="18" t="s">
        <v>16</v>
      </c>
      <c r="F260" s="18" t="s">
        <v>6</v>
      </c>
      <c r="G260" s="18">
        <v>1800</v>
      </c>
      <c r="H260" s="48">
        <v>45097</v>
      </c>
      <c r="I260" s="18" t="s">
        <v>35</v>
      </c>
      <c r="J260" s="34"/>
      <c r="K260" s="18"/>
      <c r="L260" s="18"/>
    </row>
    <row r="261" spans="1:12" ht="31.5">
      <c r="A261" s="18">
        <v>333</v>
      </c>
      <c r="B261" s="18" t="s">
        <v>6</v>
      </c>
      <c r="C261" s="49" t="s">
        <v>181</v>
      </c>
      <c r="D261" s="21" t="s">
        <v>451</v>
      </c>
      <c r="E261" s="18" t="s">
        <v>16</v>
      </c>
      <c r="F261" s="18" t="s">
        <v>6</v>
      </c>
      <c r="G261" s="18">
        <v>1800</v>
      </c>
      <c r="H261" s="48">
        <v>45097</v>
      </c>
      <c r="I261" s="18" t="s">
        <v>35</v>
      </c>
      <c r="J261" s="34"/>
      <c r="K261" s="18"/>
      <c r="L261" s="18"/>
    </row>
    <row r="262" spans="1:12" ht="15.75">
      <c r="A262" s="18">
        <v>334</v>
      </c>
      <c r="B262" s="18" t="s">
        <v>0</v>
      </c>
      <c r="C262" s="49" t="s">
        <v>126</v>
      </c>
      <c r="D262" s="29" t="s">
        <v>354</v>
      </c>
      <c r="E262" s="18" t="s">
        <v>193</v>
      </c>
      <c r="F262" s="18" t="s">
        <v>0</v>
      </c>
      <c r="G262" s="18">
        <v>4000</v>
      </c>
      <c r="H262" s="48">
        <v>45097</v>
      </c>
      <c r="I262" s="18" t="s">
        <v>12</v>
      </c>
      <c r="J262" s="34"/>
      <c r="K262" s="18"/>
      <c r="L262" s="18"/>
    </row>
    <row r="263" spans="1:12" ht="47.25">
      <c r="A263" s="18">
        <v>335</v>
      </c>
      <c r="B263" s="18" t="s">
        <v>3</v>
      </c>
      <c r="C263" s="49" t="s">
        <v>450</v>
      </c>
      <c r="D263" s="21" t="s">
        <v>449</v>
      </c>
      <c r="E263" s="18" t="s">
        <v>23</v>
      </c>
      <c r="F263" s="18" t="s">
        <v>3</v>
      </c>
      <c r="G263" s="18">
        <v>6000</v>
      </c>
      <c r="H263" s="48">
        <v>45097</v>
      </c>
      <c r="I263" s="18" t="s">
        <v>35</v>
      </c>
      <c r="J263" s="34"/>
      <c r="K263" s="18"/>
      <c r="L263" s="18"/>
    </row>
    <row r="264" spans="1:12" ht="15.75">
      <c r="A264" s="58"/>
      <c r="B264" s="58"/>
      <c r="C264" s="60"/>
      <c r="D264" s="58" t="s">
        <v>11</v>
      </c>
      <c r="E264" s="58"/>
      <c r="F264" s="58"/>
      <c r="G264" s="58">
        <f>SUM(G259:G263)</f>
        <v>15600</v>
      </c>
      <c r="H264" s="53"/>
      <c r="I264" s="58"/>
      <c r="J264" s="34">
        <f>G264</f>
        <v>15600</v>
      </c>
      <c r="K264" s="58"/>
      <c r="L264" s="58"/>
    </row>
    <row r="265" spans="1:12" ht="47.25">
      <c r="A265" s="18">
        <v>336</v>
      </c>
      <c r="B265" s="18" t="s">
        <v>8</v>
      </c>
      <c r="C265" s="49" t="s">
        <v>278</v>
      </c>
      <c r="D265" s="21" t="s">
        <v>448</v>
      </c>
      <c r="E265" s="18" t="s">
        <v>23</v>
      </c>
      <c r="F265" s="18" t="s">
        <v>8</v>
      </c>
      <c r="G265" s="18">
        <v>6000</v>
      </c>
      <c r="H265" s="48">
        <v>45104</v>
      </c>
      <c r="I265" s="18" t="s">
        <v>12</v>
      </c>
      <c r="J265" s="34"/>
      <c r="K265" s="18"/>
      <c r="L265" s="18"/>
    </row>
    <row r="266" spans="1:12" ht="31.5">
      <c r="A266" s="18">
        <v>337</v>
      </c>
      <c r="B266" s="18" t="s">
        <v>8</v>
      </c>
      <c r="C266" s="49" t="s">
        <v>278</v>
      </c>
      <c r="D266" s="21" t="s">
        <v>447</v>
      </c>
      <c r="E266" s="18" t="s">
        <v>16</v>
      </c>
      <c r="F266" s="18" t="s">
        <v>8</v>
      </c>
      <c r="G266" s="18">
        <v>3000</v>
      </c>
      <c r="H266" s="48">
        <v>45104</v>
      </c>
      <c r="I266" s="18" t="s">
        <v>12</v>
      </c>
      <c r="J266" s="34"/>
      <c r="K266" s="18"/>
      <c r="L266" s="18"/>
    </row>
    <row r="267" spans="1:12" ht="15.75">
      <c r="A267" s="18">
        <v>338</v>
      </c>
      <c r="B267" s="18" t="s">
        <v>8</v>
      </c>
      <c r="C267" s="49" t="s">
        <v>278</v>
      </c>
      <c r="D267" s="21" t="s">
        <v>446</v>
      </c>
      <c r="E267" s="18" t="s">
        <v>16</v>
      </c>
      <c r="F267" s="18" t="s">
        <v>8</v>
      </c>
      <c r="G267" s="18">
        <v>3000</v>
      </c>
      <c r="H267" s="48">
        <v>45104</v>
      </c>
      <c r="I267" s="18" t="s">
        <v>12</v>
      </c>
      <c r="J267" s="34"/>
      <c r="K267" s="18"/>
      <c r="L267" s="18"/>
    </row>
    <row r="268" spans="1:12" ht="31.5">
      <c r="A268" s="18">
        <v>339</v>
      </c>
      <c r="B268" s="18" t="s">
        <v>6</v>
      </c>
      <c r="C268" s="49" t="s">
        <v>443</v>
      </c>
      <c r="D268" s="21" t="s">
        <v>445</v>
      </c>
      <c r="E268" s="18" t="s">
        <v>16</v>
      </c>
      <c r="F268" s="18" t="s">
        <v>6</v>
      </c>
      <c r="G268" s="18">
        <v>3000</v>
      </c>
      <c r="H268" s="48">
        <v>45104</v>
      </c>
      <c r="I268" s="18" t="s">
        <v>35</v>
      </c>
      <c r="J268" s="34"/>
      <c r="K268" s="18"/>
      <c r="L268" s="18"/>
    </row>
    <row r="269" spans="1:12" ht="31.5">
      <c r="A269" s="18">
        <v>340</v>
      </c>
      <c r="B269" s="18" t="s">
        <v>6</v>
      </c>
      <c r="C269" s="49" t="s">
        <v>443</v>
      </c>
      <c r="D269" s="21" t="s">
        <v>444</v>
      </c>
      <c r="E269" s="18" t="s">
        <v>16</v>
      </c>
      <c r="F269" s="18" t="s">
        <v>6</v>
      </c>
      <c r="G269" s="18">
        <v>3000</v>
      </c>
      <c r="H269" s="48">
        <v>45104</v>
      </c>
      <c r="I269" s="18" t="s">
        <v>35</v>
      </c>
      <c r="J269" s="34"/>
      <c r="K269" s="18"/>
      <c r="L269" s="18"/>
    </row>
    <row r="270" spans="1:12" ht="31.5">
      <c r="A270" s="18">
        <v>341</v>
      </c>
      <c r="B270" s="18" t="s">
        <v>6</v>
      </c>
      <c r="C270" s="49" t="s">
        <v>443</v>
      </c>
      <c r="D270" s="21" t="s">
        <v>442</v>
      </c>
      <c r="E270" s="18" t="s">
        <v>16</v>
      </c>
      <c r="F270" s="18" t="s">
        <v>6</v>
      </c>
      <c r="G270" s="18">
        <v>3000</v>
      </c>
      <c r="H270" s="48">
        <v>45104</v>
      </c>
      <c r="I270" s="18" t="s">
        <v>35</v>
      </c>
      <c r="J270" s="34"/>
      <c r="K270" s="18"/>
      <c r="L270" s="18"/>
    </row>
    <row r="271" spans="1:12" ht="47.25">
      <c r="A271" s="18">
        <v>342</v>
      </c>
      <c r="B271" s="18" t="s">
        <v>5</v>
      </c>
      <c r="C271" s="49" t="s">
        <v>170</v>
      </c>
      <c r="D271" s="21" t="s">
        <v>441</v>
      </c>
      <c r="E271" s="18" t="s">
        <v>13</v>
      </c>
      <c r="F271" s="18" t="s">
        <v>5</v>
      </c>
      <c r="G271" s="18">
        <v>5000</v>
      </c>
      <c r="H271" s="48">
        <v>45104</v>
      </c>
      <c r="I271" s="18" t="s">
        <v>12</v>
      </c>
      <c r="J271" s="34"/>
      <c r="K271" s="18"/>
      <c r="L271" s="18"/>
    </row>
    <row r="272" spans="1:12" ht="15.75">
      <c r="A272" s="18">
        <v>343</v>
      </c>
      <c r="B272" s="18" t="s">
        <v>5</v>
      </c>
      <c r="C272" s="49" t="s">
        <v>170</v>
      </c>
      <c r="D272" s="18" t="s">
        <v>162</v>
      </c>
      <c r="E272" s="18" t="s">
        <v>193</v>
      </c>
      <c r="F272" s="18" t="s">
        <v>5</v>
      </c>
      <c r="G272" s="18">
        <v>2000</v>
      </c>
      <c r="H272" s="48">
        <v>45104</v>
      </c>
      <c r="I272" s="18" t="s">
        <v>12</v>
      </c>
      <c r="J272" s="34"/>
      <c r="K272" s="18"/>
      <c r="L272" s="18"/>
    </row>
    <row r="273" spans="1:12" ht="31.5">
      <c r="A273" s="18">
        <v>344</v>
      </c>
      <c r="B273" s="18" t="s">
        <v>8</v>
      </c>
      <c r="C273" s="49" t="s">
        <v>440</v>
      </c>
      <c r="D273" s="21" t="s">
        <v>439</v>
      </c>
      <c r="E273" s="18" t="s">
        <v>16</v>
      </c>
      <c r="F273" s="18" t="s">
        <v>8</v>
      </c>
      <c r="G273" s="18">
        <v>3000</v>
      </c>
      <c r="H273" s="48">
        <v>45104</v>
      </c>
      <c r="I273" s="18" t="s">
        <v>35</v>
      </c>
      <c r="J273" s="34"/>
      <c r="K273" s="18"/>
      <c r="L273" s="18"/>
    </row>
    <row r="274" spans="1:12" ht="47.25">
      <c r="A274" s="18">
        <v>345</v>
      </c>
      <c r="B274" s="18" t="s">
        <v>1</v>
      </c>
      <c r="C274" s="49" t="s">
        <v>167</v>
      </c>
      <c r="D274" s="21" t="s">
        <v>438</v>
      </c>
      <c r="E274" s="18" t="s">
        <v>23</v>
      </c>
      <c r="F274" s="18" t="s">
        <v>1</v>
      </c>
      <c r="G274" s="18">
        <v>10000</v>
      </c>
      <c r="H274" s="48">
        <v>45104</v>
      </c>
      <c r="I274" s="18" t="s">
        <v>12</v>
      </c>
      <c r="J274" s="34"/>
      <c r="K274" s="18"/>
      <c r="L274" s="18"/>
    </row>
    <row r="275" spans="1:12" ht="31.5">
      <c r="A275" s="18">
        <v>346</v>
      </c>
      <c r="B275" s="18" t="s">
        <v>8</v>
      </c>
      <c r="C275" s="49" t="s">
        <v>349</v>
      </c>
      <c r="D275" s="21" t="s">
        <v>437</v>
      </c>
      <c r="E275" s="18" t="s">
        <v>13</v>
      </c>
      <c r="F275" s="18" t="s">
        <v>8</v>
      </c>
      <c r="G275" s="18">
        <v>5000</v>
      </c>
      <c r="H275" s="48">
        <v>45104</v>
      </c>
      <c r="I275" s="18" t="s">
        <v>12</v>
      </c>
      <c r="J275" s="34"/>
      <c r="K275" s="18"/>
      <c r="L275" s="18"/>
    </row>
    <row r="276" spans="1:12" ht="31.5">
      <c r="A276" s="18">
        <v>347</v>
      </c>
      <c r="B276" s="18" t="s">
        <v>1</v>
      </c>
      <c r="C276" s="49" t="s">
        <v>140</v>
      </c>
      <c r="D276" s="21" t="s">
        <v>436</v>
      </c>
      <c r="E276" s="18" t="s">
        <v>23</v>
      </c>
      <c r="F276" s="18" t="s">
        <v>1</v>
      </c>
      <c r="G276" s="18">
        <v>3000</v>
      </c>
      <c r="H276" s="48">
        <v>45104</v>
      </c>
      <c r="I276" s="18" t="s">
        <v>12</v>
      </c>
      <c r="J276" s="34"/>
      <c r="K276" s="18"/>
      <c r="L276" s="18"/>
    </row>
    <row r="277" spans="1:12" ht="31.5">
      <c r="A277" s="18">
        <v>348</v>
      </c>
      <c r="B277" s="18" t="s">
        <v>8</v>
      </c>
      <c r="C277" s="49" t="s">
        <v>34</v>
      </c>
      <c r="D277" s="21" t="s">
        <v>435</v>
      </c>
      <c r="E277" s="18" t="s">
        <v>16</v>
      </c>
      <c r="F277" s="18" t="s">
        <v>8</v>
      </c>
      <c r="G277" s="18">
        <v>3000</v>
      </c>
      <c r="H277" s="48">
        <v>45104</v>
      </c>
      <c r="I277" s="18" t="s">
        <v>12</v>
      </c>
      <c r="J277" s="34"/>
      <c r="K277" s="18"/>
      <c r="L277" s="18"/>
    </row>
    <row r="278" spans="1:12" ht="31.5">
      <c r="A278" s="18">
        <v>349</v>
      </c>
      <c r="B278" s="18" t="s">
        <v>8</v>
      </c>
      <c r="C278" s="49" t="s">
        <v>34</v>
      </c>
      <c r="D278" s="21" t="s">
        <v>434</v>
      </c>
      <c r="E278" s="18" t="s">
        <v>16</v>
      </c>
      <c r="F278" s="18" t="s">
        <v>8</v>
      </c>
      <c r="G278" s="18">
        <v>3000</v>
      </c>
      <c r="H278" s="48">
        <v>45104</v>
      </c>
      <c r="I278" s="18" t="s">
        <v>12</v>
      </c>
      <c r="J278" s="34"/>
      <c r="K278" s="18"/>
      <c r="L278" s="18"/>
    </row>
    <row r="279" spans="1:12" ht="31.5">
      <c r="A279" s="18">
        <v>350</v>
      </c>
      <c r="B279" s="18" t="s">
        <v>8</v>
      </c>
      <c r="C279" s="49" t="s">
        <v>34</v>
      </c>
      <c r="D279" s="21" t="s">
        <v>433</v>
      </c>
      <c r="E279" s="18" t="s">
        <v>16</v>
      </c>
      <c r="F279" s="18" t="s">
        <v>8</v>
      </c>
      <c r="G279" s="18">
        <v>1500</v>
      </c>
      <c r="H279" s="48">
        <v>45104</v>
      </c>
      <c r="I279" s="18" t="s">
        <v>12</v>
      </c>
      <c r="J279" s="34"/>
      <c r="K279" s="18"/>
      <c r="L279" s="18"/>
    </row>
    <row r="280" spans="1:12" ht="31.5">
      <c r="A280" s="18">
        <v>351</v>
      </c>
      <c r="B280" s="18" t="s">
        <v>0</v>
      </c>
      <c r="C280" s="49" t="s">
        <v>432</v>
      </c>
      <c r="D280" s="21" t="s">
        <v>431</v>
      </c>
      <c r="E280" s="18" t="s">
        <v>23</v>
      </c>
      <c r="F280" s="18" t="s">
        <v>0</v>
      </c>
      <c r="G280" s="18">
        <v>10000</v>
      </c>
      <c r="H280" s="48">
        <v>45104</v>
      </c>
      <c r="I280" s="18" t="s">
        <v>35</v>
      </c>
      <c r="J280" s="34"/>
      <c r="K280" s="18"/>
      <c r="L280" s="18"/>
    </row>
    <row r="281" spans="1:12" ht="31.5">
      <c r="A281" s="18">
        <v>352</v>
      </c>
      <c r="B281" s="18" t="s">
        <v>8</v>
      </c>
      <c r="C281" s="49" t="s">
        <v>307</v>
      </c>
      <c r="D281" s="21" t="s">
        <v>430</v>
      </c>
      <c r="E281" s="18" t="s">
        <v>16</v>
      </c>
      <c r="F281" s="18" t="s">
        <v>8</v>
      </c>
      <c r="G281" s="18">
        <v>3000</v>
      </c>
      <c r="H281" s="48">
        <v>45104</v>
      </c>
      <c r="I281" s="18" t="s">
        <v>12</v>
      </c>
      <c r="J281" s="34"/>
      <c r="K281" s="18"/>
      <c r="L281" s="18"/>
    </row>
    <row r="282" spans="1:12" ht="31.5">
      <c r="A282" s="18">
        <v>353</v>
      </c>
      <c r="B282" s="18" t="s">
        <v>8</v>
      </c>
      <c r="C282" s="49" t="s">
        <v>307</v>
      </c>
      <c r="D282" s="21" t="s">
        <v>429</v>
      </c>
      <c r="E282" s="18" t="s">
        <v>16</v>
      </c>
      <c r="F282" s="18" t="s">
        <v>8</v>
      </c>
      <c r="G282" s="18">
        <v>1500</v>
      </c>
      <c r="H282" s="48">
        <v>45104</v>
      </c>
      <c r="I282" s="18" t="s">
        <v>12</v>
      </c>
      <c r="J282" s="34"/>
      <c r="K282" s="18"/>
      <c r="L282" s="18"/>
    </row>
    <row r="283" spans="1:12" ht="31.5">
      <c r="A283" s="18">
        <v>354</v>
      </c>
      <c r="B283" s="18" t="s">
        <v>8</v>
      </c>
      <c r="C283" s="49" t="s">
        <v>307</v>
      </c>
      <c r="D283" s="21" t="s">
        <v>428</v>
      </c>
      <c r="E283" s="18" t="s">
        <v>16</v>
      </c>
      <c r="F283" s="18" t="s">
        <v>8</v>
      </c>
      <c r="G283" s="18">
        <v>900</v>
      </c>
      <c r="H283" s="48">
        <v>45104</v>
      </c>
      <c r="I283" s="18" t="s">
        <v>12</v>
      </c>
      <c r="J283" s="34"/>
      <c r="K283" s="18"/>
      <c r="L283" s="18"/>
    </row>
    <row r="284" spans="1:12" ht="31.5">
      <c r="A284" s="18">
        <v>355</v>
      </c>
      <c r="B284" s="18" t="s">
        <v>8</v>
      </c>
      <c r="C284" s="49" t="s">
        <v>307</v>
      </c>
      <c r="D284" s="21" t="s">
        <v>427</v>
      </c>
      <c r="E284" s="18" t="s">
        <v>16</v>
      </c>
      <c r="F284" s="18" t="s">
        <v>8</v>
      </c>
      <c r="G284" s="18">
        <v>3000</v>
      </c>
      <c r="H284" s="48">
        <v>45104</v>
      </c>
      <c r="I284" s="18" t="s">
        <v>12</v>
      </c>
      <c r="J284" s="34"/>
      <c r="K284" s="18"/>
      <c r="L284" s="18"/>
    </row>
    <row r="285" spans="1:12" ht="15.75">
      <c r="A285" s="18">
        <v>356</v>
      </c>
      <c r="B285" s="18" t="s">
        <v>2</v>
      </c>
      <c r="C285" s="49" t="s">
        <v>209</v>
      </c>
      <c r="D285" s="21" t="s">
        <v>426</v>
      </c>
      <c r="E285" s="18" t="s">
        <v>16</v>
      </c>
      <c r="F285" s="18" t="s">
        <v>2</v>
      </c>
      <c r="G285" s="18">
        <v>3000</v>
      </c>
      <c r="H285" s="48">
        <v>45104</v>
      </c>
      <c r="I285" s="18" t="s">
        <v>12</v>
      </c>
      <c r="J285" s="34"/>
      <c r="K285" s="18"/>
      <c r="L285" s="18"/>
    </row>
    <row r="286" spans="1:12" ht="47.25">
      <c r="A286" s="18">
        <v>357</v>
      </c>
      <c r="B286" s="18" t="s">
        <v>5</v>
      </c>
      <c r="C286" s="49" t="s">
        <v>115</v>
      </c>
      <c r="D286" s="21" t="s">
        <v>425</v>
      </c>
      <c r="E286" s="18" t="s">
        <v>23</v>
      </c>
      <c r="F286" s="18" t="s">
        <v>5</v>
      </c>
      <c r="G286" s="18">
        <v>3000</v>
      </c>
      <c r="H286" s="48">
        <v>45104</v>
      </c>
      <c r="I286" s="18" t="s">
        <v>12</v>
      </c>
      <c r="J286" s="34"/>
      <c r="K286" s="18"/>
      <c r="L286" s="18"/>
    </row>
    <row r="287" spans="1:12" ht="47.25">
      <c r="A287" s="18">
        <v>358</v>
      </c>
      <c r="B287" s="18" t="s">
        <v>5</v>
      </c>
      <c r="C287" s="49" t="s">
        <v>115</v>
      </c>
      <c r="D287" s="21" t="s">
        <v>424</v>
      </c>
      <c r="E287" s="18" t="s">
        <v>16</v>
      </c>
      <c r="F287" s="18" t="s">
        <v>5</v>
      </c>
      <c r="G287" s="18">
        <v>3000</v>
      </c>
      <c r="H287" s="48">
        <v>45104</v>
      </c>
      <c r="I287" s="18" t="s">
        <v>12</v>
      </c>
      <c r="J287" s="34"/>
      <c r="K287" s="18"/>
      <c r="L287" s="18"/>
    </row>
    <row r="288" spans="1:12" ht="31.5">
      <c r="A288" s="18">
        <v>359</v>
      </c>
      <c r="B288" s="18" t="s">
        <v>5</v>
      </c>
      <c r="C288" s="49" t="s">
        <v>115</v>
      </c>
      <c r="D288" s="21" t="s">
        <v>423</v>
      </c>
      <c r="E288" s="18" t="s">
        <v>16</v>
      </c>
      <c r="F288" s="18" t="s">
        <v>5</v>
      </c>
      <c r="G288" s="18">
        <v>3000</v>
      </c>
      <c r="H288" s="48">
        <v>45104</v>
      </c>
      <c r="I288" s="18" t="s">
        <v>12</v>
      </c>
      <c r="J288" s="34"/>
      <c r="K288" s="18"/>
      <c r="L288" s="18"/>
    </row>
    <row r="289" spans="1:12" ht="31.5">
      <c r="A289" s="18">
        <v>360</v>
      </c>
      <c r="B289" s="18" t="s">
        <v>2</v>
      </c>
      <c r="C289" s="49" t="s">
        <v>243</v>
      </c>
      <c r="D289" s="21" t="s">
        <v>422</v>
      </c>
      <c r="E289" s="18" t="s">
        <v>23</v>
      </c>
      <c r="F289" s="18" t="s">
        <v>2</v>
      </c>
      <c r="G289" s="18">
        <v>10000</v>
      </c>
      <c r="H289" s="48">
        <v>45104</v>
      </c>
      <c r="I289" s="18" t="s">
        <v>12</v>
      </c>
      <c r="J289" s="34"/>
      <c r="K289" s="18"/>
      <c r="L289" s="18"/>
    </row>
    <row r="290" spans="1:12" ht="31.5">
      <c r="A290" s="18">
        <v>361</v>
      </c>
      <c r="B290" s="18" t="s">
        <v>8</v>
      </c>
      <c r="C290" s="49" t="s">
        <v>279</v>
      </c>
      <c r="D290" s="21" t="s">
        <v>421</v>
      </c>
      <c r="E290" s="18" t="s">
        <v>16</v>
      </c>
      <c r="F290" s="18" t="s">
        <v>8</v>
      </c>
      <c r="G290" s="18">
        <v>1800</v>
      </c>
      <c r="H290" s="48">
        <v>45104</v>
      </c>
      <c r="I290" s="18" t="s">
        <v>12</v>
      </c>
      <c r="J290" s="34"/>
      <c r="K290" s="18"/>
      <c r="L290" s="18"/>
    </row>
    <row r="291" spans="1:12" ht="15.75">
      <c r="A291" s="18">
        <v>362</v>
      </c>
      <c r="B291" s="18" t="s">
        <v>8</v>
      </c>
      <c r="C291" s="49" t="s">
        <v>279</v>
      </c>
      <c r="D291" s="18" t="s">
        <v>162</v>
      </c>
      <c r="E291" s="18" t="s">
        <v>193</v>
      </c>
      <c r="F291" s="18" t="s">
        <v>8</v>
      </c>
      <c r="G291" s="18">
        <v>4000</v>
      </c>
      <c r="H291" s="48">
        <v>45104</v>
      </c>
      <c r="I291" s="18" t="s">
        <v>12</v>
      </c>
      <c r="J291" s="34"/>
      <c r="K291" s="18"/>
      <c r="L291" s="18"/>
    </row>
    <row r="292" spans="1:12" ht="15.75">
      <c r="A292" s="18">
        <v>363</v>
      </c>
      <c r="B292" s="18" t="s">
        <v>5</v>
      </c>
      <c r="C292" s="49" t="s">
        <v>115</v>
      </c>
      <c r="D292" s="18" t="s">
        <v>166</v>
      </c>
      <c r="E292" s="18" t="s">
        <v>193</v>
      </c>
      <c r="F292" s="18" t="s">
        <v>5</v>
      </c>
      <c r="G292" s="18">
        <v>2000</v>
      </c>
      <c r="H292" s="48">
        <v>45104</v>
      </c>
      <c r="I292" s="18" t="s">
        <v>12</v>
      </c>
      <c r="J292" s="34"/>
      <c r="K292" s="18"/>
      <c r="L292" s="18"/>
    </row>
    <row r="293" spans="1:12" ht="15.75">
      <c r="A293" s="18">
        <v>364</v>
      </c>
      <c r="B293" s="18" t="s">
        <v>5</v>
      </c>
      <c r="C293" s="49" t="s">
        <v>420</v>
      </c>
      <c r="D293" s="21" t="s">
        <v>419</v>
      </c>
      <c r="E293" s="18" t="s">
        <v>16</v>
      </c>
      <c r="F293" s="18" t="s">
        <v>5</v>
      </c>
      <c r="G293" s="18">
        <v>3000</v>
      </c>
      <c r="H293" s="48">
        <v>45104</v>
      </c>
      <c r="I293" s="18" t="s">
        <v>35</v>
      </c>
      <c r="J293" s="34"/>
      <c r="K293" s="18"/>
      <c r="L293" s="18"/>
    </row>
    <row r="294" spans="1:12" ht="15.75">
      <c r="A294" s="58"/>
      <c r="B294" s="58"/>
      <c r="C294" s="60"/>
      <c r="D294" s="58" t="s">
        <v>11</v>
      </c>
      <c r="E294" s="58"/>
      <c r="F294" s="58"/>
      <c r="G294" s="58">
        <f>SUM(G265:G293)</f>
        <v>107700</v>
      </c>
      <c r="H294" s="53"/>
      <c r="I294" s="58"/>
      <c r="J294" s="34">
        <f>G294</f>
        <v>107700</v>
      </c>
      <c r="K294" s="58"/>
      <c r="L294" s="58"/>
    </row>
    <row r="295" spans="1:12" ht="31.5">
      <c r="A295" s="18">
        <v>365</v>
      </c>
      <c r="B295" s="18" t="s">
        <v>3</v>
      </c>
      <c r="C295" s="49" t="s">
        <v>360</v>
      </c>
      <c r="D295" s="21" t="s">
        <v>418</v>
      </c>
      <c r="E295" s="18" t="s">
        <v>23</v>
      </c>
      <c r="F295" s="18" t="s">
        <v>3</v>
      </c>
      <c r="G295" s="18">
        <v>6000</v>
      </c>
      <c r="H295" s="48">
        <v>45114</v>
      </c>
      <c r="I295" s="18" t="s">
        <v>12</v>
      </c>
      <c r="J295" s="34"/>
      <c r="K295" s="18"/>
      <c r="L295" s="18"/>
    </row>
    <row r="296" spans="1:12" ht="15.75">
      <c r="A296" s="18">
        <v>366</v>
      </c>
      <c r="B296" s="18" t="s">
        <v>5</v>
      </c>
      <c r="C296" s="49" t="s">
        <v>112</v>
      </c>
      <c r="D296" s="21" t="s">
        <v>417</v>
      </c>
      <c r="E296" s="18" t="s">
        <v>16</v>
      </c>
      <c r="F296" s="18" t="s">
        <v>5</v>
      </c>
      <c r="G296" s="18">
        <v>3000</v>
      </c>
      <c r="H296" s="48">
        <v>45114</v>
      </c>
      <c r="I296" s="18" t="s">
        <v>35</v>
      </c>
      <c r="J296" s="34"/>
      <c r="K296" s="18"/>
      <c r="L296" s="18"/>
    </row>
    <row r="297" spans="1:12" ht="31.5">
      <c r="A297" s="18">
        <v>367</v>
      </c>
      <c r="B297" s="18" t="s">
        <v>5</v>
      </c>
      <c r="C297" s="49" t="s">
        <v>112</v>
      </c>
      <c r="D297" s="21" t="s">
        <v>416</v>
      </c>
      <c r="E297" s="18" t="s">
        <v>16</v>
      </c>
      <c r="F297" s="18" t="s">
        <v>5</v>
      </c>
      <c r="G297" s="18">
        <v>1800</v>
      </c>
      <c r="H297" s="48">
        <v>45114</v>
      </c>
      <c r="I297" s="18" t="s">
        <v>35</v>
      </c>
      <c r="J297" s="34"/>
      <c r="K297" s="18"/>
      <c r="L297" s="18"/>
    </row>
    <row r="298" spans="1:12" ht="31.5">
      <c r="A298" s="18">
        <v>368</v>
      </c>
      <c r="B298" s="18" t="s">
        <v>5</v>
      </c>
      <c r="C298" s="49" t="s">
        <v>112</v>
      </c>
      <c r="D298" s="21" t="s">
        <v>415</v>
      </c>
      <c r="E298" s="18" t="s">
        <v>16</v>
      </c>
      <c r="F298" s="18" t="s">
        <v>5</v>
      </c>
      <c r="G298" s="18">
        <v>3000</v>
      </c>
      <c r="H298" s="48">
        <v>45114</v>
      </c>
      <c r="I298" s="18" t="s">
        <v>35</v>
      </c>
      <c r="J298" s="34"/>
      <c r="K298" s="18"/>
      <c r="L298" s="18"/>
    </row>
    <row r="299" spans="1:12" ht="15.75">
      <c r="A299" s="18">
        <v>369</v>
      </c>
      <c r="B299" s="18" t="s">
        <v>6</v>
      </c>
      <c r="C299" s="49" t="s">
        <v>247</v>
      </c>
      <c r="D299" s="21" t="s">
        <v>414</v>
      </c>
      <c r="E299" s="18" t="s">
        <v>16</v>
      </c>
      <c r="F299" s="18" t="s">
        <v>6</v>
      </c>
      <c r="G299" s="18">
        <v>3000</v>
      </c>
      <c r="H299" s="48">
        <v>45114</v>
      </c>
      <c r="I299" s="18" t="s">
        <v>35</v>
      </c>
      <c r="J299" s="34"/>
      <c r="K299" s="18"/>
      <c r="L299" s="18"/>
    </row>
    <row r="300" spans="1:12" ht="31.5">
      <c r="A300" s="18">
        <v>370</v>
      </c>
      <c r="B300" s="18" t="s">
        <v>4</v>
      </c>
      <c r="C300" s="49" t="s">
        <v>199</v>
      </c>
      <c r="D300" s="21" t="s">
        <v>413</v>
      </c>
      <c r="E300" s="18" t="s">
        <v>16</v>
      </c>
      <c r="F300" s="18" t="s">
        <v>4</v>
      </c>
      <c r="G300" s="18">
        <v>3000</v>
      </c>
      <c r="H300" s="48">
        <v>45114</v>
      </c>
      <c r="I300" s="18" t="s">
        <v>35</v>
      </c>
      <c r="J300" s="34"/>
      <c r="K300" s="18"/>
      <c r="L300" s="18"/>
    </row>
    <row r="301" spans="1:12" ht="15.75">
      <c r="A301" s="18">
        <v>371</v>
      </c>
      <c r="B301" s="18" t="s">
        <v>4</v>
      </c>
      <c r="C301" s="49" t="s">
        <v>199</v>
      </c>
      <c r="D301" s="21" t="s">
        <v>412</v>
      </c>
      <c r="E301" s="18" t="s">
        <v>16</v>
      </c>
      <c r="F301" s="18" t="s">
        <v>4</v>
      </c>
      <c r="G301" s="18">
        <v>3000</v>
      </c>
      <c r="H301" s="48">
        <v>45114</v>
      </c>
      <c r="I301" s="18" t="s">
        <v>35</v>
      </c>
      <c r="J301" s="34"/>
      <c r="K301" s="18"/>
      <c r="L301" s="18"/>
    </row>
    <row r="302" spans="1:12" ht="31.5">
      <c r="A302" s="18">
        <v>372</v>
      </c>
      <c r="B302" s="18" t="s">
        <v>4</v>
      </c>
      <c r="C302" s="49" t="s">
        <v>199</v>
      </c>
      <c r="D302" s="21" t="s">
        <v>411</v>
      </c>
      <c r="E302" s="18" t="s">
        <v>16</v>
      </c>
      <c r="F302" s="18" t="s">
        <v>4</v>
      </c>
      <c r="G302" s="18">
        <v>3000</v>
      </c>
      <c r="H302" s="48">
        <v>45114</v>
      </c>
      <c r="I302" s="18" t="s">
        <v>35</v>
      </c>
      <c r="J302" s="34"/>
      <c r="K302" s="18"/>
      <c r="L302" s="18"/>
    </row>
    <row r="303" spans="1:12" ht="31.5">
      <c r="A303" s="18">
        <v>373</v>
      </c>
      <c r="B303" s="18" t="s">
        <v>8</v>
      </c>
      <c r="C303" s="49" t="s">
        <v>405</v>
      </c>
      <c r="D303" s="21" t="s">
        <v>410</v>
      </c>
      <c r="E303" s="18" t="s">
        <v>16</v>
      </c>
      <c r="F303" s="18" t="s">
        <v>8</v>
      </c>
      <c r="G303" s="18">
        <v>1800</v>
      </c>
      <c r="H303" s="48">
        <v>45114</v>
      </c>
      <c r="I303" s="18" t="s">
        <v>12</v>
      </c>
      <c r="J303" s="34"/>
      <c r="K303" s="18"/>
      <c r="L303" s="18"/>
    </row>
    <row r="304" spans="1:12" ht="31.5">
      <c r="A304" s="18">
        <v>374</v>
      </c>
      <c r="B304" s="18" t="s">
        <v>8</v>
      </c>
      <c r="C304" s="49" t="s">
        <v>405</v>
      </c>
      <c r="D304" s="21" t="s">
        <v>409</v>
      </c>
      <c r="E304" s="18" t="s">
        <v>16</v>
      </c>
      <c r="F304" s="18" t="s">
        <v>8</v>
      </c>
      <c r="G304" s="18">
        <v>3000</v>
      </c>
      <c r="H304" s="48">
        <v>45114</v>
      </c>
      <c r="I304" s="18" t="s">
        <v>12</v>
      </c>
      <c r="J304" s="34"/>
      <c r="K304" s="18"/>
      <c r="L304" s="18"/>
    </row>
    <row r="305" spans="1:12" ht="31.5">
      <c r="A305" s="18">
        <v>375</v>
      </c>
      <c r="B305" s="18" t="s">
        <v>8</v>
      </c>
      <c r="C305" s="49" t="s">
        <v>405</v>
      </c>
      <c r="D305" s="21" t="s">
        <v>408</v>
      </c>
      <c r="E305" s="18" t="s">
        <v>13</v>
      </c>
      <c r="F305" s="18" t="s">
        <v>8</v>
      </c>
      <c r="G305" s="18">
        <v>1500</v>
      </c>
      <c r="H305" s="48">
        <v>45114</v>
      </c>
      <c r="I305" s="18" t="s">
        <v>12</v>
      </c>
      <c r="J305" s="34"/>
      <c r="K305" s="18"/>
      <c r="L305" s="18"/>
    </row>
    <row r="306" spans="1:12" ht="31.5">
      <c r="A306" s="18">
        <v>376</v>
      </c>
      <c r="B306" s="18" t="s">
        <v>8</v>
      </c>
      <c r="C306" s="49" t="s">
        <v>405</v>
      </c>
      <c r="D306" s="21" t="s">
        <v>407</v>
      </c>
      <c r="E306" s="18" t="s">
        <v>16</v>
      </c>
      <c r="F306" s="18" t="s">
        <v>8</v>
      </c>
      <c r="G306" s="18">
        <v>1800</v>
      </c>
      <c r="H306" s="48">
        <v>45114</v>
      </c>
      <c r="I306" s="18" t="s">
        <v>12</v>
      </c>
      <c r="J306" s="34"/>
      <c r="K306" s="18"/>
      <c r="L306" s="18"/>
    </row>
    <row r="307" spans="1:12" ht="31.5">
      <c r="A307" s="18">
        <v>377</v>
      </c>
      <c r="B307" s="18" t="s">
        <v>8</v>
      </c>
      <c r="C307" s="49" t="s">
        <v>405</v>
      </c>
      <c r="D307" s="21" t="s">
        <v>406</v>
      </c>
      <c r="E307" s="18" t="s">
        <v>16</v>
      </c>
      <c r="F307" s="18" t="s">
        <v>8</v>
      </c>
      <c r="G307" s="18">
        <v>1800</v>
      </c>
      <c r="H307" s="48">
        <v>45114</v>
      </c>
      <c r="I307" s="18" t="s">
        <v>12</v>
      </c>
      <c r="J307" s="34"/>
      <c r="K307" s="18"/>
      <c r="L307" s="18"/>
    </row>
    <row r="308" spans="1:12" ht="31.5">
      <c r="A308" s="18">
        <v>378</v>
      </c>
      <c r="B308" s="18" t="s">
        <v>8</v>
      </c>
      <c r="C308" s="49" t="s">
        <v>405</v>
      </c>
      <c r="D308" s="21" t="s">
        <v>404</v>
      </c>
      <c r="E308" s="18" t="s">
        <v>16</v>
      </c>
      <c r="F308" s="18" t="s">
        <v>8</v>
      </c>
      <c r="G308" s="18">
        <v>1800</v>
      </c>
      <c r="H308" s="48">
        <v>45114</v>
      </c>
      <c r="I308" s="18" t="s">
        <v>12</v>
      </c>
      <c r="J308" s="34"/>
      <c r="K308" s="18"/>
      <c r="L308" s="18"/>
    </row>
    <row r="309" spans="1:12" ht="31.5">
      <c r="A309" s="18">
        <v>379</v>
      </c>
      <c r="B309" s="18" t="s">
        <v>5</v>
      </c>
      <c r="C309" s="49" t="s">
        <v>403</v>
      </c>
      <c r="D309" s="21" t="s">
        <v>402</v>
      </c>
      <c r="E309" s="18" t="s">
        <v>23</v>
      </c>
      <c r="F309" s="18" t="s">
        <v>5</v>
      </c>
      <c r="G309" s="18">
        <v>6000</v>
      </c>
      <c r="H309" s="48">
        <v>45114</v>
      </c>
      <c r="I309" s="18" t="s">
        <v>12</v>
      </c>
      <c r="J309" s="34"/>
      <c r="K309" s="18"/>
      <c r="L309" s="18"/>
    </row>
    <row r="310" spans="1:12" ht="31.5">
      <c r="A310" s="18">
        <v>380</v>
      </c>
      <c r="B310" s="18" t="s">
        <v>5</v>
      </c>
      <c r="C310" s="49" t="s">
        <v>288</v>
      </c>
      <c r="D310" s="21" t="s">
        <v>401</v>
      </c>
      <c r="E310" s="18" t="s">
        <v>16</v>
      </c>
      <c r="F310" s="18" t="s">
        <v>5</v>
      </c>
      <c r="G310" s="18">
        <v>3000</v>
      </c>
      <c r="H310" s="48">
        <v>45114</v>
      </c>
      <c r="I310" s="18" t="s">
        <v>35</v>
      </c>
      <c r="J310" s="34"/>
      <c r="K310" s="18"/>
      <c r="L310" s="18"/>
    </row>
    <row r="311" spans="1:12" ht="15.75">
      <c r="A311" s="18">
        <v>381</v>
      </c>
      <c r="B311" s="18" t="s">
        <v>5</v>
      </c>
      <c r="C311" s="49" t="s">
        <v>288</v>
      </c>
      <c r="D311" s="21" t="s">
        <v>400</v>
      </c>
      <c r="E311" s="18" t="s">
        <v>16</v>
      </c>
      <c r="F311" s="18" t="s">
        <v>5</v>
      </c>
      <c r="G311" s="18">
        <v>1800</v>
      </c>
      <c r="H311" s="48">
        <v>45114</v>
      </c>
      <c r="I311" s="18" t="s">
        <v>35</v>
      </c>
      <c r="J311" s="34"/>
      <c r="K311" s="18"/>
      <c r="L311" s="18"/>
    </row>
    <row r="312" spans="1:12" ht="31.5">
      <c r="A312" s="18">
        <v>382</v>
      </c>
      <c r="B312" s="18" t="s">
        <v>5</v>
      </c>
      <c r="C312" s="49" t="s">
        <v>262</v>
      </c>
      <c r="D312" s="21" t="s">
        <v>399</v>
      </c>
      <c r="E312" s="18" t="s">
        <v>13</v>
      </c>
      <c r="F312" s="18" t="s">
        <v>5</v>
      </c>
      <c r="G312" s="18">
        <v>3000</v>
      </c>
      <c r="H312" s="48">
        <v>45114</v>
      </c>
      <c r="I312" s="18" t="s">
        <v>35</v>
      </c>
      <c r="J312" s="34"/>
      <c r="K312" s="18"/>
      <c r="L312" s="18"/>
    </row>
    <row r="313" spans="1:12" ht="31.5">
      <c r="A313" s="18">
        <v>383</v>
      </c>
      <c r="B313" s="18" t="s">
        <v>2</v>
      </c>
      <c r="C313" s="49" t="s">
        <v>74</v>
      </c>
      <c r="D313" s="21" t="s">
        <v>398</v>
      </c>
      <c r="E313" s="18" t="s">
        <v>13</v>
      </c>
      <c r="F313" s="18" t="s">
        <v>2</v>
      </c>
      <c r="G313" s="18">
        <v>3000</v>
      </c>
      <c r="H313" s="48">
        <v>45114</v>
      </c>
      <c r="I313" s="18" t="s">
        <v>12</v>
      </c>
      <c r="J313" s="34"/>
      <c r="K313" s="18"/>
      <c r="L313" s="18"/>
    </row>
    <row r="314" spans="1:12" ht="31.5">
      <c r="A314" s="18">
        <v>384</v>
      </c>
      <c r="B314" s="18" t="s">
        <v>2</v>
      </c>
      <c r="C314" s="49" t="s">
        <v>74</v>
      </c>
      <c r="D314" s="21" t="s">
        <v>397</v>
      </c>
      <c r="E314" s="18" t="s">
        <v>16</v>
      </c>
      <c r="F314" s="18" t="s">
        <v>2</v>
      </c>
      <c r="G314" s="18">
        <v>3000</v>
      </c>
      <c r="H314" s="48">
        <v>45114</v>
      </c>
      <c r="I314" s="18" t="s">
        <v>12</v>
      </c>
      <c r="J314" s="34"/>
      <c r="K314" s="18"/>
      <c r="L314" s="18"/>
    </row>
    <row r="315" spans="1:12" ht="31.5">
      <c r="A315" s="18">
        <v>385</v>
      </c>
      <c r="B315" s="18" t="s">
        <v>2</v>
      </c>
      <c r="C315" s="49" t="s">
        <v>74</v>
      </c>
      <c r="D315" s="21" t="s">
        <v>396</v>
      </c>
      <c r="E315" s="18" t="s">
        <v>16</v>
      </c>
      <c r="F315" s="18" t="s">
        <v>2</v>
      </c>
      <c r="G315" s="18">
        <v>3000</v>
      </c>
      <c r="H315" s="48">
        <v>45114</v>
      </c>
      <c r="I315" s="18" t="s">
        <v>12</v>
      </c>
      <c r="J315" s="34"/>
      <c r="K315" s="18"/>
      <c r="L315" s="18"/>
    </row>
    <row r="316" spans="1:12" ht="31.5">
      <c r="A316" s="18">
        <v>386</v>
      </c>
      <c r="B316" s="18" t="s">
        <v>2</v>
      </c>
      <c r="C316" s="49" t="s">
        <v>74</v>
      </c>
      <c r="D316" s="21" t="s">
        <v>395</v>
      </c>
      <c r="E316" s="18" t="s">
        <v>16</v>
      </c>
      <c r="F316" s="18" t="s">
        <v>2</v>
      </c>
      <c r="G316" s="18">
        <v>1800</v>
      </c>
      <c r="H316" s="48">
        <v>45114</v>
      </c>
      <c r="I316" s="18" t="s">
        <v>12</v>
      </c>
      <c r="J316" s="34"/>
      <c r="K316" s="18"/>
      <c r="L316" s="18"/>
    </row>
    <row r="317" spans="1:12" ht="31.5">
      <c r="A317" s="18">
        <v>387</v>
      </c>
      <c r="B317" s="18" t="s">
        <v>2</v>
      </c>
      <c r="C317" s="49" t="s">
        <v>74</v>
      </c>
      <c r="D317" s="21" t="s">
        <v>394</v>
      </c>
      <c r="E317" s="18" t="s">
        <v>16</v>
      </c>
      <c r="F317" s="18" t="s">
        <v>2</v>
      </c>
      <c r="G317" s="18">
        <v>1800</v>
      </c>
      <c r="H317" s="48">
        <v>45114</v>
      </c>
      <c r="I317" s="18" t="s">
        <v>12</v>
      </c>
      <c r="J317" s="34"/>
      <c r="K317" s="18"/>
      <c r="L317" s="18"/>
    </row>
    <row r="318" spans="1:12" ht="15.75">
      <c r="A318" s="18">
        <v>388</v>
      </c>
      <c r="B318" s="18" t="s">
        <v>2</v>
      </c>
      <c r="C318" s="49" t="s">
        <v>74</v>
      </c>
      <c r="D318" s="18" t="s">
        <v>393</v>
      </c>
      <c r="E318" s="18" t="s">
        <v>193</v>
      </c>
      <c r="F318" s="18" t="s">
        <v>2</v>
      </c>
      <c r="G318" s="18">
        <v>2000</v>
      </c>
      <c r="H318" s="48">
        <v>45114</v>
      </c>
      <c r="I318" s="18" t="s">
        <v>12</v>
      </c>
      <c r="J318" s="34"/>
      <c r="K318" s="18"/>
      <c r="L318" s="18"/>
    </row>
    <row r="319" spans="1:12" ht="47.25">
      <c r="A319" s="18">
        <v>389</v>
      </c>
      <c r="B319" s="18" t="s">
        <v>2</v>
      </c>
      <c r="C319" s="49" t="s">
        <v>70</v>
      </c>
      <c r="D319" s="21" t="s">
        <v>392</v>
      </c>
      <c r="E319" s="18" t="s">
        <v>23</v>
      </c>
      <c r="F319" s="18" t="s">
        <v>2</v>
      </c>
      <c r="G319" s="18">
        <v>10000</v>
      </c>
      <c r="H319" s="48">
        <v>45114</v>
      </c>
      <c r="I319" s="18" t="s">
        <v>12</v>
      </c>
      <c r="J319" s="34"/>
      <c r="K319" s="18"/>
      <c r="L319" s="18"/>
    </row>
    <row r="320" spans="1:12" ht="31.5">
      <c r="A320" s="18">
        <v>390</v>
      </c>
      <c r="B320" s="18" t="s">
        <v>0</v>
      </c>
      <c r="C320" s="49" t="s">
        <v>126</v>
      </c>
      <c r="D320" s="21" t="s">
        <v>391</v>
      </c>
      <c r="E320" s="18" t="s">
        <v>23</v>
      </c>
      <c r="F320" s="18" t="s">
        <v>0</v>
      </c>
      <c r="G320" s="18">
        <v>10000</v>
      </c>
      <c r="H320" s="48">
        <v>45114</v>
      </c>
      <c r="I320" s="18" t="s">
        <v>12</v>
      </c>
      <c r="J320" s="34"/>
      <c r="K320" s="18"/>
      <c r="L320" s="18"/>
    </row>
    <row r="321" spans="1:12" ht="31.5">
      <c r="A321" s="18">
        <v>391</v>
      </c>
      <c r="B321" s="18" t="s">
        <v>0</v>
      </c>
      <c r="C321" s="49" t="s">
        <v>334</v>
      </c>
      <c r="D321" s="21" t="s">
        <v>390</v>
      </c>
      <c r="E321" s="18" t="s">
        <v>23</v>
      </c>
      <c r="F321" s="18" t="s">
        <v>0</v>
      </c>
      <c r="G321" s="18">
        <v>10000</v>
      </c>
      <c r="H321" s="48">
        <v>45114</v>
      </c>
      <c r="I321" s="18" t="s">
        <v>12</v>
      </c>
      <c r="J321" s="34"/>
      <c r="K321" s="18"/>
      <c r="L321" s="18"/>
    </row>
    <row r="322" spans="1:12" ht="31.5">
      <c r="A322" s="18">
        <v>392</v>
      </c>
      <c r="B322" s="18" t="s">
        <v>1</v>
      </c>
      <c r="C322" s="49" t="s">
        <v>388</v>
      </c>
      <c r="D322" s="21" t="s">
        <v>389</v>
      </c>
      <c r="E322" s="18" t="s">
        <v>13</v>
      </c>
      <c r="F322" s="18" t="s">
        <v>1</v>
      </c>
      <c r="G322" s="18">
        <v>3000</v>
      </c>
      <c r="H322" s="48">
        <v>45114</v>
      </c>
      <c r="I322" s="18" t="s">
        <v>12</v>
      </c>
      <c r="J322" s="34"/>
      <c r="K322" s="18"/>
      <c r="L322" s="18"/>
    </row>
    <row r="323" spans="1:12" ht="31.5">
      <c r="A323" s="18">
        <v>393</v>
      </c>
      <c r="B323" s="18" t="s">
        <v>1</v>
      </c>
      <c r="C323" s="49" t="s">
        <v>388</v>
      </c>
      <c r="D323" s="21" t="s">
        <v>387</v>
      </c>
      <c r="E323" s="18" t="s">
        <v>16</v>
      </c>
      <c r="F323" s="18" t="s">
        <v>1</v>
      </c>
      <c r="G323" s="18">
        <v>1800</v>
      </c>
      <c r="H323" s="48">
        <v>45114</v>
      </c>
      <c r="I323" s="18" t="s">
        <v>12</v>
      </c>
      <c r="J323" s="34"/>
      <c r="K323" s="18"/>
      <c r="L323" s="18"/>
    </row>
    <row r="324" spans="1:12" ht="15.75">
      <c r="A324" s="58"/>
      <c r="B324" s="58"/>
      <c r="C324" s="59"/>
      <c r="D324" s="58" t="s">
        <v>11</v>
      </c>
      <c r="E324" s="58"/>
      <c r="F324" s="58"/>
      <c r="G324" s="58">
        <f>SUM(G295:G323)</f>
        <v>100700</v>
      </c>
      <c r="H324" s="53"/>
      <c r="I324" s="58"/>
      <c r="J324" s="34">
        <f>G324</f>
        <v>100700</v>
      </c>
      <c r="K324" s="58"/>
      <c r="L324" s="58"/>
    </row>
    <row r="325" spans="1:12" ht="31.5">
      <c r="A325" s="18">
        <v>394</v>
      </c>
      <c r="B325" s="18" t="s">
        <v>5</v>
      </c>
      <c r="C325" s="49" t="s">
        <v>21</v>
      </c>
      <c r="D325" s="21" t="s">
        <v>386</v>
      </c>
      <c r="E325" s="18" t="s">
        <v>16</v>
      </c>
      <c r="F325" s="21" t="str">
        <f>B325</f>
        <v>ECE</v>
      </c>
      <c r="G325" s="18">
        <v>3000</v>
      </c>
      <c r="H325" s="48">
        <v>45134</v>
      </c>
      <c r="I325" s="18" t="s">
        <v>12</v>
      </c>
      <c r="J325" s="34"/>
      <c r="K325" s="18"/>
      <c r="L325" s="18"/>
    </row>
    <row r="326" spans="1:12" ht="31.5">
      <c r="A326" s="18">
        <v>395</v>
      </c>
      <c r="B326" s="18" t="s">
        <v>5</v>
      </c>
      <c r="C326" s="49" t="s">
        <v>21</v>
      </c>
      <c r="D326" s="21" t="s">
        <v>385</v>
      </c>
      <c r="E326" s="18" t="s">
        <v>16</v>
      </c>
      <c r="F326" s="21" t="str">
        <f>B326</f>
        <v>ECE</v>
      </c>
      <c r="G326" s="18">
        <v>3000</v>
      </c>
      <c r="H326" s="48">
        <v>45134</v>
      </c>
      <c r="I326" s="18" t="s">
        <v>12</v>
      </c>
      <c r="J326" s="34"/>
      <c r="K326" s="18"/>
      <c r="L326" s="18"/>
    </row>
    <row r="327" spans="1:12" ht="15.75">
      <c r="A327" s="18">
        <v>396</v>
      </c>
      <c r="B327" s="18" t="s">
        <v>5</v>
      </c>
      <c r="C327" s="49" t="s">
        <v>21</v>
      </c>
      <c r="D327" s="21" t="s">
        <v>384</v>
      </c>
      <c r="E327" s="18" t="s">
        <v>16</v>
      </c>
      <c r="F327" s="21" t="str">
        <f>B327</f>
        <v>ECE</v>
      </c>
      <c r="G327" s="18">
        <v>900</v>
      </c>
      <c r="H327" s="48">
        <v>45134</v>
      </c>
      <c r="I327" s="18" t="s">
        <v>12</v>
      </c>
      <c r="J327" s="34"/>
      <c r="K327" s="18"/>
      <c r="L327" s="18"/>
    </row>
    <row r="328" spans="1:12" ht="31.5">
      <c r="A328" s="18">
        <v>397</v>
      </c>
      <c r="B328" s="18" t="s">
        <v>5</v>
      </c>
      <c r="C328" s="49" t="s">
        <v>21</v>
      </c>
      <c r="D328" s="21" t="s">
        <v>383</v>
      </c>
      <c r="E328" s="18" t="s">
        <v>16</v>
      </c>
      <c r="F328" s="21" t="str">
        <f>B328</f>
        <v>ECE</v>
      </c>
      <c r="G328" s="18">
        <v>900</v>
      </c>
      <c r="H328" s="48">
        <v>45134</v>
      </c>
      <c r="I328" s="18" t="s">
        <v>12</v>
      </c>
      <c r="J328" s="34"/>
      <c r="K328" s="18"/>
      <c r="L328" s="18"/>
    </row>
    <row r="329" spans="1:12" ht="15.75">
      <c r="A329" s="18">
        <v>398</v>
      </c>
      <c r="B329" s="18" t="s">
        <v>5</v>
      </c>
      <c r="C329" s="49" t="s">
        <v>21</v>
      </c>
      <c r="D329" s="18" t="s">
        <v>239</v>
      </c>
      <c r="E329" s="18" t="s">
        <v>193</v>
      </c>
      <c r="F329" s="21" t="str">
        <f>B329</f>
        <v>ECE</v>
      </c>
      <c r="G329" s="18">
        <v>6000</v>
      </c>
      <c r="H329" s="48">
        <v>45134</v>
      </c>
      <c r="I329" s="18" t="s">
        <v>12</v>
      </c>
      <c r="J329" s="34"/>
      <c r="K329" s="18"/>
      <c r="L329" s="18"/>
    </row>
    <row r="330" spans="1:12" ht="15.75">
      <c r="A330" s="18">
        <v>399</v>
      </c>
      <c r="B330" s="18" t="s">
        <v>5</v>
      </c>
      <c r="C330" s="49" t="s">
        <v>170</v>
      </c>
      <c r="D330" s="21" t="s">
        <v>382</v>
      </c>
      <c r="E330" s="18" t="s">
        <v>16</v>
      </c>
      <c r="F330" s="21" t="str">
        <f>B330</f>
        <v>ECE</v>
      </c>
      <c r="G330" s="18">
        <v>3000</v>
      </c>
      <c r="H330" s="48">
        <v>45134</v>
      </c>
      <c r="I330" s="18" t="s">
        <v>12</v>
      </c>
      <c r="J330" s="34"/>
      <c r="K330" s="18"/>
      <c r="L330" s="18"/>
    </row>
    <row r="331" spans="1:12" ht="31.5">
      <c r="A331" s="18">
        <v>400</v>
      </c>
      <c r="B331" s="18" t="s">
        <v>5</v>
      </c>
      <c r="C331" s="49" t="s">
        <v>269</v>
      </c>
      <c r="D331" s="21" t="s">
        <v>381</v>
      </c>
      <c r="E331" s="18" t="s">
        <v>23</v>
      </c>
      <c r="F331" s="21" t="str">
        <f>B331</f>
        <v>ECE</v>
      </c>
      <c r="G331" s="18">
        <v>6000</v>
      </c>
      <c r="H331" s="48">
        <v>45134</v>
      </c>
      <c r="I331" s="18" t="s">
        <v>12</v>
      </c>
      <c r="J331" s="34"/>
      <c r="K331" s="18"/>
      <c r="L331" s="18"/>
    </row>
    <row r="332" spans="1:12" ht="15.75">
      <c r="A332" s="18">
        <v>401</v>
      </c>
      <c r="B332" s="18" t="s">
        <v>5</v>
      </c>
      <c r="C332" s="49" t="s">
        <v>311</v>
      </c>
      <c r="D332" s="21" t="s">
        <v>380</v>
      </c>
      <c r="E332" s="18" t="s">
        <v>16</v>
      </c>
      <c r="F332" s="21" t="str">
        <f>B332</f>
        <v>ECE</v>
      </c>
      <c r="G332" s="18">
        <v>1800</v>
      </c>
      <c r="H332" s="48">
        <v>45134</v>
      </c>
      <c r="I332" s="18" t="s">
        <v>35</v>
      </c>
      <c r="J332" s="34"/>
      <c r="K332" s="18"/>
      <c r="L332" s="18"/>
    </row>
    <row r="333" spans="1:12" ht="15.75">
      <c r="A333" s="18">
        <v>402</v>
      </c>
      <c r="B333" s="18" t="s">
        <v>5</v>
      </c>
      <c r="C333" s="49" t="s">
        <v>178</v>
      </c>
      <c r="D333" s="18" t="s">
        <v>166</v>
      </c>
      <c r="E333" s="18" t="s">
        <v>193</v>
      </c>
      <c r="F333" s="21" t="str">
        <f>B333</f>
        <v>ECE</v>
      </c>
      <c r="G333" s="18">
        <v>2000</v>
      </c>
      <c r="H333" s="48">
        <v>45134</v>
      </c>
      <c r="I333" s="18" t="s">
        <v>12</v>
      </c>
      <c r="J333" s="34"/>
      <c r="K333" s="18"/>
      <c r="L333" s="18"/>
    </row>
    <row r="334" spans="1:12" ht="15.75">
      <c r="A334" s="18">
        <v>403</v>
      </c>
      <c r="B334" s="18" t="s">
        <v>5</v>
      </c>
      <c r="C334" s="49" t="s">
        <v>26</v>
      </c>
      <c r="D334" s="21" t="s">
        <v>379</v>
      </c>
      <c r="E334" s="18" t="s">
        <v>16</v>
      </c>
      <c r="F334" s="21" t="str">
        <f>B334</f>
        <v>ECE</v>
      </c>
      <c r="G334" s="18">
        <v>3000</v>
      </c>
      <c r="H334" s="48">
        <v>45134</v>
      </c>
      <c r="I334" s="18" t="s">
        <v>12</v>
      </c>
      <c r="J334" s="34"/>
      <c r="K334" s="18"/>
      <c r="L334" s="18"/>
    </row>
    <row r="335" spans="1:12" ht="15.75">
      <c r="A335" s="18">
        <v>404</v>
      </c>
      <c r="B335" s="18" t="s">
        <v>5</v>
      </c>
      <c r="C335" s="49" t="s">
        <v>26</v>
      </c>
      <c r="D335" s="18" t="s">
        <v>166</v>
      </c>
      <c r="E335" s="18" t="s">
        <v>193</v>
      </c>
      <c r="F335" s="21" t="str">
        <f>B335</f>
        <v>ECE</v>
      </c>
      <c r="G335" s="18">
        <v>2000</v>
      </c>
      <c r="H335" s="48">
        <v>45134</v>
      </c>
      <c r="I335" s="18" t="s">
        <v>12</v>
      </c>
      <c r="J335" s="34"/>
      <c r="K335" s="18"/>
      <c r="L335" s="18"/>
    </row>
    <row r="336" spans="1:12" ht="47.25">
      <c r="A336" s="18">
        <v>405</v>
      </c>
      <c r="B336" s="18" t="s">
        <v>4</v>
      </c>
      <c r="C336" s="49" t="s">
        <v>199</v>
      </c>
      <c r="D336" s="21" t="s">
        <v>378</v>
      </c>
      <c r="E336" s="18" t="s">
        <v>23</v>
      </c>
      <c r="F336" s="21" t="str">
        <f>B336</f>
        <v>EEE</v>
      </c>
      <c r="G336" s="18">
        <v>6000</v>
      </c>
      <c r="H336" s="48">
        <v>45134</v>
      </c>
      <c r="I336" s="18" t="s">
        <v>35</v>
      </c>
      <c r="J336" s="34"/>
      <c r="K336" s="18"/>
      <c r="L336" s="18"/>
    </row>
    <row r="337" spans="1:12" ht="31.5">
      <c r="A337" s="18">
        <v>406</v>
      </c>
      <c r="B337" s="18" t="s">
        <v>5</v>
      </c>
      <c r="C337" s="49" t="s">
        <v>294</v>
      </c>
      <c r="D337" s="21" t="s">
        <v>377</v>
      </c>
      <c r="E337" s="18" t="s">
        <v>16</v>
      </c>
      <c r="F337" s="21" t="str">
        <f>B337</f>
        <v>ECE</v>
      </c>
      <c r="G337" s="18">
        <v>3000</v>
      </c>
      <c r="H337" s="48">
        <v>45134</v>
      </c>
      <c r="I337" s="18" t="s">
        <v>12</v>
      </c>
      <c r="J337" s="34"/>
      <c r="K337" s="18"/>
      <c r="L337" s="18"/>
    </row>
    <row r="338" spans="1:12" ht="31.5">
      <c r="A338" s="18">
        <v>407</v>
      </c>
      <c r="B338" s="18" t="s">
        <v>5</v>
      </c>
      <c r="C338" s="49" t="s">
        <v>294</v>
      </c>
      <c r="D338" s="21" t="s">
        <v>376</v>
      </c>
      <c r="E338" s="18" t="s">
        <v>16</v>
      </c>
      <c r="F338" s="21" t="str">
        <f>B338</f>
        <v>ECE</v>
      </c>
      <c r="G338" s="18">
        <v>3000</v>
      </c>
      <c r="H338" s="48">
        <v>45134</v>
      </c>
      <c r="I338" s="18" t="s">
        <v>12</v>
      </c>
      <c r="J338" s="34"/>
      <c r="K338" s="18"/>
      <c r="L338" s="18"/>
    </row>
    <row r="339" spans="1:12" ht="31.5">
      <c r="A339" s="18">
        <v>408</v>
      </c>
      <c r="B339" s="18" t="s">
        <v>5</v>
      </c>
      <c r="C339" s="49" t="s">
        <v>294</v>
      </c>
      <c r="D339" s="21" t="s">
        <v>375</v>
      </c>
      <c r="E339" s="18" t="s">
        <v>16</v>
      </c>
      <c r="F339" s="21" t="str">
        <f>B339</f>
        <v>ECE</v>
      </c>
      <c r="G339" s="18">
        <v>3000</v>
      </c>
      <c r="H339" s="48">
        <v>45134</v>
      </c>
      <c r="I339" s="18" t="s">
        <v>12</v>
      </c>
      <c r="J339" s="34"/>
      <c r="K339" s="18"/>
      <c r="L339" s="18"/>
    </row>
    <row r="340" spans="1:12" ht="15.75">
      <c r="A340" s="18">
        <v>409</v>
      </c>
      <c r="B340" s="18" t="s">
        <v>5</v>
      </c>
      <c r="C340" s="49" t="s">
        <v>66</v>
      </c>
      <c r="D340" s="21" t="s">
        <v>374</v>
      </c>
      <c r="E340" s="18" t="s">
        <v>16</v>
      </c>
      <c r="F340" s="21" t="str">
        <f>B340</f>
        <v>ECE</v>
      </c>
      <c r="G340" s="18">
        <v>3000</v>
      </c>
      <c r="H340" s="48">
        <v>45134</v>
      </c>
      <c r="I340" s="18" t="s">
        <v>35</v>
      </c>
      <c r="J340" s="34"/>
      <c r="K340" s="18"/>
      <c r="L340" s="18"/>
    </row>
    <row r="341" spans="1:12" ht="15.75">
      <c r="A341" s="18">
        <v>410</v>
      </c>
      <c r="B341" s="18" t="s">
        <v>5</v>
      </c>
      <c r="C341" s="49" t="s">
        <v>66</v>
      </c>
      <c r="D341" s="21" t="s">
        <v>373</v>
      </c>
      <c r="E341" s="18" t="s">
        <v>16</v>
      </c>
      <c r="F341" s="21" t="str">
        <f>B341</f>
        <v>ECE</v>
      </c>
      <c r="G341" s="18">
        <v>3000</v>
      </c>
      <c r="H341" s="48">
        <v>45134</v>
      </c>
      <c r="I341" s="18" t="s">
        <v>35</v>
      </c>
      <c r="J341" s="34"/>
      <c r="K341" s="18"/>
      <c r="L341" s="18"/>
    </row>
    <row r="342" spans="1:12" ht="15.75">
      <c r="A342" s="18">
        <v>411</v>
      </c>
      <c r="B342" s="18" t="s">
        <v>5</v>
      </c>
      <c r="C342" s="49" t="s">
        <v>72</v>
      </c>
      <c r="D342" s="18" t="s">
        <v>162</v>
      </c>
      <c r="E342" s="18" t="s">
        <v>193</v>
      </c>
      <c r="F342" s="21" t="str">
        <f>B342</f>
        <v>ECE</v>
      </c>
      <c r="G342" s="18">
        <v>6000</v>
      </c>
      <c r="H342" s="48">
        <v>45134</v>
      </c>
      <c r="I342" s="18" t="s">
        <v>35</v>
      </c>
      <c r="J342" s="34"/>
      <c r="K342" s="18"/>
      <c r="L342" s="18"/>
    </row>
    <row r="343" spans="1:12" ht="15.75">
      <c r="A343" s="18">
        <v>412</v>
      </c>
      <c r="B343" s="18" t="s">
        <v>2</v>
      </c>
      <c r="C343" s="49" t="s">
        <v>48</v>
      </c>
      <c r="D343" s="18" t="s">
        <v>319</v>
      </c>
      <c r="E343" s="18" t="s">
        <v>193</v>
      </c>
      <c r="F343" s="21" t="str">
        <f>B343</f>
        <v>Mech</v>
      </c>
      <c r="G343" s="18">
        <v>8000</v>
      </c>
      <c r="H343" s="48">
        <v>45134</v>
      </c>
      <c r="I343" s="18" t="s">
        <v>12</v>
      </c>
      <c r="J343" s="34"/>
      <c r="K343" s="18"/>
      <c r="L343" s="18"/>
    </row>
    <row r="344" spans="1:12" ht="31.5">
      <c r="A344" s="18">
        <v>413</v>
      </c>
      <c r="B344" s="18" t="s">
        <v>3</v>
      </c>
      <c r="C344" s="49" t="s">
        <v>58</v>
      </c>
      <c r="D344" s="21" t="s">
        <v>372</v>
      </c>
      <c r="E344" s="18" t="s">
        <v>13</v>
      </c>
      <c r="F344" s="21" t="str">
        <f>B344</f>
        <v>IT</v>
      </c>
      <c r="G344" s="18">
        <v>5000</v>
      </c>
      <c r="H344" s="48">
        <v>45134</v>
      </c>
      <c r="I344" s="18" t="s">
        <v>35</v>
      </c>
      <c r="J344" s="34"/>
      <c r="K344" s="18"/>
      <c r="L344" s="18"/>
    </row>
    <row r="345" spans="1:12" ht="31.5">
      <c r="A345" s="18">
        <v>414</v>
      </c>
      <c r="B345" s="18" t="s">
        <v>6</v>
      </c>
      <c r="C345" s="49" t="s">
        <v>369</v>
      </c>
      <c r="D345" s="21" t="s">
        <v>371</v>
      </c>
      <c r="E345" s="18" t="s">
        <v>16</v>
      </c>
      <c r="F345" s="21" t="str">
        <f>B345</f>
        <v>CSE</v>
      </c>
      <c r="G345" s="18">
        <v>1800</v>
      </c>
      <c r="H345" s="48">
        <v>45134</v>
      </c>
      <c r="I345" s="18" t="s">
        <v>35</v>
      </c>
      <c r="J345" s="34"/>
      <c r="K345" s="18"/>
      <c r="L345" s="18"/>
    </row>
    <row r="346" spans="1:12" ht="15.75">
      <c r="A346" s="18">
        <v>415</v>
      </c>
      <c r="B346" s="18" t="s">
        <v>6</v>
      </c>
      <c r="C346" s="49" t="s">
        <v>369</v>
      </c>
      <c r="D346" s="21" t="s">
        <v>370</v>
      </c>
      <c r="E346" s="18" t="s">
        <v>16</v>
      </c>
      <c r="F346" s="21" t="str">
        <f>B346</f>
        <v>CSE</v>
      </c>
      <c r="G346" s="18">
        <v>1800</v>
      </c>
      <c r="H346" s="48">
        <v>45134</v>
      </c>
      <c r="I346" s="18" t="s">
        <v>35</v>
      </c>
      <c r="J346" s="34"/>
      <c r="K346" s="18"/>
      <c r="L346" s="18"/>
    </row>
    <row r="347" spans="1:12" ht="15.75">
      <c r="A347" s="18">
        <v>416</v>
      </c>
      <c r="B347" s="18" t="s">
        <v>6</v>
      </c>
      <c r="C347" s="49" t="s">
        <v>369</v>
      </c>
      <c r="D347" s="21" t="s">
        <v>368</v>
      </c>
      <c r="E347" s="18" t="s">
        <v>16</v>
      </c>
      <c r="F347" s="21" t="str">
        <f>B347</f>
        <v>CSE</v>
      </c>
      <c r="G347" s="18">
        <v>1800</v>
      </c>
      <c r="H347" s="48">
        <v>45134</v>
      </c>
      <c r="I347" s="18" t="s">
        <v>12</v>
      </c>
      <c r="J347" s="34"/>
      <c r="K347" s="18"/>
      <c r="L347" s="18"/>
    </row>
    <row r="348" spans="1:12" ht="47.25">
      <c r="A348" s="18">
        <v>417</v>
      </c>
      <c r="B348" s="18" t="s">
        <v>2</v>
      </c>
      <c r="C348" s="49" t="s">
        <v>367</v>
      </c>
      <c r="D348" s="21" t="s">
        <v>366</v>
      </c>
      <c r="E348" s="18" t="s">
        <v>23</v>
      </c>
      <c r="F348" s="21" t="str">
        <f>B348</f>
        <v>Mech</v>
      </c>
      <c r="G348" s="18">
        <v>10000</v>
      </c>
      <c r="H348" s="48">
        <v>45134</v>
      </c>
      <c r="I348" s="18" t="s">
        <v>12</v>
      </c>
      <c r="J348" s="34"/>
      <c r="K348" s="18"/>
      <c r="L348" s="18"/>
    </row>
    <row r="349" spans="1:12" ht="15.75">
      <c r="A349" s="18">
        <v>418</v>
      </c>
      <c r="B349" s="18" t="s">
        <v>5</v>
      </c>
      <c r="C349" s="49" t="s">
        <v>115</v>
      </c>
      <c r="D349" s="21" t="s">
        <v>365</v>
      </c>
      <c r="E349" s="18" t="s">
        <v>16</v>
      </c>
      <c r="F349" s="21" t="str">
        <f>B349</f>
        <v>ECE</v>
      </c>
      <c r="G349" s="18">
        <v>900</v>
      </c>
      <c r="H349" s="48">
        <v>45134</v>
      </c>
      <c r="I349" s="18" t="s">
        <v>12</v>
      </c>
      <c r="J349" s="34"/>
      <c r="K349" s="18"/>
      <c r="L349" s="18"/>
    </row>
    <row r="350" spans="1:12" ht="15.75">
      <c r="A350" s="18">
        <v>419</v>
      </c>
      <c r="B350" s="18" t="s">
        <v>5</v>
      </c>
      <c r="C350" s="49" t="s">
        <v>115</v>
      </c>
      <c r="D350" s="18" t="s">
        <v>166</v>
      </c>
      <c r="E350" s="18" t="s">
        <v>193</v>
      </c>
      <c r="F350" s="21" t="str">
        <f>B350</f>
        <v>ECE</v>
      </c>
      <c r="G350" s="18">
        <v>2000</v>
      </c>
      <c r="H350" s="48">
        <v>45134</v>
      </c>
      <c r="I350" s="18" t="s">
        <v>12</v>
      </c>
      <c r="J350" s="34"/>
      <c r="K350" s="18"/>
      <c r="L350" s="18"/>
    </row>
    <row r="351" spans="1:12" ht="15.75">
      <c r="A351" s="58"/>
      <c r="B351" s="58"/>
      <c r="C351" s="59"/>
      <c r="D351" s="58" t="s">
        <v>11</v>
      </c>
      <c r="E351" s="58"/>
      <c r="F351" s="41">
        <f>B351</f>
        <v>0</v>
      </c>
      <c r="G351" s="58">
        <f>SUM(G325:G350)</f>
        <v>89900</v>
      </c>
      <c r="H351" s="53"/>
      <c r="I351" s="58"/>
      <c r="J351" s="34">
        <f>G351</f>
        <v>89900</v>
      </c>
      <c r="K351" s="58"/>
      <c r="L351" s="58"/>
    </row>
    <row r="352" spans="1:12" ht="47.25">
      <c r="A352" s="18">
        <v>420</v>
      </c>
      <c r="B352" s="18" t="s">
        <v>2</v>
      </c>
      <c r="C352" s="49" t="s">
        <v>209</v>
      </c>
      <c r="D352" s="21" t="s">
        <v>364</v>
      </c>
      <c r="E352" s="18" t="s">
        <v>23</v>
      </c>
      <c r="F352" s="21" t="str">
        <f>B352</f>
        <v>Mech</v>
      </c>
      <c r="G352" s="18">
        <v>10000</v>
      </c>
      <c r="H352" s="48">
        <v>45147</v>
      </c>
      <c r="I352" s="18" t="s">
        <v>12</v>
      </c>
      <c r="J352" s="34"/>
      <c r="K352" s="18"/>
      <c r="L352" s="18"/>
    </row>
    <row r="353" spans="1:12" ht="47.25">
      <c r="A353" s="18">
        <v>421</v>
      </c>
      <c r="B353" s="18" t="s">
        <v>2</v>
      </c>
      <c r="C353" s="49" t="s">
        <v>99</v>
      </c>
      <c r="D353" s="21" t="s">
        <v>363</v>
      </c>
      <c r="E353" s="18" t="s">
        <v>23</v>
      </c>
      <c r="F353" s="21" t="str">
        <f>B353</f>
        <v>Mech</v>
      </c>
      <c r="G353" s="18">
        <v>10000</v>
      </c>
      <c r="H353" s="48">
        <v>45147</v>
      </c>
      <c r="I353" s="18" t="s">
        <v>12</v>
      </c>
      <c r="J353" s="34"/>
      <c r="K353" s="18"/>
      <c r="L353" s="18"/>
    </row>
    <row r="354" spans="1:12" ht="47.25">
      <c r="A354" s="18">
        <v>422</v>
      </c>
      <c r="B354" s="18" t="s">
        <v>2</v>
      </c>
      <c r="C354" s="49" t="s">
        <v>99</v>
      </c>
      <c r="D354" s="21" t="s">
        <v>362</v>
      </c>
      <c r="E354" s="18" t="s">
        <v>23</v>
      </c>
      <c r="F354" s="21" t="str">
        <f>B354</f>
        <v>Mech</v>
      </c>
      <c r="G354" s="18">
        <v>10000</v>
      </c>
      <c r="H354" s="48">
        <v>45147</v>
      </c>
      <c r="I354" s="18" t="s">
        <v>12</v>
      </c>
      <c r="J354" s="34"/>
      <c r="K354" s="18"/>
      <c r="L354" s="18"/>
    </row>
    <row r="355" spans="1:12" ht="47.25">
      <c r="A355" s="18">
        <v>423</v>
      </c>
      <c r="B355" s="18" t="s">
        <v>2</v>
      </c>
      <c r="C355" s="49" t="s">
        <v>209</v>
      </c>
      <c r="D355" s="21" t="s">
        <v>361</v>
      </c>
      <c r="E355" s="18" t="s">
        <v>23</v>
      </c>
      <c r="F355" s="21" t="str">
        <f>B355</f>
        <v>Mech</v>
      </c>
      <c r="G355" s="18">
        <v>10000</v>
      </c>
      <c r="H355" s="48">
        <v>45147</v>
      </c>
      <c r="I355" s="18" t="s">
        <v>12</v>
      </c>
      <c r="J355" s="34"/>
      <c r="K355" s="18"/>
      <c r="L355" s="18"/>
    </row>
    <row r="356" spans="1:12" ht="31.5">
      <c r="A356" s="18">
        <v>424</v>
      </c>
      <c r="B356" s="18" t="s">
        <v>3</v>
      </c>
      <c r="C356" s="49" t="s">
        <v>360</v>
      </c>
      <c r="D356" s="21" t="s">
        <v>359</v>
      </c>
      <c r="E356" s="18" t="s">
        <v>16</v>
      </c>
      <c r="F356" s="21" t="str">
        <f>B356</f>
        <v>IT</v>
      </c>
      <c r="G356" s="18">
        <v>3000</v>
      </c>
      <c r="H356" s="48">
        <v>45147</v>
      </c>
      <c r="I356" s="18" t="s">
        <v>12</v>
      </c>
      <c r="J356" s="34"/>
      <c r="K356" s="18"/>
      <c r="L356" s="18"/>
    </row>
    <row r="357" spans="1:12" ht="15.75">
      <c r="A357" s="18">
        <v>425</v>
      </c>
      <c r="B357" s="18" t="s">
        <v>5</v>
      </c>
      <c r="C357" s="49" t="s">
        <v>170</v>
      </c>
      <c r="D357" s="18" t="s">
        <v>162</v>
      </c>
      <c r="E357" s="18" t="s">
        <v>193</v>
      </c>
      <c r="F357" s="21" t="str">
        <f>B357</f>
        <v>ECE</v>
      </c>
      <c r="G357" s="18">
        <v>2000</v>
      </c>
      <c r="H357" s="48">
        <v>45147</v>
      </c>
      <c r="I357" s="18" t="s">
        <v>12</v>
      </c>
      <c r="J357" s="34"/>
      <c r="K357" s="18"/>
      <c r="L357" s="18"/>
    </row>
    <row r="358" spans="1:12" ht="31.5">
      <c r="A358" s="18">
        <v>426</v>
      </c>
      <c r="B358" s="18" t="s">
        <v>5</v>
      </c>
      <c r="C358" s="49" t="s">
        <v>26</v>
      </c>
      <c r="D358" s="21" t="s">
        <v>358</v>
      </c>
      <c r="E358" s="18" t="s">
        <v>13</v>
      </c>
      <c r="F358" s="21" t="str">
        <f>B358</f>
        <v>ECE</v>
      </c>
      <c r="G358" s="18">
        <v>3000</v>
      </c>
      <c r="H358" s="48">
        <v>45147</v>
      </c>
      <c r="I358" s="18" t="s">
        <v>12</v>
      </c>
      <c r="J358" s="34"/>
      <c r="K358" s="18"/>
      <c r="L358" s="18"/>
    </row>
    <row r="359" spans="1:12" ht="31.5">
      <c r="A359" s="18">
        <v>427</v>
      </c>
      <c r="B359" s="18" t="s">
        <v>0</v>
      </c>
      <c r="C359" s="49" t="s">
        <v>126</v>
      </c>
      <c r="D359" s="21" t="s">
        <v>357</v>
      </c>
      <c r="E359" s="18" t="s">
        <v>23</v>
      </c>
      <c r="F359" s="21" t="str">
        <f>B359</f>
        <v>Maths</v>
      </c>
      <c r="G359" s="18">
        <v>10000</v>
      </c>
      <c r="H359" s="48">
        <v>45147</v>
      </c>
      <c r="I359" s="18" t="s">
        <v>12</v>
      </c>
      <c r="J359" s="34"/>
      <c r="K359" s="18"/>
      <c r="L359" s="18"/>
    </row>
    <row r="360" spans="1:12" ht="47.25">
      <c r="A360" s="18">
        <v>428</v>
      </c>
      <c r="B360" s="18" t="s">
        <v>0</v>
      </c>
      <c r="C360" s="49" t="s">
        <v>126</v>
      </c>
      <c r="D360" s="21" t="s">
        <v>356</v>
      </c>
      <c r="E360" s="18" t="s">
        <v>13</v>
      </c>
      <c r="F360" s="21" t="str">
        <f>B360</f>
        <v>Maths</v>
      </c>
      <c r="G360" s="18">
        <v>5000</v>
      </c>
      <c r="H360" s="48">
        <v>45147</v>
      </c>
      <c r="I360" s="18" t="s">
        <v>12</v>
      </c>
      <c r="J360" s="34"/>
      <c r="K360" s="18"/>
      <c r="L360" s="18"/>
    </row>
    <row r="361" spans="1:12" ht="31.5">
      <c r="A361" s="18">
        <v>429</v>
      </c>
      <c r="B361" s="18" t="s">
        <v>0</v>
      </c>
      <c r="C361" s="49" t="s">
        <v>126</v>
      </c>
      <c r="D361" s="21" t="s">
        <v>355</v>
      </c>
      <c r="E361" s="18" t="s">
        <v>16</v>
      </c>
      <c r="F361" s="21" t="str">
        <f>B361</f>
        <v>Maths</v>
      </c>
      <c r="G361" s="18">
        <v>1500</v>
      </c>
      <c r="H361" s="48">
        <v>45147</v>
      </c>
      <c r="I361" s="18" t="s">
        <v>12</v>
      </c>
      <c r="J361" s="34"/>
      <c r="K361" s="18"/>
      <c r="L361" s="18"/>
    </row>
    <row r="362" spans="1:12" ht="15.75">
      <c r="A362" s="18">
        <v>430</v>
      </c>
      <c r="B362" s="18" t="s">
        <v>0</v>
      </c>
      <c r="C362" s="49" t="s">
        <v>126</v>
      </c>
      <c r="D362" s="29" t="s">
        <v>354</v>
      </c>
      <c r="E362" s="18" t="s">
        <v>193</v>
      </c>
      <c r="F362" s="21" t="str">
        <f>B362</f>
        <v>Maths</v>
      </c>
      <c r="G362" s="18">
        <v>4000</v>
      </c>
      <c r="H362" s="48">
        <v>45147</v>
      </c>
      <c r="I362" s="18" t="s">
        <v>12</v>
      </c>
      <c r="J362" s="34"/>
      <c r="K362" s="18"/>
      <c r="L362" s="18"/>
    </row>
    <row r="363" spans="1:12" ht="31.5">
      <c r="A363" s="18">
        <v>431</v>
      </c>
      <c r="B363" s="18" t="s">
        <v>1</v>
      </c>
      <c r="C363" s="49" t="s">
        <v>45</v>
      </c>
      <c r="D363" s="21" t="s">
        <v>353</v>
      </c>
      <c r="E363" s="18" t="s">
        <v>13</v>
      </c>
      <c r="F363" s="21" t="str">
        <f>B363</f>
        <v>S&amp;H</v>
      </c>
      <c r="G363" s="18">
        <v>5000</v>
      </c>
      <c r="H363" s="48">
        <v>45147</v>
      </c>
      <c r="I363" s="18" t="s">
        <v>12</v>
      </c>
      <c r="J363" s="34"/>
      <c r="K363" s="18"/>
      <c r="L363" s="18"/>
    </row>
    <row r="364" spans="1:12" ht="31.5">
      <c r="A364" s="18">
        <v>432</v>
      </c>
      <c r="B364" s="18" t="s">
        <v>1</v>
      </c>
      <c r="C364" s="49" t="s">
        <v>45</v>
      </c>
      <c r="D364" s="21" t="s">
        <v>352</v>
      </c>
      <c r="E364" s="18" t="s">
        <v>16</v>
      </c>
      <c r="F364" s="21" t="str">
        <f>B364</f>
        <v>S&amp;H</v>
      </c>
      <c r="G364" s="18">
        <v>900</v>
      </c>
      <c r="H364" s="48">
        <v>45147</v>
      </c>
      <c r="I364" s="18" t="s">
        <v>12</v>
      </c>
      <c r="J364" s="34"/>
      <c r="K364" s="18"/>
      <c r="L364" s="18"/>
    </row>
    <row r="365" spans="1:12" ht="15.75">
      <c r="A365" s="18">
        <v>433</v>
      </c>
      <c r="B365" s="18" t="s">
        <v>1</v>
      </c>
      <c r="C365" s="49" t="s">
        <v>140</v>
      </c>
      <c r="D365" s="18" t="s">
        <v>166</v>
      </c>
      <c r="E365" s="18" t="s">
        <v>193</v>
      </c>
      <c r="F365" s="21" t="str">
        <f>B365</f>
        <v>S&amp;H</v>
      </c>
      <c r="G365" s="18">
        <v>2000</v>
      </c>
      <c r="H365" s="48">
        <v>45147</v>
      </c>
      <c r="I365" s="18" t="s">
        <v>12</v>
      </c>
      <c r="J365" s="34"/>
      <c r="K365" s="18"/>
      <c r="L365" s="18"/>
    </row>
    <row r="366" spans="1:12" ht="31.5">
      <c r="A366" s="18">
        <v>434</v>
      </c>
      <c r="B366" s="18" t="s">
        <v>0</v>
      </c>
      <c r="C366" s="49" t="s">
        <v>334</v>
      </c>
      <c r="D366" s="21" t="s">
        <v>351</v>
      </c>
      <c r="E366" s="18" t="s">
        <v>23</v>
      </c>
      <c r="F366" s="21" t="str">
        <f>B366</f>
        <v>Maths</v>
      </c>
      <c r="G366" s="18">
        <v>10000</v>
      </c>
      <c r="H366" s="48">
        <v>45147</v>
      </c>
      <c r="I366" s="18" t="s">
        <v>12</v>
      </c>
      <c r="J366" s="34"/>
      <c r="K366" s="18"/>
      <c r="L366" s="18"/>
    </row>
    <row r="367" spans="1:12" ht="31.5">
      <c r="A367" s="18">
        <v>435</v>
      </c>
      <c r="B367" s="18" t="s">
        <v>0</v>
      </c>
      <c r="C367" s="49" t="s">
        <v>334</v>
      </c>
      <c r="D367" s="21" t="s">
        <v>350</v>
      </c>
      <c r="E367" s="18" t="s">
        <v>23</v>
      </c>
      <c r="F367" s="21" t="str">
        <f>B367</f>
        <v>Maths</v>
      </c>
      <c r="G367" s="18">
        <v>6000</v>
      </c>
      <c r="H367" s="48">
        <v>45147</v>
      </c>
      <c r="I367" s="18" t="s">
        <v>12</v>
      </c>
      <c r="J367" s="34"/>
      <c r="K367" s="18"/>
      <c r="L367" s="18"/>
    </row>
    <row r="368" spans="1:12" ht="31.5">
      <c r="A368" s="18">
        <v>436</v>
      </c>
      <c r="B368" s="18" t="s">
        <v>8</v>
      </c>
      <c r="C368" s="49" t="s">
        <v>349</v>
      </c>
      <c r="D368" s="21" t="s">
        <v>348</v>
      </c>
      <c r="E368" s="18" t="s">
        <v>16</v>
      </c>
      <c r="F368" s="21" t="str">
        <f>B368</f>
        <v>CCE</v>
      </c>
      <c r="G368" s="18">
        <v>3000</v>
      </c>
      <c r="H368" s="48">
        <v>45147</v>
      </c>
      <c r="I368" s="18" t="s">
        <v>12</v>
      </c>
      <c r="J368" s="34"/>
      <c r="K368" s="18"/>
      <c r="L368" s="18"/>
    </row>
    <row r="369" spans="1:12" ht="31.5">
      <c r="A369" s="18">
        <v>437</v>
      </c>
      <c r="B369" s="18" t="s">
        <v>8</v>
      </c>
      <c r="C369" s="49" t="s">
        <v>34</v>
      </c>
      <c r="D369" s="21" t="s">
        <v>347</v>
      </c>
      <c r="E369" s="18" t="s">
        <v>16</v>
      </c>
      <c r="F369" s="21" t="str">
        <f>B369</f>
        <v>CCE</v>
      </c>
      <c r="G369" s="18">
        <v>3000</v>
      </c>
      <c r="H369" s="48">
        <v>45147</v>
      </c>
      <c r="I369" s="18" t="s">
        <v>12</v>
      </c>
      <c r="J369" s="34"/>
      <c r="K369" s="18"/>
      <c r="L369" s="18"/>
    </row>
    <row r="370" spans="1:12" ht="47.25">
      <c r="A370" s="18">
        <v>438</v>
      </c>
      <c r="B370" s="18" t="s">
        <v>8</v>
      </c>
      <c r="C370" s="49" t="s">
        <v>278</v>
      </c>
      <c r="D370" s="21" t="s">
        <v>346</v>
      </c>
      <c r="E370" s="18" t="s">
        <v>23</v>
      </c>
      <c r="F370" s="21" t="str">
        <f>B370</f>
        <v>CCE</v>
      </c>
      <c r="G370" s="18">
        <v>10000</v>
      </c>
      <c r="H370" s="48">
        <v>45147</v>
      </c>
      <c r="I370" s="18" t="s">
        <v>12</v>
      </c>
      <c r="J370" s="34"/>
      <c r="K370" s="18"/>
      <c r="L370" s="18"/>
    </row>
    <row r="371" spans="1:12" ht="63">
      <c r="A371" s="18">
        <v>439</v>
      </c>
      <c r="B371" s="18" t="s">
        <v>4</v>
      </c>
      <c r="C371" s="49" t="s">
        <v>199</v>
      </c>
      <c r="D371" s="21" t="s">
        <v>345</v>
      </c>
      <c r="E371" s="18" t="s">
        <v>23</v>
      </c>
      <c r="F371" s="21" t="str">
        <f>B371</f>
        <v>EEE</v>
      </c>
      <c r="G371" s="18">
        <v>6000</v>
      </c>
      <c r="H371" s="48">
        <v>45147</v>
      </c>
      <c r="I371" s="18" t="s">
        <v>35</v>
      </c>
      <c r="J371" s="34"/>
      <c r="K371" s="18"/>
      <c r="L371" s="18"/>
    </row>
    <row r="372" spans="1:12" ht="47.25">
      <c r="A372" s="18">
        <v>440</v>
      </c>
      <c r="B372" s="18" t="s">
        <v>4</v>
      </c>
      <c r="C372" s="49" t="s">
        <v>199</v>
      </c>
      <c r="D372" s="21" t="s">
        <v>344</v>
      </c>
      <c r="E372" s="18" t="s">
        <v>13</v>
      </c>
      <c r="F372" s="21" t="str">
        <f>B372</f>
        <v>EEE</v>
      </c>
      <c r="G372" s="18">
        <v>1800</v>
      </c>
      <c r="H372" s="48">
        <v>45147</v>
      </c>
      <c r="I372" s="18" t="s">
        <v>35</v>
      </c>
      <c r="J372" s="34"/>
      <c r="K372" s="18"/>
      <c r="L372" s="18"/>
    </row>
    <row r="373" spans="1:12" ht="15.75">
      <c r="A373" s="18">
        <v>441</v>
      </c>
      <c r="B373" s="18" t="s">
        <v>4</v>
      </c>
      <c r="C373" s="49" t="s">
        <v>199</v>
      </c>
      <c r="D373" s="21" t="s">
        <v>343</v>
      </c>
      <c r="E373" s="18" t="s">
        <v>16</v>
      </c>
      <c r="F373" s="21" t="str">
        <f>B373</f>
        <v>EEE</v>
      </c>
      <c r="G373" s="18">
        <v>3000</v>
      </c>
      <c r="H373" s="48">
        <v>45147</v>
      </c>
      <c r="I373" s="18" t="s">
        <v>35</v>
      </c>
      <c r="J373" s="34"/>
      <c r="K373" s="18"/>
      <c r="L373" s="18"/>
    </row>
    <row r="374" spans="1:12" ht="31.5">
      <c r="A374" s="18">
        <v>442</v>
      </c>
      <c r="B374" s="18" t="s">
        <v>4</v>
      </c>
      <c r="C374" s="49" t="s">
        <v>63</v>
      </c>
      <c r="D374" s="21" t="s">
        <v>342</v>
      </c>
      <c r="E374" s="18" t="s">
        <v>16</v>
      </c>
      <c r="F374" s="21" t="str">
        <f>B374</f>
        <v>EEE</v>
      </c>
      <c r="G374" s="18">
        <v>3000</v>
      </c>
      <c r="H374" s="48">
        <v>45147</v>
      </c>
      <c r="I374" s="18" t="s">
        <v>12</v>
      </c>
      <c r="J374" s="34"/>
      <c r="K374" s="18"/>
      <c r="L374" s="18"/>
    </row>
    <row r="375" spans="1:12" ht="63">
      <c r="A375" s="18">
        <v>443</v>
      </c>
      <c r="B375" s="18" t="s">
        <v>6</v>
      </c>
      <c r="C375" s="49" t="s">
        <v>340</v>
      </c>
      <c r="D375" s="21" t="s">
        <v>341</v>
      </c>
      <c r="E375" s="18" t="s">
        <v>13</v>
      </c>
      <c r="F375" s="21" t="str">
        <f>B375</f>
        <v>CSE</v>
      </c>
      <c r="G375" s="18">
        <v>5000</v>
      </c>
      <c r="H375" s="48">
        <v>45147</v>
      </c>
      <c r="I375" s="18" t="s">
        <v>12</v>
      </c>
      <c r="J375" s="34"/>
      <c r="K375" s="18"/>
      <c r="L375" s="18"/>
    </row>
    <row r="376" spans="1:12" ht="31.5">
      <c r="A376" s="18">
        <v>444</v>
      </c>
      <c r="B376" s="18" t="s">
        <v>6</v>
      </c>
      <c r="C376" s="49" t="s">
        <v>340</v>
      </c>
      <c r="D376" s="21" t="s">
        <v>339</v>
      </c>
      <c r="E376" s="18" t="s">
        <v>16</v>
      </c>
      <c r="F376" s="21" t="str">
        <f>B376</f>
        <v>CSE</v>
      </c>
      <c r="G376" s="18">
        <v>1500</v>
      </c>
      <c r="H376" s="48">
        <v>45147</v>
      </c>
      <c r="I376" s="18" t="s">
        <v>12</v>
      </c>
      <c r="J376" s="34"/>
      <c r="K376" s="18"/>
      <c r="L376" s="18"/>
    </row>
    <row r="377" spans="1:12" ht="31.5">
      <c r="A377" s="18">
        <v>445</v>
      </c>
      <c r="B377" s="18" t="s">
        <v>6</v>
      </c>
      <c r="C377" s="49" t="s">
        <v>337</v>
      </c>
      <c r="D377" s="57" t="s">
        <v>338</v>
      </c>
      <c r="E377" s="18" t="s">
        <v>23</v>
      </c>
      <c r="F377" s="21" t="str">
        <f>B377</f>
        <v>CSE</v>
      </c>
      <c r="G377" s="18">
        <v>6000</v>
      </c>
      <c r="H377" s="48">
        <v>45147</v>
      </c>
      <c r="I377" s="18" t="s">
        <v>12</v>
      </c>
      <c r="J377" s="34"/>
      <c r="K377" s="18"/>
      <c r="L377" s="18"/>
    </row>
    <row r="378" spans="1:12" ht="31.5">
      <c r="A378" s="18">
        <v>446</v>
      </c>
      <c r="B378" s="18" t="s">
        <v>6</v>
      </c>
      <c r="C378" s="49" t="s">
        <v>337</v>
      </c>
      <c r="D378" s="57" t="s">
        <v>336</v>
      </c>
      <c r="E378" s="18" t="s">
        <v>16</v>
      </c>
      <c r="F378" s="21" t="str">
        <f>B378</f>
        <v>CSE</v>
      </c>
      <c r="G378" s="18">
        <v>3000</v>
      </c>
      <c r="H378" s="48">
        <v>45147</v>
      </c>
      <c r="I378" s="18" t="s">
        <v>12</v>
      </c>
      <c r="J378" s="34"/>
      <c r="K378" s="18"/>
      <c r="L378" s="18"/>
    </row>
    <row r="379" spans="1:12" ht="31.5">
      <c r="A379" s="18">
        <v>447</v>
      </c>
      <c r="B379" s="18" t="s">
        <v>5</v>
      </c>
      <c r="C379" s="49" t="s">
        <v>178</v>
      </c>
      <c r="D379" s="57" t="s">
        <v>335</v>
      </c>
      <c r="E379" s="18" t="s">
        <v>23</v>
      </c>
      <c r="F379" s="21" t="str">
        <f>B379</f>
        <v>ECE</v>
      </c>
      <c r="G379" s="18">
        <v>10000</v>
      </c>
      <c r="H379" s="48">
        <v>45147</v>
      </c>
      <c r="I379" s="18" t="s">
        <v>12</v>
      </c>
      <c r="J379" s="34"/>
      <c r="K379" s="18"/>
      <c r="L379" s="18"/>
    </row>
    <row r="380" spans="1:12" ht="15.75">
      <c r="A380" s="46"/>
      <c r="B380" s="46"/>
      <c r="C380" s="56"/>
      <c r="D380" s="46" t="s">
        <v>11</v>
      </c>
      <c r="E380" s="46"/>
      <c r="F380" s="46">
        <f>B380</f>
        <v>0</v>
      </c>
      <c r="G380" s="46">
        <f>SUM(G352:G379)</f>
        <v>147700</v>
      </c>
      <c r="H380" s="53"/>
      <c r="I380" s="46"/>
      <c r="J380" s="34">
        <f>G380</f>
        <v>147700</v>
      </c>
      <c r="K380" s="46"/>
      <c r="L380" s="46"/>
    </row>
    <row r="381" spans="1:12" ht="31.5">
      <c r="A381" s="18">
        <v>448</v>
      </c>
      <c r="B381" s="18" t="s">
        <v>0</v>
      </c>
      <c r="C381" s="49" t="s">
        <v>334</v>
      </c>
      <c r="D381" s="21" t="s">
        <v>333</v>
      </c>
      <c r="E381" s="18" t="s">
        <v>23</v>
      </c>
      <c r="F381" s="21" t="str">
        <f>B381</f>
        <v>Maths</v>
      </c>
      <c r="G381" s="18">
        <v>10000</v>
      </c>
      <c r="H381" s="48">
        <v>45161</v>
      </c>
      <c r="I381" s="18" t="s">
        <v>35</v>
      </c>
      <c r="J381" s="34"/>
      <c r="K381" s="18"/>
      <c r="L381" s="18"/>
    </row>
    <row r="382" spans="1:12" ht="47.25">
      <c r="A382" s="18">
        <v>449</v>
      </c>
      <c r="B382" s="18" t="s">
        <v>0</v>
      </c>
      <c r="C382" s="49" t="s">
        <v>249</v>
      </c>
      <c r="D382" s="21" t="s">
        <v>332</v>
      </c>
      <c r="E382" s="18" t="s">
        <v>23</v>
      </c>
      <c r="F382" s="21" t="str">
        <f>B382</f>
        <v>Maths</v>
      </c>
      <c r="G382" s="18">
        <v>6000</v>
      </c>
      <c r="H382" s="48">
        <v>45161</v>
      </c>
      <c r="I382" s="18" t="s">
        <v>35</v>
      </c>
      <c r="J382" s="34"/>
      <c r="K382" s="18"/>
      <c r="L382" s="18"/>
    </row>
    <row r="383" spans="1:12" ht="63">
      <c r="A383" s="18">
        <v>450</v>
      </c>
      <c r="B383" s="18" t="s">
        <v>2</v>
      </c>
      <c r="C383" s="49" t="s">
        <v>74</v>
      </c>
      <c r="D383" s="21" t="s">
        <v>331</v>
      </c>
      <c r="E383" s="18" t="s">
        <v>23</v>
      </c>
      <c r="F383" s="21" t="str">
        <f>B383</f>
        <v>Mech</v>
      </c>
      <c r="G383" s="18">
        <v>2000</v>
      </c>
      <c r="H383" s="48">
        <v>45161</v>
      </c>
      <c r="I383" s="18" t="s">
        <v>12</v>
      </c>
      <c r="J383" s="34"/>
      <c r="K383" s="18"/>
      <c r="L383" s="18"/>
    </row>
    <row r="384" spans="1:12" ht="47.25">
      <c r="A384" s="18">
        <v>451</v>
      </c>
      <c r="B384" s="18" t="s">
        <v>2</v>
      </c>
      <c r="C384" s="49" t="s">
        <v>186</v>
      </c>
      <c r="D384" s="21" t="s">
        <v>330</v>
      </c>
      <c r="E384" s="18" t="s">
        <v>23</v>
      </c>
      <c r="F384" s="21" t="str">
        <f>B384</f>
        <v>Mech</v>
      </c>
      <c r="G384" s="18">
        <v>10000</v>
      </c>
      <c r="H384" s="48">
        <v>45161</v>
      </c>
      <c r="I384" s="18" t="s">
        <v>12</v>
      </c>
      <c r="J384" s="34"/>
      <c r="K384" s="18"/>
      <c r="L384" s="18"/>
    </row>
    <row r="385" spans="1:12" ht="31.5">
      <c r="A385" s="18">
        <v>452</v>
      </c>
      <c r="B385" s="18" t="s">
        <v>2</v>
      </c>
      <c r="C385" s="49" t="s">
        <v>70</v>
      </c>
      <c r="D385" s="21" t="s">
        <v>329</v>
      </c>
      <c r="E385" s="18" t="s">
        <v>23</v>
      </c>
      <c r="F385" s="21" t="str">
        <f>B385</f>
        <v>Mech</v>
      </c>
      <c r="G385" s="18">
        <v>3000</v>
      </c>
      <c r="H385" s="48">
        <v>45161</v>
      </c>
      <c r="I385" s="18" t="s">
        <v>12</v>
      </c>
      <c r="J385" s="34"/>
      <c r="K385" s="18"/>
      <c r="L385" s="18"/>
    </row>
    <row r="386" spans="1:12" ht="47.25">
      <c r="A386" s="18">
        <v>453</v>
      </c>
      <c r="B386" s="18" t="s">
        <v>2</v>
      </c>
      <c r="C386" s="49" t="s">
        <v>70</v>
      </c>
      <c r="D386" s="21" t="s">
        <v>328</v>
      </c>
      <c r="E386" s="18" t="s">
        <v>324</v>
      </c>
      <c r="F386" s="21" t="str">
        <f>B386</f>
        <v>Mech</v>
      </c>
      <c r="G386" s="18">
        <v>5000</v>
      </c>
      <c r="H386" s="48">
        <v>45161</v>
      </c>
      <c r="I386" s="18" t="s">
        <v>12</v>
      </c>
      <c r="J386" s="34"/>
      <c r="K386" s="18"/>
      <c r="L386" s="18"/>
    </row>
    <row r="387" spans="1:12" ht="47.25">
      <c r="A387" s="18">
        <v>454</v>
      </c>
      <c r="B387" s="18" t="s">
        <v>2</v>
      </c>
      <c r="C387" s="49" t="s">
        <v>70</v>
      </c>
      <c r="D387" s="21" t="s">
        <v>327</v>
      </c>
      <c r="E387" s="18" t="s">
        <v>324</v>
      </c>
      <c r="F387" s="21" t="str">
        <f>B387</f>
        <v>Mech</v>
      </c>
      <c r="G387" s="18">
        <v>5000</v>
      </c>
      <c r="H387" s="48">
        <v>45161</v>
      </c>
      <c r="I387" s="18" t="s">
        <v>12</v>
      </c>
      <c r="J387" s="34"/>
      <c r="K387" s="18"/>
      <c r="L387" s="18"/>
    </row>
    <row r="388" spans="1:12" ht="15.75">
      <c r="A388" s="18">
        <v>455</v>
      </c>
      <c r="B388" s="18" t="s">
        <v>2</v>
      </c>
      <c r="C388" s="49" t="s">
        <v>243</v>
      </c>
      <c r="D388" s="18" t="s">
        <v>162</v>
      </c>
      <c r="E388" s="18" t="s">
        <v>193</v>
      </c>
      <c r="F388" s="21" t="str">
        <f>B388</f>
        <v>Mech</v>
      </c>
      <c r="G388" s="18">
        <v>2000</v>
      </c>
      <c r="H388" s="48">
        <v>45161</v>
      </c>
      <c r="I388" s="18" t="s">
        <v>12</v>
      </c>
      <c r="J388" s="34"/>
      <c r="K388" s="18"/>
      <c r="L388" s="18"/>
    </row>
    <row r="389" spans="1:12" ht="31.5">
      <c r="A389" s="18">
        <v>456</v>
      </c>
      <c r="B389" s="18" t="s">
        <v>8</v>
      </c>
      <c r="C389" s="49" t="s">
        <v>278</v>
      </c>
      <c r="D389" s="21" t="s">
        <v>326</v>
      </c>
      <c r="E389" s="18" t="s">
        <v>23</v>
      </c>
      <c r="F389" s="21" t="str">
        <f>B389</f>
        <v>CCE</v>
      </c>
      <c r="G389" s="18">
        <v>6000</v>
      </c>
      <c r="H389" s="48">
        <v>45161</v>
      </c>
      <c r="I389" s="18" t="s">
        <v>12</v>
      </c>
      <c r="J389" s="34"/>
      <c r="K389" s="18"/>
      <c r="L389" s="18"/>
    </row>
    <row r="390" spans="1:12" ht="15.75">
      <c r="A390" s="18">
        <v>457</v>
      </c>
      <c r="B390" s="18" t="s">
        <v>5</v>
      </c>
      <c r="C390" s="49" t="s">
        <v>112</v>
      </c>
      <c r="D390" s="21" t="s">
        <v>325</v>
      </c>
      <c r="E390" s="18" t="s">
        <v>324</v>
      </c>
      <c r="F390" s="21" t="str">
        <f>B390</f>
        <v>ECE</v>
      </c>
      <c r="G390" s="18">
        <v>3000</v>
      </c>
      <c r="H390" s="48">
        <v>45161</v>
      </c>
      <c r="I390" s="18" t="s">
        <v>35</v>
      </c>
      <c r="J390" s="34"/>
      <c r="K390" s="18"/>
      <c r="L390" s="18"/>
    </row>
    <row r="391" spans="1:12" ht="15.75">
      <c r="A391" s="46"/>
      <c r="B391" s="46"/>
      <c r="C391" s="47"/>
      <c r="D391" s="46" t="s">
        <v>11</v>
      </c>
      <c r="E391" s="46"/>
      <c r="F391" s="54">
        <f>B391</f>
        <v>0</v>
      </c>
      <c r="G391" s="46">
        <f>SUM(G381:G390)</f>
        <v>52000</v>
      </c>
      <c r="H391" s="53"/>
      <c r="I391" s="46"/>
      <c r="J391" s="34">
        <f>G391</f>
        <v>52000</v>
      </c>
      <c r="K391" s="46"/>
      <c r="L391" s="46"/>
    </row>
    <row r="392" spans="1:12" ht="31.5">
      <c r="A392" s="18">
        <v>458</v>
      </c>
      <c r="B392" s="18" t="s">
        <v>2</v>
      </c>
      <c r="C392" s="49" t="s">
        <v>97</v>
      </c>
      <c r="D392" s="21" t="s">
        <v>323</v>
      </c>
      <c r="E392" s="18" t="s">
        <v>16</v>
      </c>
      <c r="F392" s="21" t="str">
        <f>B392</f>
        <v>Mech</v>
      </c>
      <c r="G392" s="18">
        <v>900</v>
      </c>
      <c r="H392" s="48">
        <v>45182</v>
      </c>
      <c r="I392" s="18" t="s">
        <v>12</v>
      </c>
      <c r="J392" s="34"/>
      <c r="K392" s="18"/>
      <c r="L392" s="18"/>
    </row>
    <row r="393" spans="1:12" ht="15.75">
      <c r="A393" s="18">
        <v>459</v>
      </c>
      <c r="B393" s="18" t="s">
        <v>5</v>
      </c>
      <c r="C393" s="49" t="s">
        <v>115</v>
      </c>
      <c r="D393" s="21" t="s">
        <v>322</v>
      </c>
      <c r="E393" s="18" t="s">
        <v>187</v>
      </c>
      <c r="F393" s="21" t="str">
        <f>B393</f>
        <v>ECE</v>
      </c>
      <c r="G393" s="18">
        <v>3000</v>
      </c>
      <c r="H393" s="48">
        <v>45182</v>
      </c>
      <c r="I393" s="18" t="s">
        <v>12</v>
      </c>
      <c r="J393" s="34"/>
      <c r="K393" s="18"/>
      <c r="L393" s="18"/>
    </row>
    <row r="394" spans="1:12" ht="15.75">
      <c r="A394" s="18">
        <v>460</v>
      </c>
      <c r="B394" s="18" t="s">
        <v>5</v>
      </c>
      <c r="C394" s="49" t="s">
        <v>115</v>
      </c>
      <c r="D394" s="21" t="s">
        <v>321</v>
      </c>
      <c r="E394" s="18" t="s">
        <v>320</v>
      </c>
      <c r="F394" s="21" t="str">
        <f>B394</f>
        <v>ECE</v>
      </c>
      <c r="G394" s="18">
        <v>5000</v>
      </c>
      <c r="H394" s="48">
        <v>45182</v>
      </c>
      <c r="I394" s="18" t="s">
        <v>12</v>
      </c>
      <c r="J394" s="34"/>
      <c r="K394" s="18"/>
      <c r="L394" s="18"/>
    </row>
    <row r="395" spans="1:12" ht="15.75">
      <c r="A395" s="18">
        <v>461</v>
      </c>
      <c r="B395" s="18" t="s">
        <v>5</v>
      </c>
      <c r="C395" s="49" t="s">
        <v>115</v>
      </c>
      <c r="D395" s="18" t="s">
        <v>319</v>
      </c>
      <c r="E395" s="18" t="s">
        <v>193</v>
      </c>
      <c r="F395" s="21" t="str">
        <f>B395</f>
        <v>ECE</v>
      </c>
      <c r="G395" s="18">
        <v>8000</v>
      </c>
      <c r="H395" s="48">
        <v>45182</v>
      </c>
      <c r="I395" s="18" t="s">
        <v>12</v>
      </c>
      <c r="J395" s="34"/>
      <c r="K395" s="18"/>
      <c r="L395" s="18"/>
    </row>
    <row r="396" spans="1:12" ht="31.5">
      <c r="A396" s="18">
        <v>462</v>
      </c>
      <c r="B396" s="18" t="s">
        <v>5</v>
      </c>
      <c r="C396" s="49" t="s">
        <v>170</v>
      </c>
      <c r="D396" s="21" t="s">
        <v>318</v>
      </c>
      <c r="E396" s="18" t="s">
        <v>16</v>
      </c>
      <c r="F396" s="21" t="str">
        <f>B396</f>
        <v>ECE</v>
      </c>
      <c r="G396" s="18">
        <v>1800</v>
      </c>
      <c r="H396" s="48">
        <v>45182</v>
      </c>
      <c r="I396" s="18" t="s">
        <v>12</v>
      </c>
      <c r="J396" s="34"/>
      <c r="K396" s="18"/>
      <c r="L396" s="18"/>
    </row>
    <row r="397" spans="1:12" ht="15.75">
      <c r="A397" s="18">
        <v>463</v>
      </c>
      <c r="B397" s="18" t="s">
        <v>5</v>
      </c>
      <c r="C397" s="49" t="s">
        <v>170</v>
      </c>
      <c r="D397" s="18" t="s">
        <v>162</v>
      </c>
      <c r="E397" s="18" t="s">
        <v>193</v>
      </c>
      <c r="F397" s="21" t="str">
        <f>B397</f>
        <v>ECE</v>
      </c>
      <c r="G397" s="18">
        <v>2000</v>
      </c>
      <c r="H397" s="48">
        <v>45182</v>
      </c>
      <c r="I397" s="18" t="s">
        <v>12</v>
      </c>
      <c r="J397" s="34"/>
      <c r="K397" s="18"/>
      <c r="L397" s="18"/>
    </row>
    <row r="398" spans="1:12" ht="47.25">
      <c r="A398" s="18">
        <v>464</v>
      </c>
      <c r="B398" s="18" t="s">
        <v>5</v>
      </c>
      <c r="C398" s="49" t="s">
        <v>178</v>
      </c>
      <c r="D398" s="21" t="s">
        <v>317</v>
      </c>
      <c r="E398" s="18" t="s">
        <v>315</v>
      </c>
      <c r="F398" s="21" t="str">
        <f>B398</f>
        <v>ECE</v>
      </c>
      <c r="G398" s="18">
        <v>1500</v>
      </c>
      <c r="H398" s="48">
        <v>45182</v>
      </c>
      <c r="I398" s="18" t="s">
        <v>12</v>
      </c>
      <c r="J398" s="34"/>
      <c r="K398" s="18"/>
      <c r="L398" s="18"/>
    </row>
    <row r="399" spans="1:12" ht="31.5">
      <c r="A399" s="18">
        <v>465</v>
      </c>
      <c r="B399" s="18" t="s">
        <v>5</v>
      </c>
      <c r="C399" s="49" t="s">
        <v>178</v>
      </c>
      <c r="D399" s="21" t="s">
        <v>316</v>
      </c>
      <c r="E399" s="18" t="s">
        <v>315</v>
      </c>
      <c r="F399" s="21" t="str">
        <f>B399</f>
        <v>ECE</v>
      </c>
      <c r="G399" s="18">
        <v>1500</v>
      </c>
      <c r="H399" s="48">
        <v>45182</v>
      </c>
      <c r="I399" s="18" t="s">
        <v>12</v>
      </c>
      <c r="J399" s="34"/>
      <c r="K399" s="18"/>
      <c r="L399" s="18"/>
    </row>
    <row r="400" spans="1:12" ht="15.75">
      <c r="A400" s="18">
        <v>466</v>
      </c>
      <c r="B400" s="18" t="s">
        <v>5</v>
      </c>
      <c r="C400" s="49" t="s">
        <v>313</v>
      </c>
      <c r="D400" s="21" t="s">
        <v>314</v>
      </c>
      <c r="E400" s="18" t="s">
        <v>16</v>
      </c>
      <c r="F400" s="21" t="str">
        <f>B400</f>
        <v>ECE</v>
      </c>
      <c r="G400" s="18">
        <v>1800</v>
      </c>
      <c r="H400" s="48">
        <v>45182</v>
      </c>
      <c r="I400" s="18" t="s">
        <v>35</v>
      </c>
      <c r="J400" s="34"/>
      <c r="K400" s="18"/>
      <c r="L400" s="18"/>
    </row>
    <row r="401" spans="1:12" ht="31.5">
      <c r="A401" s="18">
        <v>467</v>
      </c>
      <c r="B401" s="18" t="s">
        <v>5</v>
      </c>
      <c r="C401" s="49" t="s">
        <v>313</v>
      </c>
      <c r="D401" s="21" t="s">
        <v>312</v>
      </c>
      <c r="E401" s="18" t="s">
        <v>16</v>
      </c>
      <c r="F401" s="21" t="str">
        <f>B401</f>
        <v>ECE</v>
      </c>
      <c r="G401" s="18">
        <v>1800</v>
      </c>
      <c r="H401" s="48">
        <v>45182</v>
      </c>
      <c r="I401" s="18" t="s">
        <v>35</v>
      </c>
      <c r="J401" s="34"/>
      <c r="K401" s="18"/>
      <c r="L401" s="18"/>
    </row>
    <row r="402" spans="1:12" ht="31.5">
      <c r="A402" s="18">
        <v>468</v>
      </c>
      <c r="B402" s="18" t="s">
        <v>5</v>
      </c>
      <c r="C402" s="49" t="s">
        <v>311</v>
      </c>
      <c r="D402" s="21" t="s">
        <v>310</v>
      </c>
      <c r="E402" s="18" t="s">
        <v>187</v>
      </c>
      <c r="F402" s="21" t="str">
        <f>B402</f>
        <v>ECE</v>
      </c>
      <c r="G402" s="18">
        <v>3000</v>
      </c>
      <c r="H402" s="48">
        <v>45182</v>
      </c>
      <c r="I402" s="18" t="s">
        <v>35</v>
      </c>
      <c r="J402" s="34"/>
      <c r="K402" s="18"/>
      <c r="L402" s="18"/>
    </row>
    <row r="403" spans="1:12" ht="15.75">
      <c r="A403" s="18">
        <v>469</v>
      </c>
      <c r="B403" s="18" t="s">
        <v>8</v>
      </c>
      <c r="C403" s="49" t="s">
        <v>307</v>
      </c>
      <c r="D403" s="21" t="s">
        <v>309</v>
      </c>
      <c r="E403" s="18" t="s">
        <v>187</v>
      </c>
      <c r="F403" s="21" t="str">
        <f>B403</f>
        <v>CCE</v>
      </c>
      <c r="G403" s="18">
        <v>1500</v>
      </c>
      <c r="H403" s="48">
        <v>45182</v>
      </c>
      <c r="I403" s="18" t="s">
        <v>12</v>
      </c>
      <c r="J403" s="34"/>
      <c r="K403" s="18"/>
      <c r="L403" s="18"/>
    </row>
    <row r="404" spans="1:12" ht="31.5">
      <c r="A404" s="18">
        <v>470</v>
      </c>
      <c r="B404" s="18" t="s">
        <v>8</v>
      </c>
      <c r="C404" s="49" t="s">
        <v>307</v>
      </c>
      <c r="D404" s="21" t="s">
        <v>308</v>
      </c>
      <c r="E404" s="18" t="s">
        <v>187</v>
      </c>
      <c r="F404" s="21" t="str">
        <f>B404</f>
        <v>CCE</v>
      </c>
      <c r="G404" s="18">
        <v>3000</v>
      </c>
      <c r="H404" s="48">
        <v>45182</v>
      </c>
      <c r="I404" s="18" t="s">
        <v>12</v>
      </c>
      <c r="J404" s="34"/>
      <c r="K404" s="18"/>
      <c r="L404" s="18"/>
    </row>
    <row r="405" spans="1:12" ht="31.5">
      <c r="A405" s="18">
        <v>471</v>
      </c>
      <c r="B405" s="18" t="s">
        <v>8</v>
      </c>
      <c r="C405" s="49" t="s">
        <v>307</v>
      </c>
      <c r="D405" s="21" t="s">
        <v>306</v>
      </c>
      <c r="E405" s="18" t="s">
        <v>16</v>
      </c>
      <c r="F405" s="21" t="str">
        <f>B405</f>
        <v>CCE</v>
      </c>
      <c r="G405" s="18">
        <v>3000</v>
      </c>
      <c r="H405" s="48">
        <v>45182</v>
      </c>
      <c r="I405" s="18" t="s">
        <v>12</v>
      </c>
      <c r="J405" s="34"/>
      <c r="K405" s="18"/>
      <c r="L405" s="18"/>
    </row>
    <row r="406" spans="1:12" ht="15.75">
      <c r="A406" s="46"/>
      <c r="B406" s="46"/>
      <c r="C406" s="47"/>
      <c r="D406" s="46" t="s">
        <v>11</v>
      </c>
      <c r="E406" s="46"/>
      <c r="F406" s="54">
        <f>B406</f>
        <v>0</v>
      </c>
      <c r="G406" s="46">
        <f>SUM(G392:G405)</f>
        <v>37800</v>
      </c>
      <c r="H406" s="53"/>
      <c r="I406" s="46"/>
      <c r="J406" s="34">
        <f>G406</f>
        <v>37800</v>
      </c>
      <c r="K406" s="46"/>
      <c r="L406" s="46"/>
    </row>
    <row r="407" spans="1:12" ht="47.25">
      <c r="A407" s="18">
        <v>472</v>
      </c>
      <c r="B407" s="18" t="s">
        <v>1</v>
      </c>
      <c r="C407" s="49" t="s">
        <v>45</v>
      </c>
      <c r="D407" s="21" t="s">
        <v>305</v>
      </c>
      <c r="E407" s="18" t="s">
        <v>23</v>
      </c>
      <c r="F407" s="21" t="str">
        <f>B407</f>
        <v>S&amp;H</v>
      </c>
      <c r="G407" s="18">
        <v>6000</v>
      </c>
      <c r="H407" s="48">
        <v>45209</v>
      </c>
      <c r="I407" s="18" t="s">
        <v>12</v>
      </c>
      <c r="J407" s="34"/>
      <c r="K407" s="18"/>
      <c r="L407" s="18"/>
    </row>
    <row r="408" spans="1:12" ht="15.75">
      <c r="A408" s="18">
        <v>473</v>
      </c>
      <c r="B408" s="18" t="s">
        <v>2</v>
      </c>
      <c r="C408" s="49" t="s">
        <v>186</v>
      </c>
      <c r="D408" s="21" t="s">
        <v>304</v>
      </c>
      <c r="E408" s="18" t="s">
        <v>187</v>
      </c>
      <c r="F408" s="21" t="str">
        <f>B408</f>
        <v>Mech</v>
      </c>
      <c r="G408" s="18">
        <v>3000</v>
      </c>
      <c r="H408" s="48">
        <v>45209</v>
      </c>
      <c r="I408" s="18" t="s">
        <v>12</v>
      </c>
      <c r="J408" s="34"/>
      <c r="K408" s="18"/>
      <c r="L408" s="18"/>
    </row>
    <row r="409" spans="1:12" ht="47.25">
      <c r="A409" s="18">
        <v>474</v>
      </c>
      <c r="B409" s="18" t="s">
        <v>2</v>
      </c>
      <c r="C409" s="49" t="s">
        <v>186</v>
      </c>
      <c r="D409" s="21" t="s">
        <v>303</v>
      </c>
      <c r="E409" s="18" t="s">
        <v>23</v>
      </c>
      <c r="F409" s="21" t="str">
        <f>B409</f>
        <v>Mech</v>
      </c>
      <c r="G409" s="18">
        <v>6000</v>
      </c>
      <c r="H409" s="48">
        <v>45209</v>
      </c>
      <c r="I409" s="18" t="s">
        <v>12</v>
      </c>
      <c r="J409" s="34"/>
      <c r="K409" s="18"/>
      <c r="L409" s="18"/>
    </row>
    <row r="410" spans="1:12" ht="31.5">
      <c r="A410" s="18">
        <v>475</v>
      </c>
      <c r="B410" s="18" t="s">
        <v>2</v>
      </c>
      <c r="C410" s="49" t="s">
        <v>99</v>
      </c>
      <c r="D410" s="21" t="s">
        <v>302</v>
      </c>
      <c r="E410" s="18" t="s">
        <v>13</v>
      </c>
      <c r="F410" s="21" t="str">
        <f>B410</f>
        <v>Mech</v>
      </c>
      <c r="G410" s="18">
        <v>2500</v>
      </c>
      <c r="H410" s="48">
        <v>45209</v>
      </c>
      <c r="I410" s="18" t="s">
        <v>12</v>
      </c>
      <c r="J410" s="34"/>
      <c r="K410" s="18"/>
      <c r="L410" s="18"/>
    </row>
    <row r="411" spans="1:12" ht="31.5">
      <c r="A411" s="18">
        <v>476</v>
      </c>
      <c r="B411" s="18" t="s">
        <v>2</v>
      </c>
      <c r="C411" s="49" t="s">
        <v>99</v>
      </c>
      <c r="D411" s="21" t="s">
        <v>301</v>
      </c>
      <c r="E411" s="18" t="s">
        <v>187</v>
      </c>
      <c r="F411" s="21" t="str">
        <f>B411</f>
        <v>Mech</v>
      </c>
      <c r="G411" s="18">
        <v>1800</v>
      </c>
      <c r="H411" s="48">
        <v>45209</v>
      </c>
      <c r="I411" s="18" t="s">
        <v>12</v>
      </c>
      <c r="J411" s="34"/>
      <c r="K411" s="18"/>
      <c r="L411" s="18"/>
    </row>
    <row r="412" spans="1:12" ht="15.75">
      <c r="A412" s="18">
        <v>477</v>
      </c>
      <c r="B412" s="18" t="s">
        <v>5</v>
      </c>
      <c r="C412" s="49" t="s">
        <v>288</v>
      </c>
      <c r="D412" s="21" t="s">
        <v>300</v>
      </c>
      <c r="E412" s="18" t="s">
        <v>187</v>
      </c>
      <c r="F412" s="21" t="str">
        <f>B412</f>
        <v>ECE</v>
      </c>
      <c r="G412" s="18">
        <v>1800</v>
      </c>
      <c r="H412" s="48">
        <v>45209</v>
      </c>
      <c r="I412" s="18" t="s">
        <v>223</v>
      </c>
      <c r="J412" s="34"/>
      <c r="K412" s="18"/>
      <c r="L412" s="18"/>
    </row>
    <row r="413" spans="1:12" ht="31.5">
      <c r="A413" s="18">
        <v>478</v>
      </c>
      <c r="B413" s="18" t="s">
        <v>5</v>
      </c>
      <c r="C413" s="49" t="s">
        <v>175</v>
      </c>
      <c r="D413" s="21" t="s">
        <v>299</v>
      </c>
      <c r="E413" s="18" t="s">
        <v>23</v>
      </c>
      <c r="F413" s="21" t="str">
        <f>B413</f>
        <v>ECE</v>
      </c>
      <c r="G413" s="18">
        <v>10000</v>
      </c>
      <c r="H413" s="48">
        <v>45209</v>
      </c>
      <c r="I413" s="18" t="s">
        <v>12</v>
      </c>
      <c r="J413" s="34"/>
      <c r="K413" s="18"/>
      <c r="L413" s="18"/>
    </row>
    <row r="414" spans="1:12" ht="47.25">
      <c r="A414" s="18">
        <v>479</v>
      </c>
      <c r="B414" s="18" t="s">
        <v>5</v>
      </c>
      <c r="C414" s="49" t="s">
        <v>178</v>
      </c>
      <c r="D414" s="21" t="s">
        <v>298</v>
      </c>
      <c r="E414" s="18" t="s">
        <v>23</v>
      </c>
      <c r="F414" s="21" t="str">
        <f>B414</f>
        <v>ECE</v>
      </c>
      <c r="G414" s="18">
        <v>10000</v>
      </c>
      <c r="H414" s="48">
        <v>45209</v>
      </c>
      <c r="I414" s="18" t="s">
        <v>12</v>
      </c>
      <c r="J414" s="34"/>
      <c r="K414" s="18"/>
      <c r="L414" s="18"/>
    </row>
    <row r="415" spans="1:12" ht="15.75">
      <c r="A415" s="18">
        <v>480</v>
      </c>
      <c r="B415" s="18" t="s">
        <v>5</v>
      </c>
      <c r="C415" s="49" t="s">
        <v>178</v>
      </c>
      <c r="D415" s="18" t="s">
        <v>198</v>
      </c>
      <c r="E415" s="18" t="s">
        <v>193</v>
      </c>
      <c r="F415" s="21" t="str">
        <f>B415</f>
        <v>ECE</v>
      </c>
      <c r="G415" s="18">
        <v>4000</v>
      </c>
      <c r="H415" s="48">
        <v>45209</v>
      </c>
      <c r="I415" s="18" t="s">
        <v>12</v>
      </c>
      <c r="J415" s="34"/>
      <c r="K415" s="18"/>
      <c r="L415" s="18"/>
    </row>
    <row r="416" spans="1:12" ht="31.5">
      <c r="A416" s="18">
        <v>481</v>
      </c>
      <c r="B416" s="18" t="s">
        <v>5</v>
      </c>
      <c r="C416" s="49" t="s">
        <v>50</v>
      </c>
      <c r="D416" s="21" t="s">
        <v>297</v>
      </c>
      <c r="E416" s="18" t="s">
        <v>16</v>
      </c>
      <c r="F416" s="21" t="str">
        <f>B416</f>
        <v>ECE</v>
      </c>
      <c r="G416" s="18">
        <v>3000</v>
      </c>
      <c r="H416" s="48">
        <v>45209</v>
      </c>
      <c r="I416" s="18" t="s">
        <v>223</v>
      </c>
      <c r="J416" s="34"/>
      <c r="K416" s="18"/>
      <c r="L416" s="18"/>
    </row>
    <row r="417" spans="1:12" ht="47.25">
      <c r="A417" s="18">
        <v>482</v>
      </c>
      <c r="B417" s="18" t="s">
        <v>5</v>
      </c>
      <c r="C417" s="49" t="s">
        <v>296</v>
      </c>
      <c r="D417" s="21" t="s">
        <v>295</v>
      </c>
      <c r="E417" s="18" t="s">
        <v>13</v>
      </c>
      <c r="F417" s="21" t="str">
        <f>B417</f>
        <v>ECE</v>
      </c>
      <c r="G417" s="18">
        <v>3000</v>
      </c>
      <c r="H417" s="48">
        <v>45209</v>
      </c>
      <c r="I417" s="18" t="s">
        <v>12</v>
      </c>
      <c r="J417" s="34"/>
      <c r="K417" s="18"/>
      <c r="L417" s="18"/>
    </row>
    <row r="418" spans="1:12" ht="15.75">
      <c r="A418" s="46"/>
      <c r="B418" s="46"/>
      <c r="C418" s="47"/>
      <c r="D418" s="46" t="s">
        <v>11</v>
      </c>
      <c r="E418" s="46"/>
      <c r="F418" s="54">
        <f>B418</f>
        <v>0</v>
      </c>
      <c r="G418" s="46">
        <f>SUM(G407:G417)</f>
        <v>51100</v>
      </c>
      <c r="H418" s="53"/>
      <c r="I418" s="46"/>
      <c r="J418" s="34">
        <f>G418</f>
        <v>51100</v>
      </c>
      <c r="K418" s="46"/>
      <c r="L418" s="46"/>
    </row>
    <row r="419" spans="1:12" ht="15.75">
      <c r="A419" s="18">
        <v>483</v>
      </c>
      <c r="B419" s="18" t="s">
        <v>5</v>
      </c>
      <c r="C419" s="49" t="s">
        <v>178</v>
      </c>
      <c r="D419" s="18" t="s">
        <v>166</v>
      </c>
      <c r="E419" s="18" t="s">
        <v>193</v>
      </c>
      <c r="F419" s="21" t="str">
        <f>B419</f>
        <v>ECE</v>
      </c>
      <c r="G419" s="18">
        <v>2000</v>
      </c>
      <c r="H419" s="48">
        <v>45225</v>
      </c>
      <c r="I419" s="18" t="s">
        <v>12</v>
      </c>
      <c r="J419" s="34"/>
      <c r="K419" s="18"/>
      <c r="L419" s="18"/>
    </row>
    <row r="420" spans="1:12" ht="47.25">
      <c r="A420" s="18">
        <v>484</v>
      </c>
      <c r="B420" s="18" t="s">
        <v>5</v>
      </c>
      <c r="C420" s="49" t="s">
        <v>294</v>
      </c>
      <c r="D420" s="21" t="s">
        <v>293</v>
      </c>
      <c r="E420" s="18" t="s">
        <v>13</v>
      </c>
      <c r="F420" s="21" t="str">
        <f>B420</f>
        <v>ECE</v>
      </c>
      <c r="G420" s="18">
        <v>1800</v>
      </c>
      <c r="H420" s="48">
        <v>45225</v>
      </c>
      <c r="I420" s="18" t="s">
        <v>12</v>
      </c>
      <c r="J420" s="34"/>
      <c r="K420" s="18"/>
      <c r="L420" s="18"/>
    </row>
    <row r="421" spans="1:12" ht="31.5">
      <c r="A421" s="18">
        <v>485</v>
      </c>
      <c r="B421" s="18" t="s">
        <v>5</v>
      </c>
      <c r="C421" s="49" t="s">
        <v>115</v>
      </c>
      <c r="D421" s="21" t="s">
        <v>292</v>
      </c>
      <c r="E421" s="18" t="s">
        <v>13</v>
      </c>
      <c r="F421" s="21" t="str">
        <f>B421</f>
        <v>ECE</v>
      </c>
      <c r="G421" s="18">
        <v>5000</v>
      </c>
      <c r="H421" s="48">
        <v>45225</v>
      </c>
      <c r="I421" s="18" t="s">
        <v>12</v>
      </c>
      <c r="J421" s="34"/>
      <c r="K421" s="18"/>
      <c r="L421" s="18"/>
    </row>
    <row r="422" spans="1:12" ht="31.5">
      <c r="A422" s="18">
        <v>486</v>
      </c>
      <c r="B422" s="18" t="s">
        <v>5</v>
      </c>
      <c r="C422" s="49" t="s">
        <v>115</v>
      </c>
      <c r="D422" s="21" t="s">
        <v>291</v>
      </c>
      <c r="E422" s="18" t="s">
        <v>16</v>
      </c>
      <c r="F422" s="21" t="str">
        <f>B422</f>
        <v>ECE</v>
      </c>
      <c r="G422" s="18">
        <v>3000</v>
      </c>
      <c r="H422" s="48">
        <v>45225</v>
      </c>
      <c r="I422" s="18" t="s">
        <v>12</v>
      </c>
      <c r="J422" s="34"/>
      <c r="K422" s="18"/>
      <c r="L422" s="18"/>
    </row>
    <row r="423" spans="1:12" ht="15.75">
      <c r="A423" s="18">
        <v>487</v>
      </c>
      <c r="B423" s="18" t="s">
        <v>5</v>
      </c>
      <c r="C423" s="49" t="s">
        <v>115</v>
      </c>
      <c r="D423" s="18" t="s">
        <v>198</v>
      </c>
      <c r="E423" s="18" t="s">
        <v>193</v>
      </c>
      <c r="F423" s="21" t="str">
        <f>B423</f>
        <v>ECE</v>
      </c>
      <c r="G423" s="18">
        <v>4000</v>
      </c>
      <c r="H423" s="48">
        <v>45225</v>
      </c>
      <c r="I423" s="18" t="s">
        <v>12</v>
      </c>
      <c r="J423" s="34"/>
      <c r="K423" s="18"/>
      <c r="L423" s="18"/>
    </row>
    <row r="424" spans="1:12" ht="31.5">
      <c r="A424" s="18">
        <v>488</v>
      </c>
      <c r="B424" s="18" t="s">
        <v>5</v>
      </c>
      <c r="C424" s="49" t="s">
        <v>290</v>
      </c>
      <c r="D424" s="21" t="s">
        <v>289</v>
      </c>
      <c r="E424" s="18" t="s">
        <v>16</v>
      </c>
      <c r="F424" s="21" t="str">
        <f>B424</f>
        <v>ECE</v>
      </c>
      <c r="G424" s="18">
        <v>1800</v>
      </c>
      <c r="H424" s="48">
        <v>45225</v>
      </c>
      <c r="I424" s="18" t="s">
        <v>223</v>
      </c>
      <c r="J424" s="34"/>
      <c r="K424" s="18"/>
      <c r="L424" s="18"/>
    </row>
    <row r="425" spans="1:12" ht="31.5">
      <c r="A425" s="18">
        <v>489</v>
      </c>
      <c r="B425" s="18" t="s">
        <v>5</v>
      </c>
      <c r="C425" s="49" t="s">
        <v>288</v>
      </c>
      <c r="D425" s="21" t="s">
        <v>287</v>
      </c>
      <c r="E425" s="18" t="s">
        <v>16</v>
      </c>
      <c r="F425" s="21" t="str">
        <f>B425</f>
        <v>ECE</v>
      </c>
      <c r="G425" s="18">
        <v>3000</v>
      </c>
      <c r="H425" s="48">
        <v>45225</v>
      </c>
      <c r="I425" s="18" t="s">
        <v>223</v>
      </c>
      <c r="J425" s="34"/>
      <c r="K425" s="18"/>
      <c r="L425" s="18"/>
    </row>
    <row r="426" spans="1:12" ht="31.5">
      <c r="A426" s="18">
        <v>490</v>
      </c>
      <c r="B426" s="18" t="s">
        <v>4</v>
      </c>
      <c r="C426" s="49" t="s">
        <v>63</v>
      </c>
      <c r="D426" s="21" t="s">
        <v>286</v>
      </c>
      <c r="E426" s="18" t="s">
        <v>23</v>
      </c>
      <c r="F426" s="21" t="str">
        <f>B426</f>
        <v>EEE</v>
      </c>
      <c r="G426" s="18">
        <v>10000</v>
      </c>
      <c r="H426" s="48">
        <v>45225</v>
      </c>
      <c r="I426" s="18" t="s">
        <v>12</v>
      </c>
      <c r="J426" s="34"/>
      <c r="K426" s="18"/>
      <c r="L426" s="18"/>
    </row>
    <row r="427" spans="1:12" ht="47.25">
      <c r="A427" s="18">
        <v>491</v>
      </c>
      <c r="B427" s="18" t="s">
        <v>7</v>
      </c>
      <c r="C427" s="49" t="s">
        <v>285</v>
      </c>
      <c r="D427" s="21" t="s">
        <v>284</v>
      </c>
      <c r="E427" s="18" t="s">
        <v>23</v>
      </c>
      <c r="F427" s="21" t="str">
        <f>B427</f>
        <v>CSBS</v>
      </c>
      <c r="G427" s="18">
        <v>6000</v>
      </c>
      <c r="H427" s="48">
        <v>45225</v>
      </c>
      <c r="I427" s="18" t="s">
        <v>223</v>
      </c>
      <c r="J427" s="34"/>
      <c r="K427" s="18"/>
      <c r="L427" s="18"/>
    </row>
    <row r="428" spans="1:12" ht="47.25">
      <c r="A428" s="18">
        <v>492</v>
      </c>
      <c r="B428" s="18" t="s">
        <v>7</v>
      </c>
      <c r="C428" s="49" t="s">
        <v>282</v>
      </c>
      <c r="D428" s="21" t="s">
        <v>283</v>
      </c>
      <c r="E428" s="18" t="s">
        <v>13</v>
      </c>
      <c r="F428" s="21" t="str">
        <f>B428</f>
        <v>CSBS</v>
      </c>
      <c r="G428" s="18">
        <v>1500</v>
      </c>
      <c r="H428" s="48">
        <v>45225</v>
      </c>
      <c r="I428" s="18" t="s">
        <v>12</v>
      </c>
      <c r="J428" s="34"/>
      <c r="K428" s="18"/>
      <c r="L428" s="18"/>
    </row>
    <row r="429" spans="1:12" ht="31.5">
      <c r="A429" s="18">
        <v>493</v>
      </c>
      <c r="B429" s="18" t="s">
        <v>7</v>
      </c>
      <c r="C429" s="49" t="s">
        <v>282</v>
      </c>
      <c r="D429" s="21" t="s">
        <v>281</v>
      </c>
      <c r="E429" s="18" t="s">
        <v>16</v>
      </c>
      <c r="F429" s="21" t="str">
        <f>B429</f>
        <v>CSBS</v>
      </c>
      <c r="G429" s="18">
        <v>3000</v>
      </c>
      <c r="H429" s="48">
        <v>45225</v>
      </c>
      <c r="I429" s="18" t="s">
        <v>12</v>
      </c>
      <c r="J429" s="34"/>
      <c r="K429" s="18"/>
      <c r="L429" s="18"/>
    </row>
    <row r="430" spans="1:12" ht="31.5">
      <c r="A430" s="18">
        <v>494</v>
      </c>
      <c r="B430" s="18" t="s">
        <v>8</v>
      </c>
      <c r="C430" s="49" t="s">
        <v>279</v>
      </c>
      <c r="D430" s="21" t="s">
        <v>280</v>
      </c>
      <c r="E430" s="18" t="s">
        <v>13</v>
      </c>
      <c r="F430" s="21" t="str">
        <f>B430</f>
        <v>CCE</v>
      </c>
      <c r="G430" s="18">
        <v>5000</v>
      </c>
      <c r="H430" s="48">
        <v>45225</v>
      </c>
      <c r="I430" s="18" t="s">
        <v>12</v>
      </c>
      <c r="J430" s="34"/>
      <c r="K430" s="18"/>
      <c r="L430" s="18"/>
    </row>
    <row r="431" spans="1:12" ht="15.75">
      <c r="A431" s="18">
        <v>495</v>
      </c>
      <c r="B431" s="18" t="s">
        <v>8</v>
      </c>
      <c r="C431" s="49" t="s">
        <v>279</v>
      </c>
      <c r="D431" s="18" t="s">
        <v>162</v>
      </c>
      <c r="E431" s="18" t="s">
        <v>193</v>
      </c>
      <c r="F431" s="21" t="str">
        <f>B431</f>
        <v>CCE</v>
      </c>
      <c r="G431" s="18">
        <v>4000</v>
      </c>
      <c r="H431" s="48">
        <v>45225</v>
      </c>
      <c r="I431" s="18" t="s">
        <v>12</v>
      </c>
      <c r="J431" s="34"/>
      <c r="K431" s="18"/>
      <c r="L431" s="18"/>
    </row>
    <row r="432" spans="1:12" ht="31.5">
      <c r="A432" s="18">
        <v>496</v>
      </c>
      <c r="B432" s="18" t="s">
        <v>8</v>
      </c>
      <c r="C432" s="49" t="s">
        <v>278</v>
      </c>
      <c r="D432" s="21" t="s">
        <v>277</v>
      </c>
      <c r="E432" s="18" t="s">
        <v>23</v>
      </c>
      <c r="F432" s="21" t="str">
        <f>B432</f>
        <v>CCE</v>
      </c>
      <c r="G432" s="18">
        <v>6000</v>
      </c>
      <c r="H432" s="48">
        <v>45225</v>
      </c>
      <c r="I432" s="18" t="s">
        <v>12</v>
      </c>
      <c r="J432" s="34"/>
      <c r="K432" s="18"/>
      <c r="L432" s="18"/>
    </row>
    <row r="433" spans="1:12" ht="31.5">
      <c r="A433" s="18">
        <v>497</v>
      </c>
      <c r="B433" s="18" t="s">
        <v>8</v>
      </c>
      <c r="C433" s="49" t="s">
        <v>34</v>
      </c>
      <c r="D433" s="21" t="s">
        <v>276</v>
      </c>
      <c r="E433" s="18" t="s">
        <v>16</v>
      </c>
      <c r="F433" s="21" t="str">
        <f>B433</f>
        <v>CCE</v>
      </c>
      <c r="G433" s="18">
        <v>3000</v>
      </c>
      <c r="H433" s="48">
        <v>45225</v>
      </c>
      <c r="I433" s="18" t="s">
        <v>12</v>
      </c>
      <c r="J433" s="34"/>
      <c r="K433" s="18"/>
      <c r="L433" s="18"/>
    </row>
    <row r="434" spans="1:12" ht="47.25">
      <c r="A434" s="18">
        <v>498</v>
      </c>
      <c r="B434" s="18" t="s">
        <v>9</v>
      </c>
      <c r="C434" s="49" t="s">
        <v>275</v>
      </c>
      <c r="D434" s="21" t="s">
        <v>274</v>
      </c>
      <c r="E434" s="18" t="s">
        <v>23</v>
      </c>
      <c r="F434" s="18" t="s">
        <v>36</v>
      </c>
      <c r="G434" s="18">
        <v>6000</v>
      </c>
      <c r="H434" s="48">
        <v>45225</v>
      </c>
      <c r="I434" s="18" t="s">
        <v>12</v>
      </c>
      <c r="J434" s="34"/>
      <c r="K434" s="18"/>
      <c r="L434" s="18"/>
    </row>
    <row r="435" spans="1:12" ht="31.5">
      <c r="A435" s="18">
        <v>499</v>
      </c>
      <c r="B435" s="18" t="s">
        <v>1</v>
      </c>
      <c r="C435" s="49" t="s">
        <v>167</v>
      </c>
      <c r="D435" s="21" t="s">
        <v>273</v>
      </c>
      <c r="E435" s="18" t="s">
        <v>23</v>
      </c>
      <c r="F435" s="21" t="str">
        <f>B435</f>
        <v>S&amp;H</v>
      </c>
      <c r="G435" s="18">
        <v>6000</v>
      </c>
      <c r="H435" s="48">
        <v>45225</v>
      </c>
      <c r="I435" s="18" t="s">
        <v>12</v>
      </c>
      <c r="J435" s="34"/>
      <c r="K435" s="18"/>
      <c r="L435" s="18"/>
    </row>
    <row r="436" spans="1:12" ht="15.75">
      <c r="A436" s="46"/>
      <c r="B436" s="46"/>
      <c r="C436" s="47"/>
      <c r="D436" s="46" t="s">
        <v>11</v>
      </c>
      <c r="E436" s="46"/>
      <c r="F436" s="54">
        <f>B436</f>
        <v>0</v>
      </c>
      <c r="G436" s="46">
        <f>SUM(G419:G435)</f>
        <v>71100</v>
      </c>
      <c r="H436" s="55"/>
      <c r="I436" s="46"/>
      <c r="J436" s="34">
        <f>G436</f>
        <v>71100</v>
      </c>
      <c r="K436" s="46"/>
      <c r="L436" s="46"/>
    </row>
    <row r="437" spans="1:12" ht="47.25">
      <c r="A437" s="18">
        <v>500</v>
      </c>
      <c r="B437" s="18" t="s">
        <v>5</v>
      </c>
      <c r="C437" s="49" t="s">
        <v>173</v>
      </c>
      <c r="D437" s="21" t="s">
        <v>272</v>
      </c>
      <c r="E437" s="18" t="s">
        <v>23</v>
      </c>
      <c r="F437" s="21" t="str">
        <f>B437</f>
        <v>ECE</v>
      </c>
      <c r="G437" s="18">
        <v>6000</v>
      </c>
      <c r="H437" s="48">
        <v>45236</v>
      </c>
      <c r="I437" s="18" t="s">
        <v>12</v>
      </c>
      <c r="J437" s="34"/>
      <c r="K437" s="18"/>
      <c r="L437" s="18"/>
    </row>
    <row r="438" spans="1:12" ht="47.25">
      <c r="A438" s="18">
        <v>501</v>
      </c>
      <c r="B438" s="18" t="s">
        <v>5</v>
      </c>
      <c r="C438" s="49" t="s">
        <v>178</v>
      </c>
      <c r="D438" s="21" t="s">
        <v>271</v>
      </c>
      <c r="E438" s="18" t="s">
        <v>23</v>
      </c>
      <c r="F438" s="21" t="str">
        <f>B438</f>
        <v>ECE</v>
      </c>
      <c r="G438" s="18">
        <v>10000</v>
      </c>
      <c r="H438" s="48">
        <v>45236</v>
      </c>
      <c r="I438" s="18" t="s">
        <v>12</v>
      </c>
      <c r="J438" s="34"/>
      <c r="K438" s="18"/>
      <c r="L438" s="18"/>
    </row>
    <row r="439" spans="1:12" ht="47.25">
      <c r="A439" s="18">
        <v>502</v>
      </c>
      <c r="B439" s="18" t="s">
        <v>5</v>
      </c>
      <c r="C439" s="49" t="s">
        <v>52</v>
      </c>
      <c r="D439" s="21" t="s">
        <v>270</v>
      </c>
      <c r="E439" s="18" t="s">
        <v>23</v>
      </c>
      <c r="F439" s="21" t="str">
        <f>B439</f>
        <v>ECE</v>
      </c>
      <c r="G439" s="18">
        <v>10000</v>
      </c>
      <c r="H439" s="48">
        <v>45236</v>
      </c>
      <c r="I439" s="18" t="s">
        <v>223</v>
      </c>
      <c r="J439" s="34"/>
      <c r="K439" s="18"/>
      <c r="L439" s="18"/>
    </row>
    <row r="440" spans="1:12" ht="15.75">
      <c r="A440" s="18">
        <v>503</v>
      </c>
      <c r="B440" s="18" t="s">
        <v>5</v>
      </c>
      <c r="C440" s="49" t="s">
        <v>52</v>
      </c>
      <c r="D440" s="18" t="s">
        <v>166</v>
      </c>
      <c r="E440" s="18" t="s">
        <v>193</v>
      </c>
      <c r="F440" s="21" t="str">
        <f>B440</f>
        <v>ECE</v>
      </c>
      <c r="G440" s="18">
        <v>2000</v>
      </c>
      <c r="H440" s="48">
        <v>45236</v>
      </c>
      <c r="I440" s="18" t="s">
        <v>223</v>
      </c>
      <c r="J440" s="34"/>
      <c r="K440" s="18"/>
      <c r="L440" s="18"/>
    </row>
    <row r="441" spans="1:12" ht="31.5">
      <c r="A441" s="18">
        <v>504</v>
      </c>
      <c r="B441" s="18" t="s">
        <v>5</v>
      </c>
      <c r="C441" s="49" t="s">
        <v>269</v>
      </c>
      <c r="D441" s="21" t="s">
        <v>268</v>
      </c>
      <c r="E441" s="18" t="s">
        <v>16</v>
      </c>
      <c r="F441" s="21" t="str">
        <f>B441</f>
        <v>ECE</v>
      </c>
      <c r="G441" s="18">
        <v>1800</v>
      </c>
      <c r="H441" s="48">
        <v>45236</v>
      </c>
      <c r="I441" s="18" t="s">
        <v>12</v>
      </c>
      <c r="J441" s="34"/>
      <c r="K441" s="18"/>
      <c r="L441" s="18"/>
    </row>
    <row r="442" spans="1:12" ht="31.5">
      <c r="A442" s="18">
        <v>505</v>
      </c>
      <c r="B442" s="18" t="s">
        <v>5</v>
      </c>
      <c r="C442" s="49" t="s">
        <v>267</v>
      </c>
      <c r="D442" s="21" t="s">
        <v>266</v>
      </c>
      <c r="E442" s="18" t="s">
        <v>23</v>
      </c>
      <c r="F442" s="21" t="str">
        <f>B442</f>
        <v>ECE</v>
      </c>
      <c r="G442" s="18">
        <v>3000</v>
      </c>
      <c r="H442" s="48">
        <v>45236</v>
      </c>
      <c r="I442" s="18" t="s">
        <v>12</v>
      </c>
      <c r="J442" s="34"/>
      <c r="K442" s="18"/>
      <c r="L442" s="18"/>
    </row>
    <row r="443" spans="1:12" ht="31.5">
      <c r="A443" s="18">
        <v>506</v>
      </c>
      <c r="B443" s="18" t="s">
        <v>5</v>
      </c>
      <c r="C443" s="49" t="s">
        <v>264</v>
      </c>
      <c r="D443" s="21" t="s">
        <v>265</v>
      </c>
      <c r="E443" s="18" t="s">
        <v>16</v>
      </c>
      <c r="F443" s="21" t="str">
        <f>B443</f>
        <v>ECE</v>
      </c>
      <c r="G443" s="18">
        <v>900</v>
      </c>
      <c r="H443" s="48">
        <v>45236</v>
      </c>
      <c r="I443" s="18" t="s">
        <v>223</v>
      </c>
      <c r="J443" s="34"/>
      <c r="K443" s="18"/>
      <c r="L443" s="18"/>
    </row>
    <row r="444" spans="1:12" ht="31.5">
      <c r="A444" s="18">
        <v>507</v>
      </c>
      <c r="B444" s="18" t="s">
        <v>5</v>
      </c>
      <c r="C444" s="49" t="s">
        <v>264</v>
      </c>
      <c r="D444" s="21" t="s">
        <v>263</v>
      </c>
      <c r="E444" s="18" t="s">
        <v>16</v>
      </c>
      <c r="F444" s="21" t="str">
        <f>B444</f>
        <v>ECE</v>
      </c>
      <c r="G444" s="18">
        <v>1800</v>
      </c>
      <c r="H444" s="48">
        <v>45236</v>
      </c>
      <c r="I444" s="18" t="s">
        <v>223</v>
      </c>
      <c r="J444" s="34"/>
      <c r="K444" s="18"/>
      <c r="L444" s="18"/>
    </row>
    <row r="445" spans="1:12" ht="31.5">
      <c r="A445" s="18">
        <v>508</v>
      </c>
      <c r="B445" s="18" t="s">
        <v>5</v>
      </c>
      <c r="C445" s="49" t="s">
        <v>262</v>
      </c>
      <c r="D445" s="21" t="s">
        <v>261</v>
      </c>
      <c r="E445" s="18" t="s">
        <v>16</v>
      </c>
      <c r="F445" s="21" t="str">
        <f>B445</f>
        <v>ECE</v>
      </c>
      <c r="G445" s="18">
        <v>1800</v>
      </c>
      <c r="H445" s="48">
        <v>45236</v>
      </c>
      <c r="I445" s="18" t="s">
        <v>223</v>
      </c>
      <c r="J445" s="34"/>
      <c r="K445" s="18"/>
      <c r="L445" s="18"/>
    </row>
    <row r="446" spans="1:12" ht="31.5">
      <c r="A446" s="18">
        <v>509</v>
      </c>
      <c r="B446" s="18" t="s">
        <v>0</v>
      </c>
      <c r="C446" s="49" t="s">
        <v>260</v>
      </c>
      <c r="D446" s="21" t="s">
        <v>259</v>
      </c>
      <c r="E446" s="18" t="s">
        <v>13</v>
      </c>
      <c r="F446" s="21" t="str">
        <f>B446</f>
        <v>Maths</v>
      </c>
      <c r="G446" s="18">
        <v>3000</v>
      </c>
      <c r="H446" s="48">
        <v>45236</v>
      </c>
      <c r="I446" s="18" t="s">
        <v>12</v>
      </c>
      <c r="J446" s="34"/>
      <c r="K446" s="18"/>
      <c r="L446" s="18"/>
    </row>
    <row r="447" spans="1:12" ht="31.5">
      <c r="A447" s="18">
        <v>510</v>
      </c>
      <c r="B447" s="18" t="s">
        <v>2</v>
      </c>
      <c r="C447" s="49" t="s">
        <v>209</v>
      </c>
      <c r="D447" s="21" t="s">
        <v>258</v>
      </c>
      <c r="E447" s="18" t="s">
        <v>23</v>
      </c>
      <c r="F447" s="21" t="str">
        <f>B447</f>
        <v>Mech</v>
      </c>
      <c r="G447" s="18">
        <v>10000</v>
      </c>
      <c r="H447" s="48">
        <v>45236</v>
      </c>
      <c r="I447" s="18" t="s">
        <v>12</v>
      </c>
      <c r="J447" s="34"/>
      <c r="K447" s="18"/>
      <c r="L447" s="18"/>
    </row>
    <row r="448" spans="1:12" ht="31.5">
      <c r="A448" s="18">
        <v>511</v>
      </c>
      <c r="B448" s="18" t="s">
        <v>2</v>
      </c>
      <c r="C448" s="49" t="s">
        <v>186</v>
      </c>
      <c r="D448" s="21" t="s">
        <v>257</v>
      </c>
      <c r="E448" s="18" t="s">
        <v>23</v>
      </c>
      <c r="F448" s="21" t="str">
        <f>B448</f>
        <v>Mech</v>
      </c>
      <c r="G448" s="18">
        <v>6000</v>
      </c>
      <c r="H448" s="48">
        <v>45236</v>
      </c>
      <c r="I448" s="18" t="s">
        <v>12</v>
      </c>
      <c r="J448" s="34"/>
      <c r="K448" s="18"/>
      <c r="L448" s="18"/>
    </row>
    <row r="449" spans="1:12" ht="31.5">
      <c r="A449" s="18">
        <v>512</v>
      </c>
      <c r="B449" s="18" t="s">
        <v>2</v>
      </c>
      <c r="C449" s="49" t="s">
        <v>99</v>
      </c>
      <c r="D449" s="21" t="s">
        <v>256</v>
      </c>
      <c r="E449" s="18" t="s">
        <v>23</v>
      </c>
      <c r="F449" s="21" t="str">
        <f>B449</f>
        <v>Mech</v>
      </c>
      <c r="G449" s="18">
        <v>10000</v>
      </c>
      <c r="H449" s="48">
        <v>45236</v>
      </c>
      <c r="I449" s="18" t="s">
        <v>12</v>
      </c>
      <c r="J449" s="34"/>
      <c r="K449" s="18"/>
      <c r="L449" s="18"/>
    </row>
    <row r="450" spans="1:12" ht="31.5">
      <c r="A450" s="18">
        <v>513</v>
      </c>
      <c r="B450" s="18" t="s">
        <v>2</v>
      </c>
      <c r="C450" s="49" t="s">
        <v>99</v>
      </c>
      <c r="D450" s="21" t="s">
        <v>255</v>
      </c>
      <c r="E450" s="18" t="s">
        <v>13</v>
      </c>
      <c r="F450" s="21" t="str">
        <f>B450</f>
        <v>Mech</v>
      </c>
      <c r="G450" s="18">
        <v>5000</v>
      </c>
      <c r="H450" s="48">
        <v>45236</v>
      </c>
      <c r="I450" s="18" t="s">
        <v>12</v>
      </c>
      <c r="J450" s="34"/>
      <c r="K450" s="18"/>
      <c r="L450" s="18"/>
    </row>
    <row r="451" spans="1:12" ht="31.5">
      <c r="A451" s="18">
        <v>514</v>
      </c>
      <c r="B451" s="18" t="s">
        <v>2</v>
      </c>
      <c r="C451" s="49" t="s">
        <v>254</v>
      </c>
      <c r="D451" s="21" t="s">
        <v>253</v>
      </c>
      <c r="E451" s="18" t="s">
        <v>23</v>
      </c>
      <c r="F451" s="21" t="str">
        <f>B451</f>
        <v>Mech</v>
      </c>
      <c r="G451" s="18">
        <v>6000</v>
      </c>
      <c r="H451" s="48">
        <v>45236</v>
      </c>
      <c r="I451" s="18" t="s">
        <v>223</v>
      </c>
      <c r="J451" s="34"/>
      <c r="K451" s="18"/>
      <c r="L451" s="18"/>
    </row>
    <row r="452" spans="1:12" ht="31.5">
      <c r="A452" s="18">
        <v>515</v>
      </c>
      <c r="B452" s="18" t="s">
        <v>2</v>
      </c>
      <c r="C452" s="49" t="s">
        <v>252</v>
      </c>
      <c r="D452" s="21" t="s">
        <v>251</v>
      </c>
      <c r="E452" s="18" t="s">
        <v>13</v>
      </c>
      <c r="F452" s="21" t="str">
        <f>B452</f>
        <v>Mech</v>
      </c>
      <c r="G452" s="18">
        <v>3000</v>
      </c>
      <c r="H452" s="48">
        <v>45236</v>
      </c>
      <c r="I452" s="18" t="s">
        <v>223</v>
      </c>
      <c r="J452" s="34"/>
      <c r="K452" s="18"/>
      <c r="L452" s="18"/>
    </row>
    <row r="453" spans="1:12" ht="31.5">
      <c r="A453" s="18">
        <v>516</v>
      </c>
      <c r="B453" s="18" t="s">
        <v>0</v>
      </c>
      <c r="C453" s="49" t="s">
        <v>249</v>
      </c>
      <c r="D453" s="21" t="s">
        <v>250</v>
      </c>
      <c r="E453" s="18" t="s">
        <v>23</v>
      </c>
      <c r="F453" s="21" t="str">
        <f>B453</f>
        <v>Maths</v>
      </c>
      <c r="G453" s="18">
        <v>6000</v>
      </c>
      <c r="H453" s="48">
        <v>45236</v>
      </c>
      <c r="I453" s="18" t="s">
        <v>223</v>
      </c>
      <c r="J453" s="34"/>
      <c r="K453" s="18"/>
      <c r="L453" s="18"/>
    </row>
    <row r="454" spans="1:12" ht="31.5">
      <c r="A454" s="18">
        <v>517</v>
      </c>
      <c r="B454" s="18" t="s">
        <v>0</v>
      </c>
      <c r="C454" s="49" t="s">
        <v>249</v>
      </c>
      <c r="D454" s="21" t="s">
        <v>248</v>
      </c>
      <c r="E454" s="18" t="s">
        <v>13</v>
      </c>
      <c r="F454" s="21" t="str">
        <f>B454</f>
        <v>Maths</v>
      </c>
      <c r="G454" s="18">
        <v>1500</v>
      </c>
      <c r="H454" s="48">
        <v>45236</v>
      </c>
      <c r="I454" s="18" t="s">
        <v>223</v>
      </c>
      <c r="J454" s="34"/>
      <c r="K454" s="18"/>
      <c r="L454" s="18"/>
    </row>
    <row r="455" spans="1:12" ht="31.5">
      <c r="A455" s="18">
        <v>518</v>
      </c>
      <c r="B455" s="18" t="s">
        <v>6</v>
      </c>
      <c r="C455" s="49" t="s">
        <v>247</v>
      </c>
      <c r="D455" s="21" t="s">
        <v>246</v>
      </c>
      <c r="E455" s="18" t="s">
        <v>16</v>
      </c>
      <c r="F455" s="21" t="str">
        <f>B455</f>
        <v>CSE</v>
      </c>
      <c r="G455" s="18">
        <v>3000</v>
      </c>
      <c r="H455" s="48">
        <v>45236</v>
      </c>
      <c r="I455" s="18" t="s">
        <v>223</v>
      </c>
      <c r="J455" s="34"/>
      <c r="K455" s="18"/>
      <c r="L455" s="18"/>
    </row>
    <row r="456" spans="1:12" ht="47.25">
      <c r="A456" s="18">
        <v>519</v>
      </c>
      <c r="B456" s="18" t="s">
        <v>3</v>
      </c>
      <c r="C456" s="49" t="s">
        <v>245</v>
      </c>
      <c r="D456" s="21" t="s">
        <v>244</v>
      </c>
      <c r="E456" s="18" t="s">
        <v>16</v>
      </c>
      <c r="F456" s="18" t="str">
        <f>B456</f>
        <v>IT</v>
      </c>
      <c r="G456" s="18">
        <v>1800</v>
      </c>
      <c r="H456" s="48">
        <v>45236</v>
      </c>
      <c r="I456" s="18" t="s">
        <v>223</v>
      </c>
      <c r="J456" s="34"/>
      <c r="K456" s="18"/>
      <c r="L456" s="18"/>
    </row>
    <row r="457" spans="1:12" ht="15.75">
      <c r="A457" s="46"/>
      <c r="B457" s="46"/>
      <c r="C457" s="47"/>
      <c r="D457" s="46" t="s">
        <v>11</v>
      </c>
      <c r="E457" s="46"/>
      <c r="F457" s="54">
        <f>B457</f>
        <v>0</v>
      </c>
      <c r="G457" s="46">
        <f>SUM(G437:G456)</f>
        <v>92600</v>
      </c>
      <c r="H457" s="53"/>
      <c r="I457" s="46"/>
      <c r="J457" s="34">
        <f>G457</f>
        <v>92600</v>
      </c>
      <c r="K457" s="46"/>
      <c r="L457" s="46"/>
    </row>
    <row r="458" spans="1:12" ht="31.5">
      <c r="A458" s="18">
        <v>520</v>
      </c>
      <c r="B458" s="18" t="s">
        <v>2</v>
      </c>
      <c r="C458" s="49" t="s">
        <v>243</v>
      </c>
      <c r="D458" s="21" t="s">
        <v>242</v>
      </c>
      <c r="E458" s="18" t="s">
        <v>13</v>
      </c>
      <c r="F458" s="21" t="str">
        <f>B458</f>
        <v>Mech</v>
      </c>
      <c r="G458" s="18">
        <v>5000</v>
      </c>
      <c r="H458" s="48">
        <v>45236</v>
      </c>
      <c r="I458" s="18" t="s">
        <v>12</v>
      </c>
      <c r="J458" s="34"/>
      <c r="K458" s="18"/>
      <c r="L458" s="18"/>
    </row>
    <row r="459" spans="1:12" ht="47.25">
      <c r="A459" s="18">
        <v>521</v>
      </c>
      <c r="B459" s="18" t="s">
        <v>5</v>
      </c>
      <c r="C459" s="49" t="s">
        <v>241</v>
      </c>
      <c r="D459" s="21" t="s">
        <v>240</v>
      </c>
      <c r="E459" s="18" t="s">
        <v>23</v>
      </c>
      <c r="F459" s="21" t="str">
        <f>B459</f>
        <v>ECE</v>
      </c>
      <c r="G459" s="18">
        <v>6000</v>
      </c>
      <c r="H459" s="48">
        <v>45236</v>
      </c>
      <c r="I459" s="18" t="s">
        <v>12</v>
      </c>
      <c r="J459" s="34"/>
      <c r="K459" s="18"/>
      <c r="L459" s="18"/>
    </row>
    <row r="460" spans="1:12" ht="15.75">
      <c r="A460" s="18">
        <v>522</v>
      </c>
      <c r="B460" s="18" t="s">
        <v>5</v>
      </c>
      <c r="C460" s="49" t="s">
        <v>178</v>
      </c>
      <c r="D460" s="18" t="s">
        <v>166</v>
      </c>
      <c r="E460" s="18" t="s">
        <v>193</v>
      </c>
      <c r="F460" s="21" t="str">
        <f>B460</f>
        <v>ECE</v>
      </c>
      <c r="G460" s="18">
        <v>2000</v>
      </c>
      <c r="H460" s="48">
        <v>45236</v>
      </c>
      <c r="I460" s="18" t="s">
        <v>12</v>
      </c>
      <c r="J460" s="34"/>
      <c r="K460" s="18"/>
      <c r="L460" s="18"/>
    </row>
    <row r="461" spans="1:12" ht="15.75">
      <c r="A461" s="18">
        <v>523</v>
      </c>
      <c r="B461" s="18" t="s">
        <v>2</v>
      </c>
      <c r="C461" s="49" t="s">
        <v>209</v>
      </c>
      <c r="D461" s="18" t="s">
        <v>239</v>
      </c>
      <c r="E461" s="18" t="s">
        <v>193</v>
      </c>
      <c r="F461" s="21" t="str">
        <f>B461</f>
        <v>Mech</v>
      </c>
      <c r="G461" s="18">
        <v>6000</v>
      </c>
      <c r="H461" s="48">
        <v>45236</v>
      </c>
      <c r="I461" s="18" t="s">
        <v>12</v>
      </c>
      <c r="J461" s="34"/>
      <c r="K461" s="18"/>
      <c r="L461" s="18"/>
    </row>
    <row r="462" spans="1:12" ht="31.5">
      <c r="A462" s="18">
        <v>524</v>
      </c>
      <c r="B462" s="18" t="s">
        <v>3</v>
      </c>
      <c r="C462" s="49" t="s">
        <v>55</v>
      </c>
      <c r="D462" s="21" t="s">
        <v>238</v>
      </c>
      <c r="E462" s="18" t="s">
        <v>13</v>
      </c>
      <c r="F462" s="21" t="str">
        <f>B462</f>
        <v>IT</v>
      </c>
      <c r="G462" s="18">
        <v>3000</v>
      </c>
      <c r="H462" s="48">
        <v>45236</v>
      </c>
      <c r="I462" s="18" t="s">
        <v>223</v>
      </c>
      <c r="J462" s="34"/>
      <c r="K462" s="18"/>
      <c r="L462" s="18"/>
    </row>
    <row r="463" spans="1:12" ht="15.75">
      <c r="A463" s="18">
        <v>525</v>
      </c>
      <c r="B463" s="18" t="s">
        <v>6</v>
      </c>
      <c r="C463" s="49" t="s">
        <v>236</v>
      </c>
      <c r="D463" s="21" t="s">
        <v>237</v>
      </c>
      <c r="E463" s="18" t="s">
        <v>13</v>
      </c>
      <c r="F463" s="21" t="str">
        <f>B463</f>
        <v>CSE</v>
      </c>
      <c r="G463" s="18">
        <v>3000</v>
      </c>
      <c r="H463" s="48">
        <v>45236</v>
      </c>
      <c r="I463" s="18" t="s">
        <v>223</v>
      </c>
      <c r="J463" s="34"/>
      <c r="K463" s="18"/>
      <c r="L463" s="18"/>
    </row>
    <row r="464" spans="1:12" ht="15.75">
      <c r="A464" s="18">
        <v>526</v>
      </c>
      <c r="B464" s="18" t="s">
        <v>6</v>
      </c>
      <c r="C464" s="49" t="s">
        <v>236</v>
      </c>
      <c r="D464" s="21" t="s">
        <v>235</v>
      </c>
      <c r="E464" s="18" t="s">
        <v>13</v>
      </c>
      <c r="F464" s="21" t="str">
        <f>B464</f>
        <v>CSE</v>
      </c>
      <c r="G464" s="18">
        <v>3000</v>
      </c>
      <c r="H464" s="48">
        <v>45236</v>
      </c>
      <c r="I464" s="18" t="s">
        <v>223</v>
      </c>
      <c r="J464" s="34"/>
      <c r="K464" s="18"/>
      <c r="L464" s="18"/>
    </row>
    <row r="465" spans="1:12" ht="47.25">
      <c r="A465" s="18">
        <v>527</v>
      </c>
      <c r="B465" s="18" t="s">
        <v>1</v>
      </c>
      <c r="C465" s="49" t="s">
        <v>45</v>
      </c>
      <c r="D465" s="21" t="s">
        <v>234</v>
      </c>
      <c r="E465" s="18" t="s">
        <v>13</v>
      </c>
      <c r="F465" s="21" t="str">
        <f>B465</f>
        <v>S&amp;H</v>
      </c>
      <c r="G465" s="18">
        <v>3000</v>
      </c>
      <c r="H465" s="48">
        <v>45236</v>
      </c>
      <c r="I465" s="18" t="s">
        <v>12</v>
      </c>
      <c r="J465" s="34"/>
      <c r="K465" s="18"/>
      <c r="L465" s="18"/>
    </row>
    <row r="466" spans="1:12" ht="31.5">
      <c r="A466" s="18">
        <v>528</v>
      </c>
      <c r="B466" s="18" t="s">
        <v>6</v>
      </c>
      <c r="C466" s="49" t="s">
        <v>230</v>
      </c>
      <c r="D466" s="21" t="s">
        <v>233</v>
      </c>
      <c r="E466" s="18" t="s">
        <v>16</v>
      </c>
      <c r="F466" s="21" t="str">
        <f>B466</f>
        <v>CSE</v>
      </c>
      <c r="G466" s="18">
        <v>3000</v>
      </c>
      <c r="H466" s="48">
        <v>45236</v>
      </c>
      <c r="I466" s="18" t="s">
        <v>12</v>
      </c>
      <c r="J466" s="34"/>
      <c r="K466" s="18"/>
      <c r="L466" s="18"/>
    </row>
    <row r="467" spans="1:12" ht="31.5">
      <c r="A467" s="18">
        <v>529</v>
      </c>
      <c r="B467" s="18" t="s">
        <v>6</v>
      </c>
      <c r="C467" s="49" t="s">
        <v>230</v>
      </c>
      <c r="D467" s="21" t="s">
        <v>232</v>
      </c>
      <c r="E467" s="18" t="s">
        <v>16</v>
      </c>
      <c r="F467" s="21" t="str">
        <f>B467</f>
        <v>CSE</v>
      </c>
      <c r="G467" s="18">
        <v>3000</v>
      </c>
      <c r="H467" s="48">
        <v>45236</v>
      </c>
      <c r="I467" s="18" t="s">
        <v>12</v>
      </c>
      <c r="J467" s="34"/>
      <c r="K467" s="18"/>
      <c r="L467" s="18"/>
    </row>
    <row r="468" spans="1:12" ht="47.25">
      <c r="A468" s="18">
        <v>530</v>
      </c>
      <c r="B468" s="18" t="s">
        <v>6</v>
      </c>
      <c r="C468" s="49" t="s">
        <v>230</v>
      </c>
      <c r="D468" s="21" t="s">
        <v>231</v>
      </c>
      <c r="E468" s="18" t="s">
        <v>16</v>
      </c>
      <c r="F468" s="21" t="str">
        <f>B468</f>
        <v>CSE</v>
      </c>
      <c r="G468" s="18">
        <v>3000</v>
      </c>
      <c r="H468" s="48">
        <v>45236</v>
      </c>
      <c r="I468" s="18" t="s">
        <v>12</v>
      </c>
      <c r="J468" s="34"/>
      <c r="K468" s="18"/>
      <c r="L468" s="18"/>
    </row>
    <row r="469" spans="1:12" ht="31.5">
      <c r="A469" s="18">
        <v>531</v>
      </c>
      <c r="B469" s="18" t="s">
        <v>6</v>
      </c>
      <c r="C469" s="49" t="s">
        <v>230</v>
      </c>
      <c r="D469" s="21" t="s">
        <v>229</v>
      </c>
      <c r="E469" s="18" t="s">
        <v>16</v>
      </c>
      <c r="F469" s="21" t="str">
        <f>B469</f>
        <v>CSE</v>
      </c>
      <c r="G469" s="18">
        <v>1800</v>
      </c>
      <c r="H469" s="48">
        <v>45236</v>
      </c>
      <c r="I469" s="18" t="s">
        <v>12</v>
      </c>
      <c r="J469" s="34"/>
      <c r="K469" s="18"/>
      <c r="L469" s="18"/>
    </row>
    <row r="470" spans="1:12" ht="31.5">
      <c r="A470" s="18">
        <v>532</v>
      </c>
      <c r="B470" s="18" t="s">
        <v>6</v>
      </c>
      <c r="C470" s="49" t="s">
        <v>225</v>
      </c>
      <c r="D470" s="21" t="s">
        <v>228</v>
      </c>
      <c r="E470" s="18" t="s">
        <v>16</v>
      </c>
      <c r="F470" s="21" t="str">
        <f>B470</f>
        <v>CSE</v>
      </c>
      <c r="G470" s="18">
        <v>3000</v>
      </c>
      <c r="H470" s="48">
        <v>45236</v>
      </c>
      <c r="I470" s="18" t="s">
        <v>223</v>
      </c>
      <c r="J470" s="34"/>
      <c r="K470" s="18"/>
      <c r="L470" s="18"/>
    </row>
    <row r="471" spans="1:12" ht="31.5">
      <c r="A471" s="18">
        <v>533</v>
      </c>
      <c r="B471" s="18" t="s">
        <v>6</v>
      </c>
      <c r="C471" s="49" t="s">
        <v>225</v>
      </c>
      <c r="D471" s="21" t="s">
        <v>227</v>
      </c>
      <c r="E471" s="18" t="s">
        <v>16</v>
      </c>
      <c r="F471" s="21" t="str">
        <f>B471</f>
        <v>CSE</v>
      </c>
      <c r="G471" s="18">
        <v>1800</v>
      </c>
      <c r="H471" s="48">
        <v>45236</v>
      </c>
      <c r="I471" s="18" t="s">
        <v>223</v>
      </c>
      <c r="J471" s="34"/>
      <c r="K471" s="18"/>
      <c r="L471" s="18"/>
    </row>
    <row r="472" spans="1:12" ht="31.5">
      <c r="A472" s="18">
        <v>534</v>
      </c>
      <c r="B472" s="18" t="s">
        <v>6</v>
      </c>
      <c r="C472" s="49" t="s">
        <v>225</v>
      </c>
      <c r="D472" s="21" t="s">
        <v>226</v>
      </c>
      <c r="E472" s="18" t="s">
        <v>16</v>
      </c>
      <c r="F472" s="21" t="str">
        <f>B472</f>
        <v>CSE</v>
      </c>
      <c r="G472" s="18">
        <v>1800</v>
      </c>
      <c r="H472" s="48">
        <v>45236</v>
      </c>
      <c r="I472" s="18" t="s">
        <v>223</v>
      </c>
      <c r="J472" s="34"/>
      <c r="K472" s="18"/>
      <c r="L472" s="18"/>
    </row>
    <row r="473" spans="1:12" ht="31.5">
      <c r="A473" s="18">
        <v>535</v>
      </c>
      <c r="B473" s="18" t="s">
        <v>6</v>
      </c>
      <c r="C473" s="49" t="s">
        <v>225</v>
      </c>
      <c r="D473" s="21" t="s">
        <v>224</v>
      </c>
      <c r="E473" s="18" t="s">
        <v>16</v>
      </c>
      <c r="F473" s="21" t="str">
        <f>B473</f>
        <v>CSE</v>
      </c>
      <c r="G473" s="18">
        <v>1800</v>
      </c>
      <c r="H473" s="48">
        <v>45236</v>
      </c>
      <c r="I473" s="18" t="s">
        <v>223</v>
      </c>
      <c r="J473" s="34"/>
      <c r="K473" s="18"/>
      <c r="L473" s="18"/>
    </row>
    <row r="474" spans="1:12" ht="15.75">
      <c r="A474" s="18">
        <v>536</v>
      </c>
      <c r="B474" s="18" t="s">
        <v>2</v>
      </c>
      <c r="C474" s="49" t="s">
        <v>48</v>
      </c>
      <c r="D474" s="18" t="s">
        <v>198</v>
      </c>
      <c r="E474" s="18" t="s">
        <v>193</v>
      </c>
      <c r="F474" s="21" t="str">
        <f>B474</f>
        <v>Mech</v>
      </c>
      <c r="G474" s="18">
        <v>4000</v>
      </c>
      <c r="H474" s="48">
        <v>45236</v>
      </c>
      <c r="I474" s="18" t="s">
        <v>12</v>
      </c>
      <c r="J474" s="34"/>
      <c r="K474" s="18"/>
      <c r="L474" s="18"/>
    </row>
    <row r="475" spans="1:12" ht="31.5">
      <c r="A475" s="18">
        <v>537</v>
      </c>
      <c r="B475" s="18" t="s">
        <v>5</v>
      </c>
      <c r="C475" s="49" t="s">
        <v>173</v>
      </c>
      <c r="D475" s="21" t="s">
        <v>222</v>
      </c>
      <c r="E475" s="18" t="s">
        <v>23</v>
      </c>
      <c r="F475" s="21" t="str">
        <f>B475</f>
        <v>ECE</v>
      </c>
      <c r="G475" s="18">
        <v>10000</v>
      </c>
      <c r="H475" s="48">
        <v>45236</v>
      </c>
      <c r="I475" s="18" t="s">
        <v>12</v>
      </c>
      <c r="J475" s="34"/>
      <c r="K475" s="18"/>
      <c r="L475" s="18"/>
    </row>
    <row r="476" spans="1:12" ht="31.5">
      <c r="A476" s="18">
        <v>538</v>
      </c>
      <c r="B476" s="18" t="s">
        <v>0</v>
      </c>
      <c r="C476" s="49" t="s">
        <v>126</v>
      </c>
      <c r="D476" s="21" t="s">
        <v>221</v>
      </c>
      <c r="E476" s="18" t="s">
        <v>23</v>
      </c>
      <c r="F476" s="21" t="str">
        <f>B476</f>
        <v>Maths</v>
      </c>
      <c r="G476" s="18">
        <v>10000</v>
      </c>
      <c r="H476" s="48">
        <v>45236</v>
      </c>
      <c r="I476" s="18" t="s">
        <v>12</v>
      </c>
      <c r="J476" s="34"/>
      <c r="K476" s="18"/>
      <c r="L476" s="18"/>
    </row>
    <row r="477" spans="1:12" ht="15.75">
      <c r="A477" s="18">
        <v>539</v>
      </c>
      <c r="B477" s="18" t="s">
        <v>0</v>
      </c>
      <c r="C477" s="49" t="s">
        <v>126</v>
      </c>
      <c r="D477" s="29" t="s">
        <v>220</v>
      </c>
      <c r="E477" s="18" t="s">
        <v>193</v>
      </c>
      <c r="F477" s="21" t="str">
        <f>B477</f>
        <v>Maths</v>
      </c>
      <c r="G477" s="18">
        <v>2000</v>
      </c>
      <c r="H477" s="48">
        <v>45236</v>
      </c>
      <c r="I477" s="18" t="s">
        <v>12</v>
      </c>
      <c r="J477" s="34"/>
      <c r="K477" s="18"/>
      <c r="L477" s="18"/>
    </row>
    <row r="478" spans="1:12" ht="47.25">
      <c r="A478" s="18">
        <v>540</v>
      </c>
      <c r="B478" s="18" t="s">
        <v>1</v>
      </c>
      <c r="C478" s="49" t="s">
        <v>165</v>
      </c>
      <c r="D478" s="21" t="s">
        <v>219</v>
      </c>
      <c r="E478" s="18" t="s">
        <v>23</v>
      </c>
      <c r="F478" s="21" t="str">
        <f>B478</f>
        <v>S&amp;H</v>
      </c>
      <c r="G478" s="18">
        <v>6000</v>
      </c>
      <c r="H478" s="48">
        <v>45236</v>
      </c>
      <c r="I478" s="18" t="s">
        <v>12</v>
      </c>
      <c r="J478" s="34"/>
      <c r="K478" s="18"/>
      <c r="L478" s="18"/>
    </row>
    <row r="479" spans="1:12" ht="15.75">
      <c r="A479" s="46"/>
      <c r="B479" s="46"/>
      <c r="C479" s="47"/>
      <c r="D479" s="46" t="s">
        <v>11</v>
      </c>
      <c r="E479" s="46"/>
      <c r="F479" s="42">
        <f>B479</f>
        <v>0</v>
      </c>
      <c r="G479" s="42">
        <f>SUM(G458:G478)</f>
        <v>82200</v>
      </c>
      <c r="H479" s="44"/>
      <c r="I479" s="42"/>
      <c r="J479" s="34">
        <f>G479</f>
        <v>82200</v>
      </c>
      <c r="K479" s="42"/>
      <c r="L479" s="42">
        <v>37</v>
      </c>
    </row>
    <row r="480" spans="1:12" ht="31.5">
      <c r="A480" s="18">
        <v>541</v>
      </c>
      <c r="B480" s="18" t="s">
        <v>5</v>
      </c>
      <c r="C480" s="49" t="s">
        <v>175</v>
      </c>
      <c r="D480" s="21" t="s">
        <v>218</v>
      </c>
      <c r="E480" s="18" t="s">
        <v>187</v>
      </c>
      <c r="F480" s="21" t="str">
        <f>B480</f>
        <v>ECE</v>
      </c>
      <c r="G480" s="52">
        <v>3000</v>
      </c>
      <c r="H480" s="48">
        <v>45236</v>
      </c>
      <c r="I480" s="18" t="s">
        <v>12</v>
      </c>
      <c r="J480" s="34"/>
      <c r="K480" s="18"/>
      <c r="L480" s="18">
        <v>38</v>
      </c>
    </row>
    <row r="481" spans="1:12" ht="47.25">
      <c r="A481" s="18">
        <v>542</v>
      </c>
      <c r="B481" s="18" t="s">
        <v>5</v>
      </c>
      <c r="C481" s="49" t="s">
        <v>178</v>
      </c>
      <c r="D481" s="21" t="s">
        <v>217</v>
      </c>
      <c r="E481" s="18" t="s">
        <v>23</v>
      </c>
      <c r="F481" s="21" t="str">
        <f>B481</f>
        <v>ECE</v>
      </c>
      <c r="G481" s="52">
        <v>10000</v>
      </c>
      <c r="H481" s="48">
        <v>45236</v>
      </c>
      <c r="I481" s="18" t="s">
        <v>12</v>
      </c>
      <c r="J481" s="34"/>
      <c r="K481" s="18"/>
      <c r="L481" s="18">
        <v>38</v>
      </c>
    </row>
    <row r="482" spans="1:12" ht="15.75">
      <c r="A482" s="18">
        <v>543</v>
      </c>
      <c r="B482" s="18" t="s">
        <v>5</v>
      </c>
      <c r="C482" s="49" t="s">
        <v>178</v>
      </c>
      <c r="D482" s="18" t="s">
        <v>166</v>
      </c>
      <c r="E482" s="18" t="s">
        <v>193</v>
      </c>
      <c r="F482" s="21" t="str">
        <f>B482</f>
        <v>ECE</v>
      </c>
      <c r="G482" s="52">
        <v>2000</v>
      </c>
      <c r="H482" s="48">
        <v>45236</v>
      </c>
      <c r="I482" s="18" t="s">
        <v>12</v>
      </c>
      <c r="J482" s="34"/>
      <c r="K482" s="18"/>
      <c r="L482" s="18">
        <v>38</v>
      </c>
    </row>
    <row r="483" spans="1:12" ht="31.5">
      <c r="A483" s="18">
        <v>544</v>
      </c>
      <c r="B483" s="18" t="s">
        <v>5</v>
      </c>
      <c r="C483" s="49" t="s">
        <v>173</v>
      </c>
      <c r="D483" s="21" t="s">
        <v>216</v>
      </c>
      <c r="E483" s="18" t="s">
        <v>23</v>
      </c>
      <c r="F483" s="21" t="str">
        <f>B483</f>
        <v>ECE</v>
      </c>
      <c r="G483" s="52">
        <v>6000</v>
      </c>
      <c r="H483" s="48">
        <v>45236</v>
      </c>
      <c r="I483" s="18" t="s">
        <v>12</v>
      </c>
      <c r="J483" s="34"/>
      <c r="K483" s="18"/>
      <c r="L483" s="18">
        <v>38</v>
      </c>
    </row>
    <row r="484" spans="1:12" ht="15.75">
      <c r="A484" s="46"/>
      <c r="B484" s="46"/>
      <c r="C484" s="47"/>
      <c r="D484" s="46" t="s">
        <v>11</v>
      </c>
      <c r="E484" s="46"/>
      <c r="F484" s="42">
        <f>B484</f>
        <v>0</v>
      </c>
      <c r="G484" s="45">
        <f>SUM(G480:G483)</f>
        <v>21000</v>
      </c>
      <c r="H484" s="44"/>
      <c r="I484" s="42"/>
      <c r="J484" s="45">
        <f>G484</f>
        <v>21000</v>
      </c>
      <c r="K484" s="42"/>
      <c r="L484" s="42">
        <v>38</v>
      </c>
    </row>
    <row r="485" spans="1:12" ht="47.25">
      <c r="A485" s="18">
        <v>545</v>
      </c>
      <c r="B485" s="18" t="s">
        <v>5</v>
      </c>
      <c r="C485" s="49" t="s">
        <v>214</v>
      </c>
      <c r="D485" s="21" t="s">
        <v>215</v>
      </c>
      <c r="E485" s="18" t="s">
        <v>23</v>
      </c>
      <c r="F485" s="18" t="s">
        <v>5</v>
      </c>
      <c r="G485" s="18">
        <v>10000</v>
      </c>
      <c r="H485" s="48">
        <v>45251</v>
      </c>
      <c r="I485" s="34"/>
      <c r="J485" s="34"/>
      <c r="K485" s="34"/>
      <c r="L485" s="42">
        <v>39</v>
      </c>
    </row>
    <row r="486" spans="1:12" ht="94.5">
      <c r="A486" s="18">
        <v>546</v>
      </c>
      <c r="B486" s="18" t="s">
        <v>5</v>
      </c>
      <c r="C486" s="49" t="s">
        <v>214</v>
      </c>
      <c r="D486" s="21" t="s">
        <v>213</v>
      </c>
      <c r="E486" s="18" t="s">
        <v>212</v>
      </c>
      <c r="F486" s="18" t="s">
        <v>5</v>
      </c>
      <c r="G486" s="18">
        <v>16000</v>
      </c>
      <c r="H486" s="48">
        <v>45251</v>
      </c>
      <c r="I486" s="34"/>
      <c r="J486" s="34"/>
      <c r="K486" s="34"/>
      <c r="L486" s="42">
        <v>39</v>
      </c>
    </row>
    <row r="487" spans="1:12" ht="47.25">
      <c r="A487" s="18">
        <v>547</v>
      </c>
      <c r="B487" s="18" t="s">
        <v>5</v>
      </c>
      <c r="C487" s="49" t="s">
        <v>211</v>
      </c>
      <c r="D487" s="21" t="s">
        <v>210</v>
      </c>
      <c r="E487" s="18" t="s">
        <v>16</v>
      </c>
      <c r="F487" s="18" t="s">
        <v>5</v>
      </c>
      <c r="G487" s="18">
        <v>1800</v>
      </c>
      <c r="H487" s="48">
        <v>45251</v>
      </c>
      <c r="I487" s="34"/>
      <c r="J487" s="34"/>
      <c r="K487" s="34"/>
      <c r="L487" s="42">
        <v>39</v>
      </c>
    </row>
    <row r="488" spans="1:12" ht="31.5">
      <c r="A488" s="18">
        <v>548</v>
      </c>
      <c r="B488" s="18" t="s">
        <v>2</v>
      </c>
      <c r="C488" s="49" t="s">
        <v>209</v>
      </c>
      <c r="D488" s="21" t="s">
        <v>208</v>
      </c>
      <c r="E488" s="18" t="s">
        <v>23</v>
      </c>
      <c r="F488" s="18" t="s">
        <v>2</v>
      </c>
      <c r="G488" s="18">
        <v>5000</v>
      </c>
      <c r="H488" s="48">
        <v>45251</v>
      </c>
      <c r="I488" s="34"/>
      <c r="J488" s="34"/>
      <c r="K488" s="34"/>
      <c r="L488" s="42">
        <v>39</v>
      </c>
    </row>
    <row r="489" spans="1:12" ht="94.5">
      <c r="A489" s="18">
        <v>549</v>
      </c>
      <c r="B489" s="18" t="s">
        <v>8</v>
      </c>
      <c r="C489" s="49" t="s">
        <v>206</v>
      </c>
      <c r="D489" s="21" t="s">
        <v>207</v>
      </c>
      <c r="E489" s="18" t="s">
        <v>168</v>
      </c>
      <c r="F489" s="18" t="s">
        <v>8</v>
      </c>
      <c r="G489" s="18">
        <v>5000</v>
      </c>
      <c r="H489" s="48">
        <v>45251</v>
      </c>
      <c r="I489" s="34"/>
      <c r="J489" s="34"/>
      <c r="K489" s="34"/>
      <c r="L489" s="42">
        <v>39</v>
      </c>
    </row>
    <row r="490" spans="1:12" ht="31.5">
      <c r="A490" s="18">
        <v>550</v>
      </c>
      <c r="B490" s="18" t="s">
        <v>8</v>
      </c>
      <c r="C490" s="49" t="s">
        <v>206</v>
      </c>
      <c r="D490" s="21" t="s">
        <v>205</v>
      </c>
      <c r="E490" s="18" t="s">
        <v>16</v>
      </c>
      <c r="F490" s="18" t="s">
        <v>8</v>
      </c>
      <c r="G490" s="18">
        <v>3000</v>
      </c>
      <c r="H490" s="48">
        <v>45251</v>
      </c>
      <c r="I490" s="34"/>
      <c r="J490" s="34"/>
      <c r="K490" s="34"/>
      <c r="L490" s="42">
        <v>39</v>
      </c>
    </row>
    <row r="491" spans="1:12" ht="15.75">
      <c r="A491" s="18">
        <v>551</v>
      </c>
      <c r="B491" s="18" t="s">
        <v>5</v>
      </c>
      <c r="C491" s="49" t="s">
        <v>170</v>
      </c>
      <c r="D491" s="18" t="s">
        <v>162</v>
      </c>
      <c r="E491" s="18" t="s">
        <v>193</v>
      </c>
      <c r="F491" s="18" t="s">
        <v>5</v>
      </c>
      <c r="G491" s="18">
        <v>2000</v>
      </c>
      <c r="H491" s="48">
        <v>45251</v>
      </c>
      <c r="I491" s="34"/>
      <c r="J491" s="34"/>
      <c r="K491" s="34"/>
      <c r="L491" s="42">
        <v>39</v>
      </c>
    </row>
    <row r="492" spans="1:12" ht="15.75">
      <c r="A492" s="46"/>
      <c r="B492" s="46"/>
      <c r="C492" s="47"/>
      <c r="D492" s="46" t="s">
        <v>11</v>
      </c>
      <c r="E492" s="46"/>
      <c r="F492" s="42"/>
      <c r="G492" s="45">
        <f>SUM(G485:G491)</f>
        <v>42800</v>
      </c>
      <c r="H492" s="44"/>
      <c r="I492" s="42"/>
      <c r="J492" s="43">
        <f>G492</f>
        <v>42800</v>
      </c>
      <c r="K492" s="42"/>
      <c r="L492" s="42">
        <v>39</v>
      </c>
    </row>
    <row r="493" spans="1:12" ht="94.5">
      <c r="A493" s="18">
        <v>552</v>
      </c>
      <c r="B493" s="18" t="s">
        <v>2</v>
      </c>
      <c r="C493" s="49" t="s">
        <v>74</v>
      </c>
      <c r="D493" s="21" t="s">
        <v>204</v>
      </c>
      <c r="E493" s="18" t="s">
        <v>196</v>
      </c>
      <c r="F493" s="18" t="s">
        <v>2</v>
      </c>
      <c r="G493" s="18">
        <v>11800</v>
      </c>
      <c r="H493" s="48">
        <v>45251</v>
      </c>
      <c r="I493" s="34"/>
      <c r="J493" s="34"/>
      <c r="K493" s="34">
        <v>2023</v>
      </c>
      <c r="L493" s="42">
        <v>40</v>
      </c>
    </row>
    <row r="494" spans="1:12" ht="220.5">
      <c r="A494" s="18">
        <v>553</v>
      </c>
      <c r="B494" s="18" t="s">
        <v>2</v>
      </c>
      <c r="C494" s="49" t="s">
        <v>70</v>
      </c>
      <c r="D494" s="21" t="s">
        <v>203</v>
      </c>
      <c r="E494" s="18" t="s">
        <v>202</v>
      </c>
      <c r="F494" s="18" t="s">
        <v>2</v>
      </c>
      <c r="G494" s="18">
        <v>43000</v>
      </c>
      <c r="H494" s="48">
        <v>45251</v>
      </c>
      <c r="I494" s="34"/>
      <c r="J494" s="34"/>
      <c r="K494" s="34">
        <v>2023</v>
      </c>
      <c r="L494" s="42">
        <v>40</v>
      </c>
    </row>
    <row r="495" spans="1:12" ht="47.25">
      <c r="A495" s="18">
        <v>554</v>
      </c>
      <c r="B495" s="18" t="s">
        <v>2</v>
      </c>
      <c r="C495" s="49" t="s">
        <v>93</v>
      </c>
      <c r="D495" s="21" t="s">
        <v>201</v>
      </c>
      <c r="E495" s="18" t="s">
        <v>200</v>
      </c>
      <c r="F495" s="18" t="s">
        <v>2</v>
      </c>
      <c r="G495" s="18">
        <v>11000</v>
      </c>
      <c r="H495" s="48">
        <v>45251</v>
      </c>
      <c r="I495" s="18" t="s">
        <v>12</v>
      </c>
      <c r="J495" s="34"/>
      <c r="K495" s="34">
        <v>2023</v>
      </c>
      <c r="L495" s="42">
        <v>40</v>
      </c>
    </row>
    <row r="496" spans="1:12" ht="15.75">
      <c r="A496" s="18">
        <v>555</v>
      </c>
      <c r="B496" s="18" t="s">
        <v>4</v>
      </c>
      <c r="C496" s="49" t="s">
        <v>63</v>
      </c>
      <c r="D496" s="18" t="s">
        <v>198</v>
      </c>
      <c r="E496" s="18" t="s">
        <v>193</v>
      </c>
      <c r="F496" s="18" t="s">
        <v>4</v>
      </c>
      <c r="G496" s="18">
        <v>4000</v>
      </c>
      <c r="H496" s="48">
        <v>45251</v>
      </c>
      <c r="I496" s="34"/>
      <c r="J496" s="34"/>
      <c r="K496" s="34">
        <v>2023</v>
      </c>
      <c r="L496" s="42">
        <v>40</v>
      </c>
    </row>
    <row r="497" spans="1:12" ht="15.75">
      <c r="A497" s="18">
        <v>556</v>
      </c>
      <c r="B497" s="18" t="s">
        <v>4</v>
      </c>
      <c r="C497" s="49" t="s">
        <v>199</v>
      </c>
      <c r="D497" s="18" t="s">
        <v>198</v>
      </c>
      <c r="E497" s="18" t="s">
        <v>193</v>
      </c>
      <c r="F497" s="18" t="s">
        <v>4</v>
      </c>
      <c r="G497" s="18">
        <v>4000</v>
      </c>
      <c r="H497" s="48">
        <v>45251</v>
      </c>
      <c r="I497" s="34"/>
      <c r="J497" s="34"/>
      <c r="K497" s="34">
        <v>2023</v>
      </c>
      <c r="L497" s="42">
        <v>40</v>
      </c>
    </row>
    <row r="498" spans="1:12" ht="47.25">
      <c r="A498" s="18">
        <v>557</v>
      </c>
      <c r="B498" s="18" t="s">
        <v>4</v>
      </c>
      <c r="C498" s="49" t="s">
        <v>136</v>
      </c>
      <c r="D498" s="21" t="s">
        <v>197</v>
      </c>
      <c r="E498" s="18" t="s">
        <v>196</v>
      </c>
      <c r="F498" s="18" t="s">
        <v>4</v>
      </c>
      <c r="G498" s="18">
        <v>14800</v>
      </c>
      <c r="H498" s="48">
        <v>45251</v>
      </c>
      <c r="I498" s="34"/>
      <c r="J498" s="34"/>
      <c r="K498" s="34">
        <v>2023</v>
      </c>
      <c r="L498" s="42">
        <v>40</v>
      </c>
    </row>
    <row r="499" spans="1:12" ht="15.75">
      <c r="A499" s="18">
        <v>558</v>
      </c>
      <c r="B499" s="18" t="s">
        <v>1</v>
      </c>
      <c r="C499" s="49" t="s">
        <v>140</v>
      </c>
      <c r="D499" s="18"/>
      <c r="E499" s="18" t="s">
        <v>195</v>
      </c>
      <c r="F499" s="18" t="s">
        <v>1</v>
      </c>
      <c r="G499" s="18">
        <v>5000</v>
      </c>
      <c r="H499" s="48">
        <v>45251</v>
      </c>
      <c r="I499" s="34"/>
      <c r="J499" s="34"/>
      <c r="K499" s="34">
        <v>2023</v>
      </c>
      <c r="L499" s="42">
        <v>40</v>
      </c>
    </row>
    <row r="500" spans="1:12" ht="78.75">
      <c r="A500" s="50">
        <v>559</v>
      </c>
      <c r="B500" s="50" t="s">
        <v>0</v>
      </c>
      <c r="C500" s="51" t="s">
        <v>126</v>
      </c>
      <c r="D500" s="51" t="s">
        <v>194</v>
      </c>
      <c r="E500" s="50" t="s">
        <v>193</v>
      </c>
      <c r="F500" s="50" t="s">
        <v>192</v>
      </c>
      <c r="G500" s="50">
        <v>7000</v>
      </c>
      <c r="H500" s="48">
        <v>45251</v>
      </c>
      <c r="I500" s="34"/>
      <c r="J500" s="34"/>
      <c r="K500" s="34">
        <v>2023</v>
      </c>
      <c r="L500" s="42">
        <v>40</v>
      </c>
    </row>
    <row r="501" spans="1:12" ht="15.75">
      <c r="A501" s="46"/>
      <c r="B501" s="46"/>
      <c r="C501" s="47"/>
      <c r="D501" s="46" t="s">
        <v>11</v>
      </c>
      <c r="E501" s="46"/>
      <c r="F501" s="42"/>
      <c r="G501" s="45">
        <f>SUM(G493:G500)</f>
        <v>100600</v>
      </c>
      <c r="H501" s="44"/>
      <c r="I501" s="42"/>
      <c r="J501" s="43">
        <f>G501</f>
        <v>100600</v>
      </c>
      <c r="K501" s="42"/>
      <c r="L501" s="42">
        <v>40</v>
      </c>
    </row>
    <row r="502" spans="1:12" ht="31.5">
      <c r="A502" s="18">
        <v>560</v>
      </c>
      <c r="B502" s="18" t="s">
        <v>5</v>
      </c>
      <c r="C502" s="49" t="s">
        <v>115</v>
      </c>
      <c r="D502" s="18" t="s">
        <v>191</v>
      </c>
      <c r="E502" s="18" t="s">
        <v>23</v>
      </c>
      <c r="F502" s="18" t="s">
        <v>5</v>
      </c>
      <c r="G502" s="18">
        <v>12000</v>
      </c>
      <c r="H502" s="48">
        <v>45268</v>
      </c>
      <c r="I502" s="34"/>
      <c r="J502" s="34"/>
      <c r="K502" s="34">
        <v>2023</v>
      </c>
      <c r="L502" s="42">
        <v>41</v>
      </c>
    </row>
    <row r="503" spans="1:12" ht="15.75">
      <c r="A503" s="18">
        <v>561</v>
      </c>
      <c r="B503" s="18" t="s">
        <v>5</v>
      </c>
      <c r="C503" s="49" t="s">
        <v>178</v>
      </c>
      <c r="D503" s="18" t="s">
        <v>166</v>
      </c>
      <c r="E503" s="18" t="s">
        <v>161</v>
      </c>
      <c r="F503" s="18" t="s">
        <v>5</v>
      </c>
      <c r="G503" s="18">
        <v>2000</v>
      </c>
      <c r="H503" s="48">
        <v>45268</v>
      </c>
      <c r="I503" s="34"/>
      <c r="J503" s="34"/>
      <c r="K503" s="34">
        <v>2023</v>
      </c>
      <c r="L503" s="42">
        <v>41</v>
      </c>
    </row>
    <row r="504" spans="1:12" ht="47.25">
      <c r="A504" s="18">
        <v>562</v>
      </c>
      <c r="B504" s="18" t="s">
        <v>5</v>
      </c>
      <c r="C504" s="49" t="s">
        <v>18</v>
      </c>
      <c r="D504" s="18" t="s">
        <v>190</v>
      </c>
      <c r="E504" s="18" t="s">
        <v>171</v>
      </c>
      <c r="F504" s="18" t="s">
        <v>5</v>
      </c>
      <c r="G504" s="18">
        <v>13600</v>
      </c>
      <c r="H504" s="48">
        <v>45268</v>
      </c>
      <c r="I504" s="34"/>
      <c r="J504" s="34"/>
      <c r="K504" s="34">
        <v>2023</v>
      </c>
      <c r="L504" s="42">
        <v>41</v>
      </c>
    </row>
    <row r="505" spans="1:12" ht="31.5">
      <c r="A505" s="18">
        <v>563</v>
      </c>
      <c r="B505" s="18" t="s">
        <v>5</v>
      </c>
      <c r="C505" s="49" t="s">
        <v>173</v>
      </c>
      <c r="D505" s="18" t="s">
        <v>189</v>
      </c>
      <c r="E505" s="18" t="s">
        <v>171</v>
      </c>
      <c r="F505" s="18" t="s">
        <v>5</v>
      </c>
      <c r="G505" s="18">
        <v>7800</v>
      </c>
      <c r="H505" s="48">
        <v>45268</v>
      </c>
      <c r="I505" s="34"/>
      <c r="J505" s="34"/>
      <c r="K505" s="34">
        <v>2023</v>
      </c>
      <c r="L505" s="42">
        <v>41</v>
      </c>
    </row>
    <row r="506" spans="1:12" ht="47.25">
      <c r="A506" s="18">
        <v>564</v>
      </c>
      <c r="B506" s="18" t="s">
        <v>5</v>
      </c>
      <c r="C506" s="49" t="s">
        <v>26</v>
      </c>
      <c r="D506" s="18" t="s">
        <v>188</v>
      </c>
      <c r="E506" s="18" t="s">
        <v>187</v>
      </c>
      <c r="F506" s="18" t="s">
        <v>5</v>
      </c>
      <c r="G506" s="18">
        <v>1800</v>
      </c>
      <c r="H506" s="48">
        <v>45268</v>
      </c>
      <c r="I506" s="34"/>
      <c r="J506" s="34"/>
      <c r="K506" s="34">
        <v>2023</v>
      </c>
      <c r="L506" s="42">
        <v>41</v>
      </c>
    </row>
    <row r="507" spans="1:12" ht="63">
      <c r="A507" s="18">
        <v>565</v>
      </c>
      <c r="B507" s="18" t="s">
        <v>184</v>
      </c>
      <c r="C507" s="49" t="s">
        <v>186</v>
      </c>
      <c r="D507" s="18" t="s">
        <v>185</v>
      </c>
      <c r="E507" s="18" t="s">
        <v>23</v>
      </c>
      <c r="F507" s="18" t="s">
        <v>184</v>
      </c>
      <c r="G507" s="18">
        <v>10000</v>
      </c>
      <c r="H507" s="48">
        <v>45268</v>
      </c>
      <c r="I507" s="34"/>
      <c r="J507" s="34"/>
      <c r="K507" s="34">
        <v>2023</v>
      </c>
      <c r="L507" s="42">
        <v>41</v>
      </c>
    </row>
    <row r="508" spans="1:12" ht="31.5">
      <c r="A508" s="18">
        <v>566</v>
      </c>
      <c r="B508" s="18" t="s">
        <v>6</v>
      </c>
      <c r="C508" s="49" t="s">
        <v>183</v>
      </c>
      <c r="D508" s="18" t="s">
        <v>182</v>
      </c>
      <c r="E508" s="18" t="s">
        <v>16</v>
      </c>
      <c r="F508" s="18" t="s">
        <v>6</v>
      </c>
      <c r="G508" s="18">
        <v>500</v>
      </c>
      <c r="H508" s="48">
        <v>45268</v>
      </c>
      <c r="I508" s="34"/>
      <c r="J508" s="34"/>
      <c r="K508" s="34">
        <v>2023</v>
      </c>
      <c r="L508" s="42">
        <v>41</v>
      </c>
    </row>
    <row r="509" spans="1:12" ht="15.75">
      <c r="A509" s="46"/>
      <c r="B509" s="46"/>
      <c r="C509" s="47"/>
      <c r="D509" s="46" t="s">
        <v>11</v>
      </c>
      <c r="E509" s="46"/>
      <c r="F509" s="42"/>
      <c r="G509" s="45">
        <f>SUM(G502:G508)</f>
        <v>47700</v>
      </c>
      <c r="H509" s="44"/>
      <c r="I509" s="42"/>
      <c r="J509" s="43">
        <f>G509</f>
        <v>47700</v>
      </c>
      <c r="K509" s="42"/>
      <c r="L509" s="42">
        <v>41</v>
      </c>
    </row>
    <row r="510" spans="1:12" ht="31.5">
      <c r="A510" s="18">
        <v>567</v>
      </c>
      <c r="B510" s="18" t="s">
        <v>6</v>
      </c>
      <c r="C510" s="49" t="s">
        <v>181</v>
      </c>
      <c r="D510" s="21" t="s">
        <v>180</v>
      </c>
      <c r="E510" s="18" t="s">
        <v>171</v>
      </c>
      <c r="F510" s="18" t="str">
        <f>B510</f>
        <v>CSE</v>
      </c>
      <c r="G510" s="18">
        <v>4800</v>
      </c>
      <c r="H510" s="48">
        <v>45278</v>
      </c>
      <c r="I510" s="34"/>
      <c r="J510" s="34"/>
      <c r="K510" s="34">
        <v>2023</v>
      </c>
      <c r="L510" s="29">
        <v>42</v>
      </c>
    </row>
    <row r="511" spans="1:12" ht="31.5">
      <c r="A511" s="18">
        <v>568</v>
      </c>
      <c r="B511" s="18" t="s">
        <v>5</v>
      </c>
      <c r="C511" s="49" t="s">
        <v>52</v>
      </c>
      <c r="D511" s="21" t="s">
        <v>179</v>
      </c>
      <c r="E511" s="18" t="s">
        <v>171</v>
      </c>
      <c r="F511" s="18" t="str">
        <f>B511</f>
        <v>ECE</v>
      </c>
      <c r="G511" s="18">
        <v>1800</v>
      </c>
      <c r="H511" s="48">
        <v>45278</v>
      </c>
      <c r="I511" s="34"/>
      <c r="J511" s="34"/>
      <c r="K511" s="34">
        <v>2023</v>
      </c>
      <c r="L511" s="29">
        <v>42</v>
      </c>
    </row>
    <row r="512" spans="1:12" ht="31.5">
      <c r="A512" s="18">
        <v>569</v>
      </c>
      <c r="B512" s="18" t="s">
        <v>5</v>
      </c>
      <c r="C512" s="49" t="s">
        <v>178</v>
      </c>
      <c r="D512" s="21" t="s">
        <v>177</v>
      </c>
      <c r="E512" s="18" t="s">
        <v>176</v>
      </c>
      <c r="F512" s="18" t="str">
        <f>B512</f>
        <v>ECE</v>
      </c>
      <c r="G512" s="18">
        <v>20000</v>
      </c>
      <c r="H512" s="48">
        <v>45278</v>
      </c>
      <c r="I512" s="34"/>
      <c r="J512" s="34"/>
      <c r="K512" s="34">
        <v>2023</v>
      </c>
      <c r="L512" s="29">
        <v>42</v>
      </c>
    </row>
    <row r="513" spans="1:12" ht="15.75">
      <c r="A513" s="18">
        <v>570</v>
      </c>
      <c r="B513" s="18" t="s">
        <v>5</v>
      </c>
      <c r="C513" s="49" t="s">
        <v>26</v>
      </c>
      <c r="D513" s="18" t="s">
        <v>166</v>
      </c>
      <c r="E513" s="18" t="s">
        <v>161</v>
      </c>
      <c r="F513" s="18" t="str">
        <f>B513</f>
        <v>ECE</v>
      </c>
      <c r="G513" s="18">
        <v>2000</v>
      </c>
      <c r="H513" s="48">
        <v>45278</v>
      </c>
      <c r="I513" s="34"/>
      <c r="J513" s="34"/>
      <c r="K513" s="34">
        <v>2023</v>
      </c>
      <c r="L513" s="29">
        <v>42</v>
      </c>
    </row>
    <row r="514" spans="1:12" ht="31.5">
      <c r="A514" s="18">
        <v>571</v>
      </c>
      <c r="B514" s="18" t="s">
        <v>5</v>
      </c>
      <c r="C514" s="49" t="s">
        <v>175</v>
      </c>
      <c r="D514" s="21" t="s">
        <v>174</v>
      </c>
      <c r="E514" s="18" t="s">
        <v>171</v>
      </c>
      <c r="F514" s="18" t="str">
        <f>B514</f>
        <v>ECE</v>
      </c>
      <c r="G514" s="18">
        <v>3000</v>
      </c>
      <c r="H514" s="48">
        <v>45278</v>
      </c>
      <c r="I514" s="34"/>
      <c r="J514" s="34"/>
      <c r="K514" s="34">
        <v>2023</v>
      </c>
      <c r="L514" s="29">
        <v>42</v>
      </c>
    </row>
    <row r="515" spans="1:12" ht="31.5">
      <c r="A515" s="18">
        <v>572</v>
      </c>
      <c r="B515" s="18" t="s">
        <v>5</v>
      </c>
      <c r="C515" s="49" t="s">
        <v>173</v>
      </c>
      <c r="D515" s="21" t="s">
        <v>172</v>
      </c>
      <c r="E515" s="18" t="s">
        <v>171</v>
      </c>
      <c r="F515" s="18" t="str">
        <f>B515</f>
        <v>ECE</v>
      </c>
      <c r="G515" s="18">
        <v>6000</v>
      </c>
      <c r="H515" s="48">
        <v>45278</v>
      </c>
      <c r="I515" s="34"/>
      <c r="J515" s="34"/>
      <c r="K515" s="34">
        <v>2023</v>
      </c>
      <c r="L515" s="29">
        <v>42</v>
      </c>
    </row>
    <row r="516" spans="1:12" ht="31.5">
      <c r="A516" s="18">
        <v>573</v>
      </c>
      <c r="B516" s="18" t="s">
        <v>5</v>
      </c>
      <c r="C516" s="49" t="s">
        <v>170</v>
      </c>
      <c r="D516" s="21" t="s">
        <v>169</v>
      </c>
      <c r="E516" s="18" t="s">
        <v>168</v>
      </c>
      <c r="F516" s="18" t="str">
        <f>B516</f>
        <v>ECE</v>
      </c>
      <c r="G516" s="18">
        <v>5000</v>
      </c>
      <c r="H516" s="48">
        <v>45278</v>
      </c>
      <c r="I516" s="34"/>
      <c r="J516" s="34"/>
      <c r="K516" s="34">
        <v>2023</v>
      </c>
      <c r="L516" s="29">
        <v>42</v>
      </c>
    </row>
    <row r="517" spans="1:12" ht="15.75">
      <c r="A517" s="18">
        <v>574</v>
      </c>
      <c r="B517" s="18" t="s">
        <v>1</v>
      </c>
      <c r="C517" s="49" t="s">
        <v>167</v>
      </c>
      <c r="D517" s="18" t="s">
        <v>166</v>
      </c>
      <c r="E517" s="18" t="s">
        <v>161</v>
      </c>
      <c r="F517" s="18" t="str">
        <f>B517</f>
        <v>S&amp;H</v>
      </c>
      <c r="G517" s="18">
        <v>2000</v>
      </c>
      <c r="H517" s="48">
        <v>45278</v>
      </c>
      <c r="I517" s="34"/>
      <c r="J517" s="34"/>
      <c r="K517" s="34">
        <v>2023</v>
      </c>
      <c r="L517" s="29">
        <v>42</v>
      </c>
    </row>
    <row r="518" spans="1:12" ht="31.5">
      <c r="A518" s="18">
        <v>575</v>
      </c>
      <c r="B518" s="18" t="s">
        <v>1</v>
      </c>
      <c r="C518" s="49" t="s">
        <v>165</v>
      </c>
      <c r="D518" s="21" t="s">
        <v>164</v>
      </c>
      <c r="E518" s="18" t="s">
        <v>23</v>
      </c>
      <c r="F518" s="18" t="str">
        <f>B518</f>
        <v>S&amp;H</v>
      </c>
      <c r="G518" s="18">
        <v>10000</v>
      </c>
      <c r="H518" s="48">
        <v>45278</v>
      </c>
      <c r="I518" s="34"/>
      <c r="J518" s="34"/>
      <c r="K518" s="34">
        <v>2023</v>
      </c>
      <c r="L518" s="29">
        <v>42</v>
      </c>
    </row>
    <row r="519" spans="1:12" ht="15.75">
      <c r="A519" s="18">
        <v>576</v>
      </c>
      <c r="B519" s="18" t="s">
        <v>1</v>
      </c>
      <c r="C519" s="49" t="s">
        <v>163</v>
      </c>
      <c r="D519" s="18" t="s">
        <v>162</v>
      </c>
      <c r="E519" s="18" t="s">
        <v>161</v>
      </c>
      <c r="F519" s="18" t="str">
        <f>B519</f>
        <v>S&amp;H</v>
      </c>
      <c r="G519" s="18">
        <v>2000</v>
      </c>
      <c r="H519" s="48">
        <v>45278</v>
      </c>
      <c r="I519" s="34"/>
      <c r="J519" s="34"/>
      <c r="K519" s="34">
        <v>2023</v>
      </c>
      <c r="L519" s="34">
        <v>42</v>
      </c>
    </row>
    <row r="520" spans="1:12" ht="15.75">
      <c r="A520" s="46"/>
      <c r="B520" s="46"/>
      <c r="C520" s="47"/>
      <c r="D520" s="46" t="s">
        <v>11</v>
      </c>
      <c r="E520" s="46"/>
      <c r="F520" s="42"/>
      <c r="G520" s="45">
        <f>SUM(G510:G519)</f>
        <v>56600</v>
      </c>
      <c r="H520" s="44"/>
      <c r="I520" s="42"/>
      <c r="J520" s="43">
        <f>G520</f>
        <v>56600</v>
      </c>
      <c r="K520" s="42"/>
      <c r="L520" s="42">
        <v>42</v>
      </c>
    </row>
    <row r="521" spans="1:12" ht="15.75">
      <c r="A521" s="40"/>
      <c r="B521" s="29" t="s">
        <v>160</v>
      </c>
      <c r="C521" s="39" t="s">
        <v>160</v>
      </c>
      <c r="D521" s="41"/>
      <c r="E521" s="37"/>
      <c r="F521" s="29" t="str">
        <f>B521</f>
        <v>SELECT</v>
      </c>
      <c r="G521" s="36"/>
      <c r="H521" s="35"/>
      <c r="I521" s="33"/>
      <c r="J521" s="34"/>
      <c r="K521" s="33"/>
      <c r="L521" s="33"/>
    </row>
    <row r="522" spans="1:12" ht="15.75">
      <c r="A522" s="40"/>
      <c r="B522" s="29" t="s">
        <v>160</v>
      </c>
      <c r="C522" s="39" t="s">
        <v>160</v>
      </c>
      <c r="D522" s="38" t="s">
        <v>9</v>
      </c>
      <c r="E522" s="37">
        <f>COUNTIF($B$2:$B$519,D522)</f>
        <v>5</v>
      </c>
      <c r="F522" s="29" t="str">
        <f>B522</f>
        <v>SELECT</v>
      </c>
      <c r="G522" s="36"/>
      <c r="H522" s="35"/>
      <c r="I522" s="33"/>
      <c r="J522" s="34"/>
      <c r="K522" s="33"/>
      <c r="L522" s="33"/>
    </row>
    <row r="523" spans="1:12" ht="15.75">
      <c r="A523" s="40"/>
      <c r="B523" s="29" t="s">
        <v>160</v>
      </c>
      <c r="C523" s="39" t="s">
        <v>160</v>
      </c>
      <c r="D523" s="38" t="s">
        <v>8</v>
      </c>
      <c r="E523" s="37">
        <f>COUNTIF($B$2:$B$519,D523)</f>
        <v>52</v>
      </c>
      <c r="F523" s="29" t="str">
        <f>B523</f>
        <v>SELECT</v>
      </c>
      <c r="G523" s="36"/>
      <c r="H523" s="35"/>
      <c r="I523" s="33"/>
      <c r="J523" s="34"/>
      <c r="K523" s="33"/>
      <c r="L523" s="33"/>
    </row>
    <row r="524" spans="1:12" ht="15.75">
      <c r="A524" s="40"/>
      <c r="B524" s="29" t="s">
        <v>160</v>
      </c>
      <c r="C524" s="39" t="s">
        <v>160</v>
      </c>
      <c r="D524" s="38" t="s">
        <v>7</v>
      </c>
      <c r="E524" s="37">
        <f>COUNTIF($B$2:$B$519,D524)</f>
        <v>13</v>
      </c>
      <c r="F524" s="29" t="str">
        <f>B524</f>
        <v>SELECT</v>
      </c>
      <c r="G524" s="36"/>
      <c r="H524" s="35"/>
      <c r="I524" s="33"/>
      <c r="J524" s="34"/>
      <c r="K524" s="33"/>
      <c r="L524" s="33"/>
    </row>
    <row r="525" spans="1:12" ht="15.75">
      <c r="A525" s="40"/>
      <c r="B525" s="29" t="s">
        <v>160</v>
      </c>
      <c r="C525" s="39" t="s">
        <v>160</v>
      </c>
      <c r="D525" s="38" t="s">
        <v>6</v>
      </c>
      <c r="E525" s="37">
        <f>COUNTIF($B$2:$B$519,D525)</f>
        <v>57</v>
      </c>
      <c r="F525" s="29" t="str">
        <f>B525</f>
        <v>SELECT</v>
      </c>
      <c r="G525" s="36"/>
      <c r="H525" s="35"/>
      <c r="I525" s="33"/>
      <c r="J525" s="34"/>
      <c r="K525" s="33"/>
      <c r="L525" s="33"/>
    </row>
    <row r="526" spans="1:12" ht="15.75">
      <c r="A526" s="40"/>
      <c r="B526" s="29" t="s">
        <v>160</v>
      </c>
      <c r="C526" s="39" t="s">
        <v>160</v>
      </c>
      <c r="D526" s="38" t="s">
        <v>5</v>
      </c>
      <c r="E526" s="37">
        <f>COUNTIF($B$2:$B$519,D526)</f>
        <v>179</v>
      </c>
      <c r="F526" s="29" t="str">
        <f>B526</f>
        <v>SELECT</v>
      </c>
      <c r="G526" s="36"/>
      <c r="H526" s="35"/>
      <c r="I526" s="33"/>
      <c r="J526" s="34"/>
      <c r="K526" s="33"/>
      <c r="L526" s="33"/>
    </row>
    <row r="527" spans="1:12" ht="15.75">
      <c r="A527" s="40"/>
      <c r="B527" s="29" t="s">
        <v>160</v>
      </c>
      <c r="C527" s="39" t="s">
        <v>160</v>
      </c>
      <c r="D527" s="38" t="s">
        <v>4</v>
      </c>
      <c r="E527" s="37">
        <f>COUNTIF($B$2:$B$519,D527)</f>
        <v>32</v>
      </c>
      <c r="F527" s="29" t="str">
        <f>B527</f>
        <v>SELECT</v>
      </c>
      <c r="G527" s="36"/>
      <c r="H527" s="35"/>
      <c r="I527" s="33"/>
      <c r="J527" s="34"/>
      <c r="K527" s="33"/>
      <c r="L527" s="33"/>
    </row>
    <row r="528" spans="1:12" ht="15.75">
      <c r="A528" s="40"/>
      <c r="B528" s="29" t="s">
        <v>160</v>
      </c>
      <c r="C528" s="39" t="s">
        <v>160</v>
      </c>
      <c r="D528" s="38" t="s">
        <v>3</v>
      </c>
      <c r="E528" s="37">
        <f>COUNTIF($B$2:$B$519,D528)</f>
        <v>14</v>
      </c>
      <c r="F528" s="29" t="str">
        <f>B528</f>
        <v>SELECT</v>
      </c>
      <c r="G528" s="36"/>
      <c r="H528" s="35"/>
      <c r="I528" s="33"/>
      <c r="J528" s="34"/>
      <c r="K528" s="33"/>
      <c r="L528" s="33"/>
    </row>
    <row r="529" spans="1:12" ht="15.75">
      <c r="A529" s="40"/>
      <c r="B529" s="29" t="s">
        <v>160</v>
      </c>
      <c r="C529" s="39" t="s">
        <v>160</v>
      </c>
      <c r="D529" s="38" t="s">
        <v>2</v>
      </c>
      <c r="E529" s="37">
        <f>COUNTIF($B$2:$B$519,D529)</f>
        <v>82</v>
      </c>
      <c r="F529" s="29" t="str">
        <f>B529</f>
        <v>SELECT</v>
      </c>
      <c r="G529" s="36"/>
      <c r="H529" s="35"/>
      <c r="I529" s="33"/>
      <c r="J529" s="34"/>
      <c r="K529" s="33"/>
      <c r="L529" s="33"/>
    </row>
    <row r="530" spans="1:12" ht="15.75">
      <c r="A530" s="40"/>
      <c r="B530" s="29" t="s">
        <v>160</v>
      </c>
      <c r="C530" s="39" t="s">
        <v>160</v>
      </c>
      <c r="D530" s="38" t="s">
        <v>1</v>
      </c>
      <c r="E530" s="37">
        <f>COUNTIF($B$2:$B$519,D530)</f>
        <v>33</v>
      </c>
      <c r="F530" s="29" t="str">
        <f>B530</f>
        <v>SELECT</v>
      </c>
      <c r="G530" s="36"/>
      <c r="H530" s="35"/>
      <c r="I530" s="33"/>
      <c r="J530" s="34"/>
      <c r="K530" s="33"/>
      <c r="L530" s="33"/>
    </row>
    <row r="531" spans="1:12" ht="15.75">
      <c r="A531" s="40"/>
      <c r="B531" s="29" t="s">
        <v>160</v>
      </c>
      <c r="C531" s="39" t="s">
        <v>160</v>
      </c>
      <c r="D531" s="38" t="s">
        <v>0</v>
      </c>
      <c r="E531" s="37">
        <f>COUNTIF($B$2:$B$519,D531)</f>
        <v>23</v>
      </c>
      <c r="F531" s="29" t="str">
        <f>B531</f>
        <v>SELECT</v>
      </c>
      <c r="G531" s="36"/>
      <c r="H531" s="35"/>
      <c r="I531" s="33"/>
      <c r="J531" s="34"/>
      <c r="K531" s="33"/>
      <c r="L531" s="33"/>
    </row>
  </sheetData>
  <autoFilter ref="A1:L531"/>
  <dataValidations count="1">
    <dataValidation type="list" allowBlank="1" showErrorMessage="1" sqref="B521:B531">
      <formula1>#REF!</formula1>
    </dataValidation>
  </dataValidations>
  <pageMargins left="0.70866141732283472" right="0.70866141732283472" top="0.74803149606299213" bottom="0.74803149606299213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'[Faculty Research Incentive 2024-2025_ Ver 3.0 dt. 15.07.2024 (1).xlsx]Name of the Faculty'!#REF!</xm:f>
          </x14:formula1>
          <xm:sqref>C521:C531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000"/>
  <sheetViews>
    <sheetView tabSelected="1" workbookViewId="0">
      <selection activeCell="D10" sqref="D10"/>
    </sheetView>
  </sheetViews>
  <sheetFormatPr defaultColWidth="14.42578125" defaultRowHeight="15" customHeight="1"/>
  <cols>
    <col min="1" max="1" width="5.5703125" style="1" customWidth="1"/>
    <col min="2" max="2" width="7.140625" style="1" customWidth="1"/>
    <col min="3" max="3" width="26" style="1" customWidth="1"/>
    <col min="4" max="4" width="77.140625" style="1" customWidth="1"/>
    <col min="5" max="5" width="20.42578125" style="1" customWidth="1"/>
    <col min="6" max="6" width="7" style="1" customWidth="1"/>
    <col min="7" max="7" width="12" style="1" customWidth="1"/>
    <col min="8" max="8" width="14.42578125" style="1"/>
    <col min="9" max="9" width="14" style="1" customWidth="1"/>
    <col min="10" max="16384" width="14.42578125" style="1"/>
  </cols>
  <sheetData>
    <row r="1" spans="1:9">
      <c r="A1" s="32" t="s">
        <v>159</v>
      </c>
      <c r="B1" s="31"/>
      <c r="C1" s="31"/>
      <c r="D1" s="31"/>
      <c r="E1" s="31"/>
      <c r="F1" s="31"/>
      <c r="G1" s="31"/>
      <c r="H1" s="31"/>
      <c r="I1" s="30"/>
    </row>
    <row r="2" spans="1:9" ht="63">
      <c r="A2" s="29" t="s">
        <v>158</v>
      </c>
      <c r="B2" s="29" t="s">
        <v>154</v>
      </c>
      <c r="C2" s="29" t="s">
        <v>157</v>
      </c>
      <c r="D2" s="29" t="s">
        <v>156</v>
      </c>
      <c r="E2" s="29" t="s">
        <v>155</v>
      </c>
      <c r="F2" s="29" t="s">
        <v>154</v>
      </c>
      <c r="G2" s="29" t="s">
        <v>153</v>
      </c>
      <c r="H2" s="29" t="s">
        <v>152</v>
      </c>
      <c r="I2" s="29" t="s">
        <v>151</v>
      </c>
    </row>
    <row r="3" spans="1:9" ht="31.5">
      <c r="A3" s="22">
        <v>1</v>
      </c>
      <c r="B3" s="22" t="s">
        <v>5</v>
      </c>
      <c r="C3" s="25" t="s">
        <v>150</v>
      </c>
      <c r="D3" s="25" t="s">
        <v>149</v>
      </c>
      <c r="E3" s="22" t="s">
        <v>16</v>
      </c>
      <c r="F3" s="22" t="s">
        <v>5</v>
      </c>
      <c r="G3" s="22">
        <v>1800</v>
      </c>
      <c r="H3" s="23">
        <v>44824</v>
      </c>
      <c r="I3" s="22" t="s">
        <v>148</v>
      </c>
    </row>
    <row r="4" spans="1:9" ht="31.5">
      <c r="A4" s="18">
        <v>2</v>
      </c>
      <c r="B4" s="18" t="s">
        <v>1</v>
      </c>
      <c r="C4" s="21" t="s">
        <v>87</v>
      </c>
      <c r="D4" s="21" t="s">
        <v>147</v>
      </c>
      <c r="E4" s="18" t="s">
        <v>23</v>
      </c>
      <c r="F4" s="18" t="s">
        <v>1</v>
      </c>
      <c r="G4" s="18">
        <v>6000</v>
      </c>
      <c r="H4" s="19">
        <v>44824</v>
      </c>
      <c r="I4" s="18" t="s">
        <v>12</v>
      </c>
    </row>
    <row r="5" spans="1:9" ht="31.5">
      <c r="A5" s="18">
        <v>3</v>
      </c>
      <c r="B5" s="18" t="s">
        <v>8</v>
      </c>
      <c r="C5" s="21" t="s">
        <v>146</v>
      </c>
      <c r="D5" s="21" t="s">
        <v>145</v>
      </c>
      <c r="E5" s="18" t="s">
        <v>23</v>
      </c>
      <c r="F5" s="18" t="s">
        <v>8</v>
      </c>
      <c r="G5" s="18">
        <v>6000</v>
      </c>
      <c r="H5" s="19">
        <v>44824</v>
      </c>
      <c r="I5" s="18" t="s">
        <v>12</v>
      </c>
    </row>
    <row r="6" spans="1:9" ht="31.5">
      <c r="A6" s="18">
        <v>4</v>
      </c>
      <c r="B6" s="18" t="s">
        <v>6</v>
      </c>
      <c r="C6" s="21" t="s">
        <v>105</v>
      </c>
      <c r="D6" s="21" t="s">
        <v>144</v>
      </c>
      <c r="E6" s="18" t="s">
        <v>23</v>
      </c>
      <c r="F6" s="18" t="s">
        <v>6</v>
      </c>
      <c r="G6" s="18">
        <v>3000</v>
      </c>
      <c r="H6" s="19">
        <v>44824</v>
      </c>
      <c r="I6" s="18" t="s">
        <v>12</v>
      </c>
    </row>
    <row r="7" spans="1:9" ht="31.5">
      <c r="A7" s="18">
        <v>5</v>
      </c>
      <c r="B7" s="18" t="s">
        <v>6</v>
      </c>
      <c r="C7" s="21" t="s">
        <v>105</v>
      </c>
      <c r="D7" s="21" t="s">
        <v>143</v>
      </c>
      <c r="E7" s="18" t="s">
        <v>13</v>
      </c>
      <c r="F7" s="18" t="s">
        <v>6</v>
      </c>
      <c r="G7" s="18">
        <v>1500</v>
      </c>
      <c r="H7" s="19">
        <v>44824</v>
      </c>
      <c r="I7" s="18" t="s">
        <v>12</v>
      </c>
    </row>
    <row r="8" spans="1:9" ht="31.5">
      <c r="A8" s="18">
        <v>6</v>
      </c>
      <c r="B8" s="18" t="s">
        <v>6</v>
      </c>
      <c r="C8" s="21" t="s">
        <v>82</v>
      </c>
      <c r="D8" s="21" t="s">
        <v>142</v>
      </c>
      <c r="E8" s="18" t="s">
        <v>23</v>
      </c>
      <c r="F8" s="18" t="s">
        <v>6</v>
      </c>
      <c r="G8" s="18">
        <v>6000</v>
      </c>
      <c r="H8" s="19">
        <v>44824</v>
      </c>
      <c r="I8" s="18" t="s">
        <v>12</v>
      </c>
    </row>
    <row r="9" spans="1:9" ht="31.5">
      <c r="A9" s="14">
        <v>7</v>
      </c>
      <c r="B9" s="14" t="s">
        <v>6</v>
      </c>
      <c r="C9" s="17" t="s">
        <v>82</v>
      </c>
      <c r="D9" s="17" t="s">
        <v>141</v>
      </c>
      <c r="E9" s="14" t="s">
        <v>13</v>
      </c>
      <c r="F9" s="14" t="s">
        <v>6</v>
      </c>
      <c r="G9" s="14">
        <v>5000</v>
      </c>
      <c r="H9" s="15">
        <v>44824</v>
      </c>
      <c r="I9" s="14" t="s">
        <v>12</v>
      </c>
    </row>
    <row r="10" spans="1:9" ht="15.75">
      <c r="A10" s="13"/>
      <c r="B10" s="10"/>
      <c r="C10" s="10"/>
      <c r="D10" s="11" t="s">
        <v>11</v>
      </c>
      <c r="E10" s="11"/>
      <c r="F10" s="10"/>
      <c r="G10" s="11">
        <f>SUM(G3:G9)</f>
        <v>29300</v>
      </c>
      <c r="H10" s="10"/>
      <c r="I10" s="9"/>
    </row>
    <row r="11" spans="1:9" ht="31.5">
      <c r="A11" s="22">
        <v>8</v>
      </c>
      <c r="B11" s="22" t="s">
        <v>1</v>
      </c>
      <c r="C11" s="25" t="s">
        <v>140</v>
      </c>
      <c r="D11" s="25" t="s">
        <v>139</v>
      </c>
      <c r="E11" s="22" t="s">
        <v>23</v>
      </c>
      <c r="F11" s="22" t="s">
        <v>1</v>
      </c>
      <c r="G11" s="22">
        <v>6000</v>
      </c>
      <c r="H11" s="23">
        <v>44835</v>
      </c>
      <c r="I11" s="22" t="s">
        <v>12</v>
      </c>
    </row>
    <row r="12" spans="1:9" ht="31.5">
      <c r="A12" s="18">
        <v>9</v>
      </c>
      <c r="B12" s="18" t="s">
        <v>4</v>
      </c>
      <c r="C12" s="21" t="s">
        <v>138</v>
      </c>
      <c r="D12" s="21" t="s">
        <v>137</v>
      </c>
      <c r="E12" s="18" t="s">
        <v>23</v>
      </c>
      <c r="F12" s="18" t="s">
        <v>4</v>
      </c>
      <c r="G12" s="18">
        <v>6000</v>
      </c>
      <c r="H12" s="19">
        <v>44835</v>
      </c>
      <c r="I12" s="18" t="s">
        <v>35</v>
      </c>
    </row>
    <row r="13" spans="1:9" ht="15.75">
      <c r="A13" s="18">
        <v>10</v>
      </c>
      <c r="B13" s="18" t="s">
        <v>4</v>
      </c>
      <c r="C13" s="21" t="s">
        <v>136</v>
      </c>
      <c r="D13" s="21" t="s">
        <v>135</v>
      </c>
      <c r="E13" s="18" t="s">
        <v>23</v>
      </c>
      <c r="F13" s="18" t="s">
        <v>4</v>
      </c>
      <c r="G13" s="18">
        <v>3000</v>
      </c>
      <c r="H13" s="19">
        <v>44835</v>
      </c>
      <c r="I13" s="18" t="s">
        <v>35</v>
      </c>
    </row>
    <row r="14" spans="1:9" ht="47.25">
      <c r="A14" s="18">
        <v>11</v>
      </c>
      <c r="B14" s="18" t="s">
        <v>2</v>
      </c>
      <c r="C14" s="21" t="s">
        <v>134</v>
      </c>
      <c r="D14" s="21" t="s">
        <v>133</v>
      </c>
      <c r="E14" s="18" t="s">
        <v>23</v>
      </c>
      <c r="F14" s="18" t="s">
        <v>2</v>
      </c>
      <c r="G14" s="18">
        <v>6000</v>
      </c>
      <c r="H14" s="19">
        <v>44835</v>
      </c>
      <c r="I14" s="18" t="s">
        <v>12</v>
      </c>
    </row>
    <row r="15" spans="1:9" ht="31.5">
      <c r="A15" s="14">
        <v>12</v>
      </c>
      <c r="B15" s="14" t="s">
        <v>4</v>
      </c>
      <c r="C15" s="17" t="s">
        <v>63</v>
      </c>
      <c r="D15" s="17" t="s">
        <v>132</v>
      </c>
      <c r="E15" s="14" t="s">
        <v>23</v>
      </c>
      <c r="F15" s="14" t="s">
        <v>4</v>
      </c>
      <c r="G15" s="14">
        <v>6000</v>
      </c>
      <c r="H15" s="15">
        <v>44835</v>
      </c>
      <c r="I15" s="14" t="s">
        <v>12</v>
      </c>
    </row>
    <row r="16" spans="1:9" ht="15.75">
      <c r="A16" s="13"/>
      <c r="B16" s="10"/>
      <c r="C16" s="10"/>
      <c r="D16" s="11" t="s">
        <v>11</v>
      </c>
      <c r="E16" s="11"/>
      <c r="F16" s="10"/>
      <c r="G16" s="11">
        <f>SUM(G11:G15)</f>
        <v>27000</v>
      </c>
      <c r="H16" s="10"/>
      <c r="I16" s="9"/>
    </row>
    <row r="17" spans="1:9" ht="47.25">
      <c r="A17" s="22">
        <v>13</v>
      </c>
      <c r="B17" s="22" t="s">
        <v>2</v>
      </c>
      <c r="C17" s="25" t="s">
        <v>68</v>
      </c>
      <c r="D17" s="25" t="s">
        <v>131</v>
      </c>
      <c r="E17" s="22" t="s">
        <v>23</v>
      </c>
      <c r="F17" s="22" t="s">
        <v>2</v>
      </c>
      <c r="G17" s="22">
        <v>6000</v>
      </c>
      <c r="H17" s="23">
        <v>44844</v>
      </c>
      <c r="I17" s="22" t="s">
        <v>12</v>
      </c>
    </row>
    <row r="18" spans="1:9" ht="31.5">
      <c r="A18" s="18">
        <v>14</v>
      </c>
      <c r="B18" s="18" t="s">
        <v>5</v>
      </c>
      <c r="C18" s="21" t="s">
        <v>72</v>
      </c>
      <c r="D18" s="21" t="s">
        <v>130</v>
      </c>
      <c r="E18" s="18" t="s">
        <v>23</v>
      </c>
      <c r="F18" s="18" t="s">
        <v>5</v>
      </c>
      <c r="G18" s="18">
        <v>6000</v>
      </c>
      <c r="H18" s="19">
        <v>44844</v>
      </c>
      <c r="I18" s="18" t="s">
        <v>12</v>
      </c>
    </row>
    <row r="19" spans="1:9" ht="47.25">
      <c r="A19" s="18">
        <v>15</v>
      </c>
      <c r="B19" s="18" t="s">
        <v>1</v>
      </c>
      <c r="C19" s="21" t="s">
        <v>45</v>
      </c>
      <c r="D19" s="21" t="s">
        <v>129</v>
      </c>
      <c r="E19" s="18" t="s">
        <v>23</v>
      </c>
      <c r="F19" s="18" t="s">
        <v>1</v>
      </c>
      <c r="G19" s="18">
        <v>10000</v>
      </c>
      <c r="H19" s="19">
        <v>44844</v>
      </c>
      <c r="I19" s="18" t="s">
        <v>12</v>
      </c>
    </row>
    <row r="20" spans="1:9" ht="31.5">
      <c r="A20" s="18">
        <v>16</v>
      </c>
      <c r="B20" s="18" t="s">
        <v>5</v>
      </c>
      <c r="C20" s="21" t="s">
        <v>21</v>
      </c>
      <c r="D20" s="21" t="s">
        <v>128</v>
      </c>
      <c r="E20" s="18" t="s">
        <v>23</v>
      </c>
      <c r="F20" s="18" t="s">
        <v>5</v>
      </c>
      <c r="G20" s="18">
        <v>6000</v>
      </c>
      <c r="H20" s="19">
        <v>44844</v>
      </c>
      <c r="I20" s="18" t="s">
        <v>12</v>
      </c>
    </row>
    <row r="21" spans="1:9" ht="47.25">
      <c r="A21" s="14">
        <v>17</v>
      </c>
      <c r="B21" s="14" t="s">
        <v>4</v>
      </c>
      <c r="C21" s="17" t="s">
        <v>63</v>
      </c>
      <c r="D21" s="17" t="s">
        <v>127</v>
      </c>
      <c r="E21" s="14" t="s">
        <v>23</v>
      </c>
      <c r="F21" s="14" t="s">
        <v>4</v>
      </c>
      <c r="G21" s="14">
        <v>6000</v>
      </c>
      <c r="H21" s="15">
        <v>44844</v>
      </c>
      <c r="I21" s="14" t="s">
        <v>12</v>
      </c>
    </row>
    <row r="22" spans="1:9" ht="15.75">
      <c r="A22" s="13"/>
      <c r="B22" s="10"/>
      <c r="C22" s="12"/>
      <c r="D22" s="11" t="s">
        <v>11</v>
      </c>
      <c r="E22" s="11"/>
      <c r="F22" s="10"/>
      <c r="G22" s="11">
        <f>SUM(G17:G21)</f>
        <v>34000</v>
      </c>
      <c r="H22" s="10"/>
      <c r="I22" s="9"/>
    </row>
    <row r="23" spans="1:9" ht="31.5">
      <c r="A23" s="22">
        <v>18</v>
      </c>
      <c r="B23" s="22" t="s">
        <v>0</v>
      </c>
      <c r="C23" s="25" t="s">
        <v>126</v>
      </c>
      <c r="D23" s="25" t="s">
        <v>125</v>
      </c>
      <c r="E23" s="22" t="s">
        <v>23</v>
      </c>
      <c r="F23" s="22" t="s">
        <v>0</v>
      </c>
      <c r="G23" s="22">
        <v>10000</v>
      </c>
      <c r="H23" s="23">
        <v>44860</v>
      </c>
      <c r="I23" s="22" t="s">
        <v>12</v>
      </c>
    </row>
    <row r="24" spans="1:9" ht="31.5">
      <c r="A24" s="18">
        <v>19</v>
      </c>
      <c r="B24" s="18" t="s">
        <v>2</v>
      </c>
      <c r="C24" s="21" t="s">
        <v>48</v>
      </c>
      <c r="D24" s="21" t="s">
        <v>124</v>
      </c>
      <c r="E24" s="18" t="s">
        <v>23</v>
      </c>
      <c r="F24" s="18" t="s">
        <v>2</v>
      </c>
      <c r="G24" s="18">
        <v>3000</v>
      </c>
      <c r="H24" s="19">
        <v>44860</v>
      </c>
      <c r="I24" s="18" t="s">
        <v>12</v>
      </c>
    </row>
    <row r="25" spans="1:9" ht="31.5">
      <c r="A25" s="18">
        <v>20</v>
      </c>
      <c r="B25" s="18" t="s">
        <v>2</v>
      </c>
      <c r="C25" s="21" t="s">
        <v>48</v>
      </c>
      <c r="D25" s="21" t="s">
        <v>123</v>
      </c>
      <c r="E25" s="18" t="s">
        <v>23</v>
      </c>
      <c r="F25" s="18" t="s">
        <v>2</v>
      </c>
      <c r="G25" s="18">
        <v>3000</v>
      </c>
      <c r="H25" s="19">
        <v>44860</v>
      </c>
      <c r="I25" s="18" t="s">
        <v>12</v>
      </c>
    </row>
    <row r="26" spans="1:9" ht="31.5">
      <c r="A26" s="18">
        <v>21</v>
      </c>
      <c r="B26" s="18" t="s">
        <v>2</v>
      </c>
      <c r="C26" s="21" t="s">
        <v>48</v>
      </c>
      <c r="D26" s="21" t="s">
        <v>122</v>
      </c>
      <c r="E26" s="18" t="s">
        <v>23</v>
      </c>
      <c r="F26" s="18" t="s">
        <v>2</v>
      </c>
      <c r="G26" s="18">
        <v>3000</v>
      </c>
      <c r="H26" s="19">
        <v>44860</v>
      </c>
      <c r="I26" s="18" t="s">
        <v>12</v>
      </c>
    </row>
    <row r="27" spans="1:9" ht="31.5">
      <c r="A27" s="18">
        <v>22</v>
      </c>
      <c r="B27" s="18" t="s">
        <v>1</v>
      </c>
      <c r="C27" s="21" t="s">
        <v>45</v>
      </c>
      <c r="D27" s="21" t="s">
        <v>121</v>
      </c>
      <c r="E27" s="18" t="s">
        <v>23</v>
      </c>
      <c r="F27" s="18" t="s">
        <v>1</v>
      </c>
      <c r="G27" s="18">
        <v>6000</v>
      </c>
      <c r="H27" s="19">
        <v>44860</v>
      </c>
      <c r="I27" s="18" t="s">
        <v>12</v>
      </c>
    </row>
    <row r="28" spans="1:9" ht="31.5">
      <c r="A28" s="18">
        <v>23</v>
      </c>
      <c r="B28" s="18" t="s">
        <v>1</v>
      </c>
      <c r="C28" s="21" t="s">
        <v>45</v>
      </c>
      <c r="D28" s="21" t="s">
        <v>120</v>
      </c>
      <c r="E28" s="18" t="s">
        <v>75</v>
      </c>
      <c r="F28" s="18" t="s">
        <v>1</v>
      </c>
      <c r="G28" s="18">
        <v>1800</v>
      </c>
      <c r="H28" s="19">
        <v>44860</v>
      </c>
      <c r="I28" s="18" t="s">
        <v>12</v>
      </c>
    </row>
    <row r="29" spans="1:9" ht="31.5">
      <c r="A29" s="18">
        <v>24</v>
      </c>
      <c r="B29" s="18" t="s">
        <v>4</v>
      </c>
      <c r="C29" s="21" t="s">
        <v>63</v>
      </c>
      <c r="D29" s="21" t="s">
        <v>119</v>
      </c>
      <c r="E29" s="18" t="s">
        <v>23</v>
      </c>
      <c r="F29" s="18" t="s">
        <v>4</v>
      </c>
      <c r="G29" s="18">
        <v>6000</v>
      </c>
      <c r="H29" s="19">
        <v>44860</v>
      </c>
      <c r="I29" s="18" t="s">
        <v>12</v>
      </c>
    </row>
    <row r="30" spans="1:9" ht="31.5">
      <c r="A30" s="18">
        <v>25</v>
      </c>
      <c r="B30" s="18" t="s">
        <v>0</v>
      </c>
      <c r="C30" s="21" t="s">
        <v>118</v>
      </c>
      <c r="D30" s="21" t="s">
        <v>117</v>
      </c>
      <c r="E30" s="18" t="s">
        <v>23</v>
      </c>
      <c r="F30" s="18" t="s">
        <v>0</v>
      </c>
      <c r="G30" s="18">
        <v>10000</v>
      </c>
      <c r="H30" s="19">
        <v>44860</v>
      </c>
      <c r="I30" s="18" t="s">
        <v>12</v>
      </c>
    </row>
    <row r="31" spans="1:9" ht="31.5">
      <c r="A31" s="18">
        <v>26</v>
      </c>
      <c r="B31" s="18" t="s">
        <v>5</v>
      </c>
      <c r="C31" s="21" t="s">
        <v>115</v>
      </c>
      <c r="D31" s="21" t="s">
        <v>116</v>
      </c>
      <c r="E31" s="18" t="s">
        <v>23</v>
      </c>
      <c r="F31" s="18" t="s">
        <v>5</v>
      </c>
      <c r="G31" s="18">
        <v>10000</v>
      </c>
      <c r="H31" s="19">
        <v>44860</v>
      </c>
      <c r="I31" s="18" t="s">
        <v>12</v>
      </c>
    </row>
    <row r="32" spans="1:9" ht="31.5">
      <c r="A32" s="14">
        <v>27</v>
      </c>
      <c r="B32" s="14" t="s">
        <v>5</v>
      </c>
      <c r="C32" s="17" t="s">
        <v>115</v>
      </c>
      <c r="D32" s="17" t="s">
        <v>114</v>
      </c>
      <c r="E32" s="14" t="s">
        <v>13</v>
      </c>
      <c r="F32" s="14" t="s">
        <v>5</v>
      </c>
      <c r="G32" s="14">
        <v>3000</v>
      </c>
      <c r="H32" s="15">
        <v>44860</v>
      </c>
      <c r="I32" s="14" t="s">
        <v>12</v>
      </c>
    </row>
    <row r="33" spans="1:9" ht="15.75">
      <c r="A33" s="13"/>
      <c r="B33" s="10"/>
      <c r="C33" s="10"/>
      <c r="D33" s="11" t="s">
        <v>11</v>
      </c>
      <c r="E33" s="11"/>
      <c r="F33" s="10"/>
      <c r="G33" s="11">
        <f>SUM(G23:G32)</f>
        <v>55800</v>
      </c>
      <c r="H33" s="10"/>
      <c r="I33" s="9"/>
    </row>
    <row r="34" spans="1:9" ht="31.5">
      <c r="A34" s="22">
        <v>28</v>
      </c>
      <c r="B34" s="22" t="s">
        <v>5</v>
      </c>
      <c r="C34" s="25" t="s">
        <v>66</v>
      </c>
      <c r="D34" s="25" t="s">
        <v>113</v>
      </c>
      <c r="E34" s="22" t="s">
        <v>56</v>
      </c>
      <c r="F34" s="22" t="s">
        <v>5</v>
      </c>
      <c r="G34" s="22">
        <v>3000</v>
      </c>
      <c r="H34" s="23">
        <v>44869</v>
      </c>
      <c r="I34" s="22" t="s">
        <v>35</v>
      </c>
    </row>
    <row r="35" spans="1:9" ht="31.5">
      <c r="A35" s="18">
        <v>29</v>
      </c>
      <c r="B35" s="18" t="s">
        <v>5</v>
      </c>
      <c r="C35" s="21" t="s">
        <v>112</v>
      </c>
      <c r="D35" s="21" t="s">
        <v>111</v>
      </c>
      <c r="E35" s="18" t="s">
        <v>16</v>
      </c>
      <c r="F35" s="18" t="s">
        <v>5</v>
      </c>
      <c r="G35" s="18">
        <v>3000</v>
      </c>
      <c r="H35" s="19">
        <v>44869</v>
      </c>
      <c r="I35" s="18" t="s">
        <v>35</v>
      </c>
    </row>
    <row r="36" spans="1:9" ht="31.5">
      <c r="A36" s="18">
        <v>30</v>
      </c>
      <c r="B36" s="18" t="s">
        <v>5</v>
      </c>
      <c r="C36" s="21" t="s">
        <v>72</v>
      </c>
      <c r="D36" s="21" t="s">
        <v>110</v>
      </c>
      <c r="E36" s="18" t="s">
        <v>23</v>
      </c>
      <c r="F36" s="18" t="s">
        <v>5</v>
      </c>
      <c r="G36" s="18">
        <v>10000</v>
      </c>
      <c r="H36" s="19">
        <v>44869</v>
      </c>
      <c r="I36" s="18" t="s">
        <v>12</v>
      </c>
    </row>
    <row r="37" spans="1:9" ht="31.5">
      <c r="A37" s="18">
        <v>31</v>
      </c>
      <c r="B37" s="18" t="s">
        <v>5</v>
      </c>
      <c r="C37" s="21" t="s">
        <v>72</v>
      </c>
      <c r="D37" s="21" t="s">
        <v>109</v>
      </c>
      <c r="E37" s="18" t="s">
        <v>23</v>
      </c>
      <c r="F37" s="18" t="s">
        <v>5</v>
      </c>
      <c r="G37" s="18">
        <v>10000</v>
      </c>
      <c r="H37" s="19">
        <v>44869</v>
      </c>
      <c r="I37" s="18" t="s">
        <v>12</v>
      </c>
    </row>
    <row r="38" spans="1:9" ht="31.5">
      <c r="A38" s="18">
        <v>32</v>
      </c>
      <c r="B38" s="18" t="s">
        <v>5</v>
      </c>
      <c r="C38" s="21" t="s">
        <v>15</v>
      </c>
      <c r="D38" s="21" t="s">
        <v>108</v>
      </c>
      <c r="E38" s="18" t="s">
        <v>23</v>
      </c>
      <c r="F38" s="18" t="s">
        <v>5</v>
      </c>
      <c r="G38" s="18">
        <v>3000</v>
      </c>
      <c r="H38" s="19">
        <v>44869</v>
      </c>
      <c r="I38" s="18" t="s">
        <v>12</v>
      </c>
    </row>
    <row r="39" spans="1:9" ht="31.5">
      <c r="A39" s="18">
        <v>33</v>
      </c>
      <c r="B39" s="18" t="s">
        <v>6</v>
      </c>
      <c r="C39" s="21" t="s">
        <v>105</v>
      </c>
      <c r="D39" s="21" t="s">
        <v>107</v>
      </c>
      <c r="E39" s="18" t="s">
        <v>23</v>
      </c>
      <c r="F39" s="18" t="s">
        <v>6</v>
      </c>
      <c r="G39" s="18">
        <v>6000</v>
      </c>
      <c r="H39" s="19">
        <v>44869</v>
      </c>
      <c r="I39" s="18" t="s">
        <v>12</v>
      </c>
    </row>
    <row r="40" spans="1:9" ht="31.5">
      <c r="A40" s="18">
        <v>34</v>
      </c>
      <c r="B40" s="18" t="s">
        <v>6</v>
      </c>
      <c r="C40" s="21" t="s">
        <v>105</v>
      </c>
      <c r="D40" s="21" t="s">
        <v>106</v>
      </c>
      <c r="E40" s="18" t="s">
        <v>23</v>
      </c>
      <c r="F40" s="18" t="s">
        <v>6</v>
      </c>
      <c r="G40" s="18">
        <v>3000</v>
      </c>
      <c r="H40" s="19">
        <v>44869</v>
      </c>
      <c r="I40" s="18" t="s">
        <v>12</v>
      </c>
    </row>
    <row r="41" spans="1:9" ht="47.25">
      <c r="A41" s="18">
        <v>35</v>
      </c>
      <c r="B41" s="18" t="s">
        <v>6</v>
      </c>
      <c r="C41" s="21" t="s">
        <v>105</v>
      </c>
      <c r="D41" s="21" t="s">
        <v>104</v>
      </c>
      <c r="E41" s="18" t="s">
        <v>13</v>
      </c>
      <c r="F41" s="18" t="s">
        <v>6</v>
      </c>
      <c r="G41" s="18">
        <v>1500</v>
      </c>
      <c r="H41" s="19">
        <v>44869</v>
      </c>
      <c r="I41" s="18" t="s">
        <v>12</v>
      </c>
    </row>
    <row r="42" spans="1:9" ht="31.5">
      <c r="A42" s="18">
        <v>36</v>
      </c>
      <c r="B42" s="18" t="s">
        <v>6</v>
      </c>
      <c r="C42" s="21" t="s">
        <v>82</v>
      </c>
      <c r="D42" s="21" t="s">
        <v>103</v>
      </c>
      <c r="E42" s="18" t="s">
        <v>13</v>
      </c>
      <c r="F42" s="18" t="s">
        <v>6</v>
      </c>
      <c r="G42" s="18">
        <v>5000</v>
      </c>
      <c r="H42" s="19">
        <v>44869</v>
      </c>
      <c r="I42" s="18" t="s">
        <v>12</v>
      </c>
    </row>
    <row r="43" spans="1:9" ht="31.5">
      <c r="A43" s="14">
        <v>37</v>
      </c>
      <c r="B43" s="14" t="s">
        <v>6</v>
      </c>
      <c r="C43" s="17" t="s">
        <v>82</v>
      </c>
      <c r="D43" s="17" t="s">
        <v>102</v>
      </c>
      <c r="E43" s="14" t="s">
        <v>13</v>
      </c>
      <c r="F43" s="14" t="s">
        <v>6</v>
      </c>
      <c r="G43" s="14">
        <v>5000</v>
      </c>
      <c r="H43" s="15">
        <v>44869</v>
      </c>
      <c r="I43" s="14" t="s">
        <v>12</v>
      </c>
    </row>
    <row r="44" spans="1:9" ht="15.75">
      <c r="A44" s="13"/>
      <c r="B44" s="10"/>
      <c r="C44" s="12"/>
      <c r="D44" s="11" t="s">
        <v>11</v>
      </c>
      <c r="E44" s="11"/>
      <c r="F44" s="10"/>
      <c r="G44" s="11">
        <f>SUM(G34:G43)</f>
        <v>49500</v>
      </c>
      <c r="H44" s="10"/>
      <c r="I44" s="9"/>
    </row>
    <row r="45" spans="1:9" ht="47.25">
      <c r="A45" s="22">
        <v>38</v>
      </c>
      <c r="B45" s="22" t="s">
        <v>1</v>
      </c>
      <c r="C45" s="25" t="s">
        <v>45</v>
      </c>
      <c r="D45" s="25" t="s">
        <v>101</v>
      </c>
      <c r="E45" s="22" t="s">
        <v>23</v>
      </c>
      <c r="F45" s="22" t="s">
        <v>1</v>
      </c>
      <c r="G45" s="22">
        <v>6000</v>
      </c>
      <c r="H45" s="23">
        <v>44881</v>
      </c>
      <c r="I45" s="22" t="s">
        <v>12</v>
      </c>
    </row>
    <row r="46" spans="1:9" ht="47.25">
      <c r="A46" s="18">
        <v>39</v>
      </c>
      <c r="B46" s="18" t="s">
        <v>2</v>
      </c>
      <c r="C46" s="21" t="s">
        <v>74</v>
      </c>
      <c r="D46" s="21" t="s">
        <v>100</v>
      </c>
      <c r="E46" s="18" t="s">
        <v>23</v>
      </c>
      <c r="F46" s="18" t="s">
        <v>2</v>
      </c>
      <c r="G46" s="18">
        <v>6000</v>
      </c>
      <c r="H46" s="19">
        <v>44881</v>
      </c>
      <c r="I46" s="18" t="s">
        <v>12</v>
      </c>
    </row>
    <row r="47" spans="1:9" ht="31.5">
      <c r="A47" s="14">
        <v>40</v>
      </c>
      <c r="B47" s="14" t="s">
        <v>2</v>
      </c>
      <c r="C47" s="17" t="s">
        <v>99</v>
      </c>
      <c r="D47" s="17" t="s">
        <v>98</v>
      </c>
      <c r="E47" s="14" t="s">
        <v>23</v>
      </c>
      <c r="F47" s="14" t="s">
        <v>2</v>
      </c>
      <c r="G47" s="14">
        <v>10000</v>
      </c>
      <c r="H47" s="15">
        <v>44881</v>
      </c>
      <c r="I47" s="14" t="s">
        <v>12</v>
      </c>
    </row>
    <row r="48" spans="1:9" ht="15.75">
      <c r="A48" s="13"/>
      <c r="B48" s="10"/>
      <c r="C48" s="10"/>
      <c r="D48" s="11" t="s">
        <v>11</v>
      </c>
      <c r="E48" s="11"/>
      <c r="F48" s="10"/>
      <c r="G48" s="11">
        <f>SUM(G45:G47)</f>
        <v>22000</v>
      </c>
      <c r="H48" s="10"/>
      <c r="I48" s="9"/>
    </row>
    <row r="49" spans="1:9" ht="31.5">
      <c r="A49" s="22">
        <v>41</v>
      </c>
      <c r="B49" s="22" t="s">
        <v>2</v>
      </c>
      <c r="C49" s="25" t="s">
        <v>97</v>
      </c>
      <c r="D49" s="25" t="s">
        <v>96</v>
      </c>
      <c r="E49" s="22" t="s">
        <v>23</v>
      </c>
      <c r="F49" s="22" t="s">
        <v>2</v>
      </c>
      <c r="G49" s="22">
        <v>6000</v>
      </c>
      <c r="H49" s="23">
        <v>44887</v>
      </c>
      <c r="I49" s="22" t="s">
        <v>12</v>
      </c>
    </row>
    <row r="50" spans="1:9" ht="31.5">
      <c r="A50" s="18">
        <v>42</v>
      </c>
      <c r="B50" s="18" t="s">
        <v>2</v>
      </c>
      <c r="C50" s="21" t="s">
        <v>70</v>
      </c>
      <c r="D50" s="21" t="s">
        <v>95</v>
      </c>
      <c r="E50" s="18" t="s">
        <v>23</v>
      </c>
      <c r="F50" s="18" t="s">
        <v>2</v>
      </c>
      <c r="G50" s="18">
        <v>10000</v>
      </c>
      <c r="H50" s="23">
        <v>44887</v>
      </c>
      <c r="I50" s="18" t="s">
        <v>12</v>
      </c>
    </row>
    <row r="51" spans="1:9" ht="31.5">
      <c r="A51" s="18">
        <v>43</v>
      </c>
      <c r="B51" s="18" t="s">
        <v>2</v>
      </c>
      <c r="C51" s="21" t="s">
        <v>70</v>
      </c>
      <c r="D51" s="21" t="s">
        <v>94</v>
      </c>
      <c r="E51" s="18" t="s">
        <v>13</v>
      </c>
      <c r="F51" s="18" t="s">
        <v>2</v>
      </c>
      <c r="G51" s="18">
        <v>6000</v>
      </c>
      <c r="H51" s="23">
        <v>44887</v>
      </c>
      <c r="I51" s="18" t="s">
        <v>12</v>
      </c>
    </row>
    <row r="52" spans="1:9" ht="31.5">
      <c r="A52" s="18">
        <v>44</v>
      </c>
      <c r="B52" s="18" t="s">
        <v>2</v>
      </c>
      <c r="C52" s="21" t="s">
        <v>93</v>
      </c>
      <c r="D52" s="21" t="s">
        <v>92</v>
      </c>
      <c r="E52" s="18" t="s">
        <v>23</v>
      </c>
      <c r="F52" s="18" t="s">
        <v>2</v>
      </c>
      <c r="G52" s="18">
        <v>10000</v>
      </c>
      <c r="H52" s="23">
        <v>44887</v>
      </c>
      <c r="I52" s="18" t="s">
        <v>12</v>
      </c>
    </row>
    <row r="53" spans="1:9" ht="31.5">
      <c r="A53" s="18">
        <v>45</v>
      </c>
      <c r="B53" s="18" t="s">
        <v>9</v>
      </c>
      <c r="C53" s="21" t="s">
        <v>90</v>
      </c>
      <c r="D53" s="21" t="s">
        <v>91</v>
      </c>
      <c r="E53" s="18" t="s">
        <v>13</v>
      </c>
      <c r="F53" s="18" t="s">
        <v>36</v>
      </c>
      <c r="G53" s="18">
        <v>10000</v>
      </c>
      <c r="H53" s="23">
        <v>44887</v>
      </c>
      <c r="I53" s="18" t="s">
        <v>12</v>
      </c>
    </row>
    <row r="54" spans="1:9" ht="31.5">
      <c r="A54" s="14">
        <v>46</v>
      </c>
      <c r="B54" s="14" t="s">
        <v>9</v>
      </c>
      <c r="C54" s="17" t="s">
        <v>90</v>
      </c>
      <c r="D54" s="17" t="s">
        <v>89</v>
      </c>
      <c r="E54" s="14" t="s">
        <v>88</v>
      </c>
      <c r="F54" s="18" t="s">
        <v>36</v>
      </c>
      <c r="G54" s="14">
        <v>5500</v>
      </c>
      <c r="H54" s="26">
        <v>44887</v>
      </c>
      <c r="I54" s="14" t="s">
        <v>12</v>
      </c>
    </row>
    <row r="55" spans="1:9" ht="15.75">
      <c r="A55" s="28"/>
      <c r="B55" s="11"/>
      <c r="C55" s="27"/>
      <c r="D55" s="11" t="s">
        <v>11</v>
      </c>
      <c r="E55" s="11"/>
      <c r="F55" s="11"/>
      <c r="G55" s="11">
        <f>SUM(G49:G54)</f>
        <v>47500</v>
      </c>
      <c r="H55" s="11"/>
      <c r="I55" s="9"/>
    </row>
    <row r="56" spans="1:9" ht="31.5">
      <c r="A56" s="22">
        <v>47</v>
      </c>
      <c r="B56" s="22" t="s">
        <v>1</v>
      </c>
      <c r="C56" s="25" t="s">
        <v>87</v>
      </c>
      <c r="D56" s="25" t="s">
        <v>86</v>
      </c>
      <c r="E56" s="22" t="s">
        <v>23</v>
      </c>
      <c r="F56" s="22" t="s">
        <v>1</v>
      </c>
      <c r="G56" s="22">
        <v>6000</v>
      </c>
      <c r="H56" s="23">
        <v>44893</v>
      </c>
      <c r="I56" s="22" t="s">
        <v>12</v>
      </c>
    </row>
    <row r="57" spans="1:9" ht="31.5">
      <c r="A57" s="18">
        <v>48</v>
      </c>
      <c r="B57" s="18" t="s">
        <v>5</v>
      </c>
      <c r="C57" s="21" t="s">
        <v>72</v>
      </c>
      <c r="D57" s="21" t="s">
        <v>71</v>
      </c>
      <c r="E57" s="18" t="s">
        <v>23</v>
      </c>
      <c r="F57" s="18" t="s">
        <v>5</v>
      </c>
      <c r="G57" s="18">
        <v>3000</v>
      </c>
      <c r="H57" s="23">
        <v>44893</v>
      </c>
      <c r="I57" s="18" t="s">
        <v>12</v>
      </c>
    </row>
    <row r="58" spans="1:9" ht="31.5">
      <c r="A58" s="18">
        <v>49</v>
      </c>
      <c r="B58" s="18" t="s">
        <v>5</v>
      </c>
      <c r="C58" s="21" t="s">
        <v>72</v>
      </c>
      <c r="D58" s="21" t="s">
        <v>85</v>
      </c>
      <c r="E58" s="18" t="s">
        <v>13</v>
      </c>
      <c r="F58" s="18" t="s">
        <v>5</v>
      </c>
      <c r="G58" s="18">
        <v>5000</v>
      </c>
      <c r="H58" s="23">
        <v>44893</v>
      </c>
      <c r="I58" s="18" t="s">
        <v>12</v>
      </c>
    </row>
    <row r="59" spans="1:9" ht="31.5">
      <c r="A59" s="18">
        <v>50</v>
      </c>
      <c r="B59" s="18" t="s">
        <v>2</v>
      </c>
      <c r="C59" s="21" t="s">
        <v>84</v>
      </c>
      <c r="D59" s="21" t="s">
        <v>83</v>
      </c>
      <c r="E59" s="18" t="s">
        <v>23</v>
      </c>
      <c r="F59" s="18" t="s">
        <v>2</v>
      </c>
      <c r="G59" s="18">
        <v>10000</v>
      </c>
      <c r="H59" s="23">
        <v>44893</v>
      </c>
      <c r="I59" s="18" t="s">
        <v>12</v>
      </c>
    </row>
    <row r="60" spans="1:9" ht="15.75">
      <c r="A60" s="18">
        <v>51</v>
      </c>
      <c r="B60" s="18" t="s">
        <v>6</v>
      </c>
      <c r="C60" s="21" t="s">
        <v>82</v>
      </c>
      <c r="D60" s="21" t="s">
        <v>81</v>
      </c>
      <c r="E60" s="18" t="s">
        <v>23</v>
      </c>
      <c r="F60" s="18" t="s">
        <v>6</v>
      </c>
      <c r="G60" s="18">
        <v>10000</v>
      </c>
      <c r="H60" s="23">
        <v>44893</v>
      </c>
      <c r="I60" s="18" t="s">
        <v>12</v>
      </c>
    </row>
    <row r="61" spans="1:9" ht="31.5">
      <c r="A61" s="14">
        <v>52</v>
      </c>
      <c r="B61" s="14" t="s">
        <v>5</v>
      </c>
      <c r="C61" s="17" t="s">
        <v>80</v>
      </c>
      <c r="D61" s="17" t="s">
        <v>79</v>
      </c>
      <c r="E61" s="14" t="s">
        <v>23</v>
      </c>
      <c r="F61" s="14" t="s">
        <v>5</v>
      </c>
      <c r="G61" s="14">
        <v>10000</v>
      </c>
      <c r="H61" s="26">
        <v>44893</v>
      </c>
      <c r="I61" s="14" t="s">
        <v>12</v>
      </c>
    </row>
    <row r="62" spans="1:9" ht="15.75">
      <c r="A62" s="28"/>
      <c r="B62" s="11"/>
      <c r="C62" s="27"/>
      <c r="D62" s="11" t="s">
        <v>11</v>
      </c>
      <c r="E62" s="11"/>
      <c r="F62" s="11"/>
      <c r="G62" s="11">
        <f>SUM(G56:G61)</f>
        <v>44000</v>
      </c>
      <c r="H62" s="11"/>
      <c r="I62" s="9"/>
    </row>
    <row r="63" spans="1:9" ht="31.5">
      <c r="A63" s="22">
        <v>53</v>
      </c>
      <c r="B63" s="22" t="s">
        <v>8</v>
      </c>
      <c r="C63" s="25" t="s">
        <v>32</v>
      </c>
      <c r="D63" s="25" t="s">
        <v>78</v>
      </c>
      <c r="E63" s="22" t="s">
        <v>13</v>
      </c>
      <c r="F63" s="22" t="s">
        <v>8</v>
      </c>
      <c r="G63" s="22">
        <v>3000</v>
      </c>
      <c r="H63" s="23">
        <v>44904</v>
      </c>
      <c r="I63" s="22" t="s">
        <v>12</v>
      </c>
    </row>
    <row r="64" spans="1:9" ht="31.5">
      <c r="A64" s="18">
        <v>54</v>
      </c>
      <c r="B64" s="18" t="s">
        <v>5</v>
      </c>
      <c r="C64" s="21" t="s">
        <v>15</v>
      </c>
      <c r="D64" s="21" t="s">
        <v>77</v>
      </c>
      <c r="E64" s="18" t="s">
        <v>13</v>
      </c>
      <c r="F64" s="18" t="s">
        <v>5</v>
      </c>
      <c r="G64" s="18">
        <v>5000</v>
      </c>
      <c r="H64" s="19">
        <v>44904</v>
      </c>
      <c r="I64" s="18" t="s">
        <v>12</v>
      </c>
    </row>
    <row r="65" spans="1:9" ht="15.75">
      <c r="A65" s="18">
        <v>55</v>
      </c>
      <c r="B65" s="18" t="s">
        <v>5</v>
      </c>
      <c r="C65" s="21" t="s">
        <v>15</v>
      </c>
      <c r="D65" s="21" t="s">
        <v>76</v>
      </c>
      <c r="E65" s="18" t="s">
        <v>75</v>
      </c>
      <c r="F65" s="18" t="s">
        <v>5</v>
      </c>
      <c r="G65" s="18">
        <v>1800</v>
      </c>
      <c r="H65" s="19">
        <v>44904</v>
      </c>
      <c r="I65" s="18" t="s">
        <v>12</v>
      </c>
    </row>
    <row r="66" spans="1:9" ht="31.5">
      <c r="A66" s="14">
        <v>56</v>
      </c>
      <c r="B66" s="18" t="s">
        <v>2</v>
      </c>
      <c r="C66" s="21" t="s">
        <v>74</v>
      </c>
      <c r="D66" s="21" t="s">
        <v>73</v>
      </c>
      <c r="E66" s="18" t="s">
        <v>56</v>
      </c>
      <c r="F66" s="18" t="s">
        <v>2</v>
      </c>
      <c r="G66" s="18">
        <v>1800</v>
      </c>
      <c r="H66" s="19">
        <v>44904</v>
      </c>
      <c r="I66" s="18" t="s">
        <v>12</v>
      </c>
    </row>
    <row r="67" spans="1:9" ht="31.5">
      <c r="A67" s="14">
        <v>57</v>
      </c>
      <c r="B67" s="14" t="s">
        <v>5</v>
      </c>
      <c r="C67" s="17" t="s">
        <v>72</v>
      </c>
      <c r="D67" s="17" t="s">
        <v>71</v>
      </c>
      <c r="E67" s="14" t="s">
        <v>23</v>
      </c>
      <c r="F67" s="14" t="s">
        <v>5</v>
      </c>
      <c r="G67" s="14">
        <v>3000</v>
      </c>
      <c r="H67" s="26">
        <v>44904</v>
      </c>
      <c r="I67" s="14" t="s">
        <v>12</v>
      </c>
    </row>
    <row r="68" spans="1:9" ht="15.75">
      <c r="A68" s="13"/>
      <c r="B68" s="10"/>
      <c r="C68" s="12"/>
      <c r="D68" s="11" t="s">
        <v>11</v>
      </c>
      <c r="E68" s="11"/>
      <c r="F68" s="10"/>
      <c r="G68" s="11">
        <f>SUM(G63:G67)</f>
        <v>14600</v>
      </c>
      <c r="H68" s="10"/>
      <c r="I68" s="9"/>
    </row>
    <row r="69" spans="1:9" ht="31.5">
      <c r="A69" s="22">
        <v>58</v>
      </c>
      <c r="B69" s="22" t="s">
        <v>2</v>
      </c>
      <c r="C69" s="25" t="s">
        <v>70</v>
      </c>
      <c r="D69" s="25" t="s">
        <v>69</v>
      </c>
      <c r="E69" s="22" t="s">
        <v>23</v>
      </c>
      <c r="F69" s="22" t="s">
        <v>2</v>
      </c>
      <c r="G69" s="22">
        <v>6000</v>
      </c>
      <c r="H69" s="23">
        <v>44914</v>
      </c>
      <c r="I69" s="22" t="s">
        <v>12</v>
      </c>
    </row>
    <row r="70" spans="1:9" ht="47.25">
      <c r="A70" s="18">
        <v>59</v>
      </c>
      <c r="B70" s="18" t="s">
        <v>2</v>
      </c>
      <c r="C70" s="21" t="s">
        <v>68</v>
      </c>
      <c r="D70" s="21" t="s">
        <v>67</v>
      </c>
      <c r="E70" s="18" t="s">
        <v>23</v>
      </c>
      <c r="F70" s="18" t="s">
        <v>2</v>
      </c>
      <c r="G70" s="18">
        <v>10000</v>
      </c>
      <c r="H70" s="19">
        <v>44914</v>
      </c>
      <c r="I70" s="18" t="s">
        <v>12</v>
      </c>
    </row>
    <row r="71" spans="1:9" ht="15.75">
      <c r="A71" s="18">
        <v>60</v>
      </c>
      <c r="B71" s="18" t="s">
        <v>5</v>
      </c>
      <c r="C71" s="21" t="s">
        <v>66</v>
      </c>
      <c r="D71" s="21" t="s">
        <v>65</v>
      </c>
      <c r="E71" s="18" t="s">
        <v>16</v>
      </c>
      <c r="F71" s="18" t="s">
        <v>5</v>
      </c>
      <c r="G71" s="18">
        <v>3000</v>
      </c>
      <c r="H71" s="19">
        <v>44914</v>
      </c>
      <c r="I71" s="18" t="s">
        <v>35</v>
      </c>
    </row>
    <row r="72" spans="1:9" ht="47.25">
      <c r="A72" s="18">
        <v>61</v>
      </c>
      <c r="B72" s="18" t="s">
        <v>4</v>
      </c>
      <c r="C72" s="21" t="s">
        <v>63</v>
      </c>
      <c r="D72" s="21" t="s">
        <v>64</v>
      </c>
      <c r="E72" s="18" t="s">
        <v>23</v>
      </c>
      <c r="F72" s="18" t="s">
        <v>4</v>
      </c>
      <c r="G72" s="18">
        <v>10000</v>
      </c>
      <c r="H72" s="19">
        <v>44914</v>
      </c>
      <c r="I72" s="18" t="s">
        <v>12</v>
      </c>
    </row>
    <row r="73" spans="1:9" ht="31.5">
      <c r="A73" s="18">
        <v>62</v>
      </c>
      <c r="B73" s="18" t="s">
        <v>4</v>
      </c>
      <c r="C73" s="21" t="s">
        <v>63</v>
      </c>
      <c r="D73" s="21" t="s">
        <v>62</v>
      </c>
      <c r="E73" s="18" t="s">
        <v>23</v>
      </c>
      <c r="F73" s="18" t="s">
        <v>4</v>
      </c>
      <c r="G73" s="18">
        <v>6000</v>
      </c>
      <c r="H73" s="19">
        <v>44914</v>
      </c>
      <c r="I73" s="18" t="s">
        <v>12</v>
      </c>
    </row>
    <row r="74" spans="1:9" ht="31.5">
      <c r="A74" s="18">
        <v>63</v>
      </c>
      <c r="B74" s="18" t="s">
        <v>9</v>
      </c>
      <c r="C74" s="21" t="s">
        <v>61</v>
      </c>
      <c r="D74" s="21" t="s">
        <v>60</v>
      </c>
      <c r="E74" s="18" t="s">
        <v>13</v>
      </c>
      <c r="F74" s="18" t="s">
        <v>36</v>
      </c>
      <c r="G74" s="18">
        <v>5000</v>
      </c>
      <c r="H74" s="19">
        <v>44914</v>
      </c>
      <c r="I74" s="18" t="s">
        <v>35</v>
      </c>
    </row>
    <row r="75" spans="1:9" ht="31.5">
      <c r="A75" s="18">
        <v>64</v>
      </c>
      <c r="B75" s="18" t="s">
        <v>3</v>
      </c>
      <c r="C75" s="21" t="s">
        <v>58</v>
      </c>
      <c r="D75" s="21" t="s">
        <v>59</v>
      </c>
      <c r="E75" s="18" t="s">
        <v>56</v>
      </c>
      <c r="F75" s="18" t="s">
        <v>3</v>
      </c>
      <c r="G75" s="18">
        <v>3000</v>
      </c>
      <c r="H75" s="19">
        <v>44914</v>
      </c>
      <c r="I75" s="18" t="s">
        <v>35</v>
      </c>
    </row>
    <row r="76" spans="1:9" ht="31.5">
      <c r="A76" s="18">
        <v>65</v>
      </c>
      <c r="B76" s="18" t="s">
        <v>3</v>
      </c>
      <c r="C76" s="21" t="s">
        <v>58</v>
      </c>
      <c r="D76" s="21" t="s">
        <v>57</v>
      </c>
      <c r="E76" s="18" t="s">
        <v>56</v>
      </c>
      <c r="F76" s="18" t="s">
        <v>3</v>
      </c>
      <c r="G76" s="18">
        <v>1500</v>
      </c>
      <c r="H76" s="19">
        <v>44914</v>
      </c>
      <c r="I76" s="18" t="s">
        <v>35</v>
      </c>
    </row>
    <row r="77" spans="1:9" ht="31.5">
      <c r="A77" s="18">
        <v>66</v>
      </c>
      <c r="B77" s="18" t="s">
        <v>3</v>
      </c>
      <c r="C77" s="21" t="s">
        <v>55</v>
      </c>
      <c r="D77" s="21" t="s">
        <v>54</v>
      </c>
      <c r="E77" s="18" t="s">
        <v>16</v>
      </c>
      <c r="F77" s="18" t="s">
        <v>3</v>
      </c>
      <c r="G77" s="18">
        <v>3000</v>
      </c>
      <c r="H77" s="19">
        <v>44914</v>
      </c>
      <c r="I77" s="18" t="s">
        <v>53</v>
      </c>
    </row>
    <row r="78" spans="1:9" ht="31.5">
      <c r="A78" s="18">
        <v>67</v>
      </c>
      <c r="B78" s="18" t="s">
        <v>5</v>
      </c>
      <c r="C78" s="21" t="s">
        <v>52</v>
      </c>
      <c r="D78" s="21" t="s">
        <v>51</v>
      </c>
      <c r="E78" s="18" t="s">
        <v>16</v>
      </c>
      <c r="F78" s="18" t="s">
        <v>5</v>
      </c>
      <c r="G78" s="18">
        <v>3000</v>
      </c>
      <c r="H78" s="19">
        <v>44914</v>
      </c>
      <c r="I78" s="18" t="s">
        <v>35</v>
      </c>
    </row>
    <row r="79" spans="1:9" ht="31.5">
      <c r="A79" s="18">
        <v>68</v>
      </c>
      <c r="B79" s="18" t="s">
        <v>5</v>
      </c>
      <c r="C79" s="21" t="s">
        <v>50</v>
      </c>
      <c r="D79" s="21" t="s">
        <v>49</v>
      </c>
      <c r="E79" s="18" t="s">
        <v>16</v>
      </c>
      <c r="F79" s="18" t="s">
        <v>5</v>
      </c>
      <c r="G79" s="18">
        <v>3000</v>
      </c>
      <c r="H79" s="19">
        <v>44914</v>
      </c>
      <c r="I79" s="18" t="s">
        <v>35</v>
      </c>
    </row>
    <row r="80" spans="1:9" ht="31.5">
      <c r="A80" s="14">
        <v>69</v>
      </c>
      <c r="B80" s="14" t="s">
        <v>2</v>
      </c>
      <c r="C80" s="17" t="s">
        <v>48</v>
      </c>
      <c r="D80" s="17" t="s">
        <v>47</v>
      </c>
      <c r="E80" s="14" t="s">
        <v>46</v>
      </c>
      <c r="F80" s="14" t="s">
        <v>2</v>
      </c>
      <c r="G80" s="14">
        <v>5000</v>
      </c>
      <c r="H80" s="15">
        <v>44914</v>
      </c>
      <c r="I80" s="14" t="s">
        <v>12</v>
      </c>
    </row>
    <row r="81" spans="1:9" ht="15.75">
      <c r="A81" s="13"/>
      <c r="B81" s="10"/>
      <c r="C81" s="12"/>
      <c r="D81" s="11" t="s">
        <v>11</v>
      </c>
      <c r="E81" s="11"/>
      <c r="F81" s="10"/>
      <c r="G81" s="11">
        <f>SUM(G69:G80)</f>
        <v>58500</v>
      </c>
      <c r="H81" s="10"/>
      <c r="I81" s="9"/>
    </row>
    <row r="82" spans="1:9" ht="47.25">
      <c r="A82" s="22">
        <v>70</v>
      </c>
      <c r="B82" s="22" t="s">
        <v>1</v>
      </c>
      <c r="C82" s="25" t="s">
        <v>45</v>
      </c>
      <c r="D82" s="25" t="s">
        <v>44</v>
      </c>
      <c r="E82" s="22" t="s">
        <v>13</v>
      </c>
      <c r="F82" s="22" t="s">
        <v>1</v>
      </c>
      <c r="G82" s="24">
        <v>3000</v>
      </c>
      <c r="H82" s="23">
        <v>44921</v>
      </c>
      <c r="I82" s="22" t="s">
        <v>12</v>
      </c>
    </row>
    <row r="83" spans="1:9" ht="31.5">
      <c r="A83" s="18">
        <v>71</v>
      </c>
      <c r="B83" s="14" t="s">
        <v>2</v>
      </c>
      <c r="C83" s="21" t="s">
        <v>43</v>
      </c>
      <c r="D83" s="21" t="s">
        <v>42</v>
      </c>
      <c r="E83" s="18" t="s">
        <v>23</v>
      </c>
      <c r="F83" s="14" t="s">
        <v>2</v>
      </c>
      <c r="G83" s="20">
        <v>6000</v>
      </c>
      <c r="H83" s="19">
        <v>44921</v>
      </c>
      <c r="I83" s="18" t="s">
        <v>12</v>
      </c>
    </row>
    <row r="84" spans="1:9" ht="47.25">
      <c r="A84" s="18">
        <v>72</v>
      </c>
      <c r="B84" s="18" t="s">
        <v>7</v>
      </c>
      <c r="C84" s="21" t="s">
        <v>40</v>
      </c>
      <c r="D84" s="21" t="s">
        <v>41</v>
      </c>
      <c r="E84" s="18" t="s">
        <v>16</v>
      </c>
      <c r="F84" s="18" t="s">
        <v>7</v>
      </c>
      <c r="G84" s="20">
        <v>1800</v>
      </c>
      <c r="H84" s="19">
        <v>44921</v>
      </c>
      <c r="I84" s="18" t="s">
        <v>35</v>
      </c>
    </row>
    <row r="85" spans="1:9" ht="15.75">
      <c r="A85" s="18">
        <v>73</v>
      </c>
      <c r="B85" s="18" t="s">
        <v>7</v>
      </c>
      <c r="C85" s="21" t="s">
        <v>40</v>
      </c>
      <c r="D85" s="21" t="s">
        <v>39</v>
      </c>
      <c r="E85" s="18" t="s">
        <v>16</v>
      </c>
      <c r="F85" s="18" t="s">
        <v>7</v>
      </c>
      <c r="G85" s="20">
        <v>3000</v>
      </c>
      <c r="H85" s="19">
        <v>44924</v>
      </c>
      <c r="I85" s="18" t="s">
        <v>35</v>
      </c>
    </row>
    <row r="86" spans="1:9" ht="31.5">
      <c r="A86" s="18">
        <v>74</v>
      </c>
      <c r="B86" s="18" t="s">
        <v>9</v>
      </c>
      <c r="C86" s="21" t="s">
        <v>38</v>
      </c>
      <c r="D86" s="21" t="s">
        <v>37</v>
      </c>
      <c r="E86" s="18" t="s">
        <v>13</v>
      </c>
      <c r="F86" s="18" t="s">
        <v>36</v>
      </c>
      <c r="G86" s="20">
        <v>5000</v>
      </c>
      <c r="H86" s="19">
        <v>44921</v>
      </c>
      <c r="I86" s="18" t="s">
        <v>35</v>
      </c>
    </row>
    <row r="87" spans="1:9" ht="31.5">
      <c r="A87" s="18">
        <v>75</v>
      </c>
      <c r="B87" s="18" t="s">
        <v>8</v>
      </c>
      <c r="C87" s="21" t="s">
        <v>34</v>
      </c>
      <c r="D87" s="21" t="s">
        <v>33</v>
      </c>
      <c r="E87" s="18" t="s">
        <v>16</v>
      </c>
      <c r="F87" s="18" t="s">
        <v>8</v>
      </c>
      <c r="G87" s="20">
        <v>3000</v>
      </c>
      <c r="H87" s="19">
        <v>44921</v>
      </c>
      <c r="I87" s="18" t="s">
        <v>12</v>
      </c>
    </row>
    <row r="88" spans="1:9" ht="31.5">
      <c r="A88" s="18">
        <v>76</v>
      </c>
      <c r="B88" s="18" t="s">
        <v>8</v>
      </c>
      <c r="C88" s="21" t="s">
        <v>32</v>
      </c>
      <c r="D88" s="21" t="s">
        <v>31</v>
      </c>
      <c r="E88" s="18" t="s">
        <v>16</v>
      </c>
      <c r="F88" s="18" t="s">
        <v>8</v>
      </c>
      <c r="G88" s="20">
        <v>3000</v>
      </c>
      <c r="H88" s="19">
        <v>44921</v>
      </c>
      <c r="I88" s="18" t="s">
        <v>12</v>
      </c>
    </row>
    <row r="89" spans="1:9" ht="31.5">
      <c r="A89" s="18">
        <v>77</v>
      </c>
      <c r="B89" s="18" t="s">
        <v>5</v>
      </c>
      <c r="C89" s="21" t="s">
        <v>28</v>
      </c>
      <c r="D89" s="21" t="s">
        <v>30</v>
      </c>
      <c r="E89" s="18" t="s">
        <v>16</v>
      </c>
      <c r="F89" s="18" t="s">
        <v>5</v>
      </c>
      <c r="G89" s="20">
        <v>1800</v>
      </c>
      <c r="H89" s="19">
        <v>44921</v>
      </c>
      <c r="I89" s="18" t="s">
        <v>12</v>
      </c>
    </row>
    <row r="90" spans="1:9" ht="47.25">
      <c r="A90" s="18">
        <v>78</v>
      </c>
      <c r="B90" s="18" t="s">
        <v>5</v>
      </c>
      <c r="C90" s="21" t="s">
        <v>28</v>
      </c>
      <c r="D90" s="21" t="s">
        <v>29</v>
      </c>
      <c r="E90" s="18" t="s">
        <v>16</v>
      </c>
      <c r="F90" s="18" t="s">
        <v>5</v>
      </c>
      <c r="G90" s="20">
        <v>1500</v>
      </c>
      <c r="H90" s="19">
        <v>44921</v>
      </c>
      <c r="I90" s="18" t="s">
        <v>12</v>
      </c>
    </row>
    <row r="91" spans="1:9" ht="31.5">
      <c r="A91" s="18">
        <v>79</v>
      </c>
      <c r="B91" s="18" t="s">
        <v>5</v>
      </c>
      <c r="C91" s="21" t="s">
        <v>28</v>
      </c>
      <c r="D91" s="21" t="s">
        <v>27</v>
      </c>
      <c r="E91" s="18" t="s">
        <v>16</v>
      </c>
      <c r="F91" s="18" t="s">
        <v>5</v>
      </c>
      <c r="G91" s="20">
        <v>1800</v>
      </c>
      <c r="H91" s="19">
        <v>44921</v>
      </c>
      <c r="I91" s="18" t="s">
        <v>12</v>
      </c>
    </row>
    <row r="92" spans="1:9" ht="15.75">
      <c r="A92" s="18">
        <v>80</v>
      </c>
      <c r="B92" s="18" t="s">
        <v>5</v>
      </c>
      <c r="C92" s="21" t="s">
        <v>26</v>
      </c>
      <c r="D92" s="21" t="s">
        <v>25</v>
      </c>
      <c r="E92" s="18" t="s">
        <v>16</v>
      </c>
      <c r="F92" s="18" t="s">
        <v>5</v>
      </c>
      <c r="G92" s="20">
        <v>1800</v>
      </c>
      <c r="H92" s="19">
        <v>44921</v>
      </c>
      <c r="I92" s="18" t="s">
        <v>12</v>
      </c>
    </row>
    <row r="93" spans="1:9" ht="31.5">
      <c r="A93" s="18">
        <v>81</v>
      </c>
      <c r="B93" s="18" t="s">
        <v>5</v>
      </c>
      <c r="C93" s="21" t="s">
        <v>21</v>
      </c>
      <c r="D93" s="21" t="s">
        <v>24</v>
      </c>
      <c r="E93" s="18" t="s">
        <v>23</v>
      </c>
      <c r="F93" s="18" t="s">
        <v>5</v>
      </c>
      <c r="G93" s="20">
        <v>6000</v>
      </c>
      <c r="H93" s="19">
        <v>44921</v>
      </c>
      <c r="I93" s="18" t="s">
        <v>12</v>
      </c>
    </row>
    <row r="94" spans="1:9" ht="31.5">
      <c r="A94" s="18">
        <v>82</v>
      </c>
      <c r="B94" s="18" t="s">
        <v>5</v>
      </c>
      <c r="C94" s="21" t="s">
        <v>21</v>
      </c>
      <c r="D94" s="21" t="s">
        <v>22</v>
      </c>
      <c r="E94" s="18" t="s">
        <v>13</v>
      </c>
      <c r="F94" s="18" t="s">
        <v>5</v>
      </c>
      <c r="G94" s="20">
        <v>3000</v>
      </c>
      <c r="H94" s="19">
        <v>44921</v>
      </c>
      <c r="I94" s="18" t="s">
        <v>12</v>
      </c>
    </row>
    <row r="95" spans="1:9" ht="15.75">
      <c r="A95" s="18">
        <v>83</v>
      </c>
      <c r="B95" s="18" t="s">
        <v>5</v>
      </c>
      <c r="C95" s="21" t="s">
        <v>21</v>
      </c>
      <c r="D95" s="21" t="s">
        <v>20</v>
      </c>
      <c r="E95" s="18" t="s">
        <v>16</v>
      </c>
      <c r="F95" s="18" t="s">
        <v>5</v>
      </c>
      <c r="G95" s="20">
        <v>900</v>
      </c>
      <c r="H95" s="19">
        <v>44921</v>
      </c>
      <c r="I95" s="18" t="s">
        <v>12</v>
      </c>
    </row>
    <row r="96" spans="1:9" ht="31.5">
      <c r="A96" s="18">
        <v>84</v>
      </c>
      <c r="B96" s="18" t="s">
        <v>5</v>
      </c>
      <c r="C96" s="21" t="s">
        <v>18</v>
      </c>
      <c r="D96" s="21" t="s">
        <v>19</v>
      </c>
      <c r="E96" s="18" t="s">
        <v>16</v>
      </c>
      <c r="F96" s="18" t="s">
        <v>5</v>
      </c>
      <c r="G96" s="20">
        <v>1800</v>
      </c>
      <c r="H96" s="19">
        <v>44921</v>
      </c>
      <c r="I96" s="18" t="s">
        <v>12</v>
      </c>
    </row>
    <row r="97" spans="1:9" ht="15.75">
      <c r="A97" s="18">
        <v>85</v>
      </c>
      <c r="B97" s="18" t="s">
        <v>5</v>
      </c>
      <c r="C97" s="21" t="s">
        <v>18</v>
      </c>
      <c r="D97" s="21" t="s">
        <v>17</v>
      </c>
      <c r="E97" s="18" t="s">
        <v>16</v>
      </c>
      <c r="F97" s="18" t="s">
        <v>5</v>
      </c>
      <c r="G97" s="20">
        <v>1800</v>
      </c>
      <c r="H97" s="19">
        <v>44921</v>
      </c>
      <c r="I97" s="18" t="s">
        <v>12</v>
      </c>
    </row>
    <row r="98" spans="1:9" ht="31.5">
      <c r="A98" s="14">
        <v>86</v>
      </c>
      <c r="B98" s="14" t="s">
        <v>5</v>
      </c>
      <c r="C98" s="17" t="s">
        <v>15</v>
      </c>
      <c r="D98" s="17" t="s">
        <v>14</v>
      </c>
      <c r="E98" s="14" t="s">
        <v>13</v>
      </c>
      <c r="F98" s="14" t="s">
        <v>5</v>
      </c>
      <c r="G98" s="16">
        <v>5000</v>
      </c>
      <c r="H98" s="15">
        <v>44921</v>
      </c>
      <c r="I98" s="14" t="s">
        <v>12</v>
      </c>
    </row>
    <row r="99" spans="1:9" ht="15.75">
      <c r="A99" s="13"/>
      <c r="B99" s="10"/>
      <c r="C99" s="12"/>
      <c r="D99" s="11" t="s">
        <v>11</v>
      </c>
      <c r="E99" s="11"/>
      <c r="F99" s="10"/>
      <c r="G99" s="11">
        <f>SUM(G82:G98)</f>
        <v>50200</v>
      </c>
      <c r="H99" s="10"/>
      <c r="I99" s="9"/>
    </row>
    <row r="100" spans="1:9">
      <c r="A100" s="2"/>
      <c r="B100" s="2"/>
      <c r="C100" s="4"/>
      <c r="D100" s="4"/>
      <c r="E100" s="2"/>
      <c r="F100" s="2"/>
      <c r="G100" s="2"/>
      <c r="H100" s="2"/>
      <c r="I100" s="2"/>
    </row>
    <row r="101" spans="1:9">
      <c r="A101" s="2"/>
      <c r="B101" s="2"/>
      <c r="C101" s="4"/>
      <c r="D101" s="4"/>
      <c r="E101" s="2"/>
      <c r="F101" s="2"/>
      <c r="G101" s="2"/>
      <c r="H101" s="2"/>
      <c r="I101" s="2"/>
    </row>
    <row r="102" spans="1:9" ht="18.75">
      <c r="A102" s="2"/>
      <c r="B102" s="2"/>
      <c r="C102" s="4"/>
      <c r="D102" s="4"/>
      <c r="E102" s="8" t="s">
        <v>10</v>
      </c>
      <c r="F102" s="7"/>
      <c r="G102" s="6">
        <f>SUM(G10,G16,G22,G33,G44,G48,G55,G62,G68,G81,G99)</f>
        <v>432400</v>
      </c>
      <c r="H102" s="2"/>
      <c r="I102" s="2"/>
    </row>
    <row r="103" spans="1:9">
      <c r="A103" s="2"/>
      <c r="B103" s="2"/>
      <c r="C103" s="4"/>
      <c r="D103" s="4"/>
      <c r="E103" s="2"/>
      <c r="F103" s="2"/>
      <c r="G103" s="2"/>
      <c r="H103" s="2"/>
      <c r="I103" s="2"/>
    </row>
    <row r="104" spans="1:9">
      <c r="A104" s="2"/>
      <c r="B104" s="2"/>
      <c r="C104" s="4"/>
      <c r="D104" s="4"/>
      <c r="E104" s="2"/>
      <c r="F104" s="2"/>
      <c r="G104" s="2"/>
      <c r="H104" s="2"/>
      <c r="I104" s="2"/>
    </row>
    <row r="105" spans="1:9">
      <c r="A105" s="2"/>
      <c r="B105" s="2"/>
      <c r="C105" s="4"/>
      <c r="D105" s="4"/>
      <c r="E105" s="2"/>
      <c r="F105" s="2"/>
      <c r="G105" s="2"/>
      <c r="H105" s="2"/>
      <c r="I105" s="2"/>
    </row>
    <row r="106" spans="1:9" ht="15.75">
      <c r="A106" s="2"/>
      <c r="B106" s="2"/>
      <c r="C106" s="5" t="s">
        <v>9</v>
      </c>
      <c r="D106" s="4">
        <f>COUNTIF($B$3:$B$98,C106)</f>
        <v>4</v>
      </c>
      <c r="E106" s="2"/>
      <c r="F106" s="2"/>
      <c r="G106" s="2"/>
      <c r="H106" s="2"/>
      <c r="I106" s="2"/>
    </row>
    <row r="107" spans="1:9" ht="15.75">
      <c r="A107" s="2"/>
      <c r="B107" s="2"/>
      <c r="C107" s="5" t="s">
        <v>8</v>
      </c>
      <c r="D107" s="4">
        <f>COUNTIF($B$3:$B$98,C107)</f>
        <v>4</v>
      </c>
      <c r="E107" s="2"/>
      <c r="F107" s="2"/>
      <c r="G107" s="2"/>
      <c r="H107" s="2"/>
      <c r="I107" s="2"/>
    </row>
    <row r="108" spans="1:9" ht="15.75">
      <c r="A108" s="2"/>
      <c r="B108" s="2"/>
      <c r="C108" s="5" t="s">
        <v>7</v>
      </c>
      <c r="D108" s="4">
        <f>COUNTIF($B$3:$B$98,C108)</f>
        <v>2</v>
      </c>
      <c r="E108" s="2"/>
      <c r="F108" s="2"/>
      <c r="G108" s="2"/>
      <c r="H108" s="2"/>
      <c r="I108" s="2"/>
    </row>
    <row r="109" spans="1:9" ht="15.75">
      <c r="A109" s="2"/>
      <c r="B109" s="2"/>
      <c r="C109" s="5" t="s">
        <v>6</v>
      </c>
      <c r="D109" s="4">
        <f>COUNTIF($B$3:$B$98,C109)</f>
        <v>10</v>
      </c>
      <c r="E109" s="2"/>
      <c r="F109" s="2"/>
      <c r="G109" s="2"/>
      <c r="H109" s="2"/>
      <c r="I109" s="2"/>
    </row>
    <row r="110" spans="1:9" ht="15.75">
      <c r="A110" s="2"/>
      <c r="B110" s="2"/>
      <c r="C110" s="5" t="s">
        <v>5</v>
      </c>
      <c r="D110" s="4">
        <f>COUNTIF($B$3:$B$98,C110)</f>
        <v>29</v>
      </c>
      <c r="E110" s="2"/>
      <c r="F110" s="2"/>
      <c r="G110" s="2"/>
      <c r="H110" s="2"/>
      <c r="I110" s="2"/>
    </row>
    <row r="111" spans="1:9" ht="15.75">
      <c r="A111" s="2"/>
      <c r="B111" s="2"/>
      <c r="C111" s="5" t="s">
        <v>4</v>
      </c>
      <c r="D111" s="4">
        <f>COUNTIF($B$3:$B$98,C111)</f>
        <v>7</v>
      </c>
      <c r="E111" s="2"/>
      <c r="F111" s="2"/>
      <c r="G111" s="2"/>
      <c r="H111" s="2"/>
      <c r="I111" s="2"/>
    </row>
    <row r="112" spans="1:9" ht="15.75">
      <c r="A112" s="2"/>
      <c r="B112" s="2"/>
      <c r="C112" s="5" t="s">
        <v>3</v>
      </c>
      <c r="D112" s="4">
        <f>COUNTIF($B$3:$B$98,C112)</f>
        <v>3</v>
      </c>
      <c r="E112" s="2"/>
      <c r="F112" s="2"/>
      <c r="G112" s="2"/>
      <c r="H112" s="2"/>
      <c r="I112" s="2"/>
    </row>
    <row r="113" spans="1:9" ht="15.75">
      <c r="A113" s="2"/>
      <c r="B113" s="2"/>
      <c r="C113" s="5" t="s">
        <v>2</v>
      </c>
      <c r="D113" s="4">
        <f>COUNTIF($B$3:$B$98,C113)</f>
        <v>17</v>
      </c>
      <c r="E113" s="2"/>
      <c r="F113" s="2"/>
      <c r="G113" s="2"/>
      <c r="H113" s="2"/>
      <c r="I113" s="2"/>
    </row>
    <row r="114" spans="1:9" ht="15.75">
      <c r="A114" s="2"/>
      <c r="B114" s="2"/>
      <c r="C114" s="5" t="s">
        <v>1</v>
      </c>
      <c r="D114" s="4">
        <f>COUNTIF($B$3:$B$98,C114)</f>
        <v>8</v>
      </c>
      <c r="E114" s="2"/>
      <c r="F114" s="2"/>
      <c r="G114" s="2"/>
      <c r="H114" s="2"/>
      <c r="I114" s="2"/>
    </row>
    <row r="115" spans="1:9" ht="15.75">
      <c r="A115" s="2"/>
      <c r="B115" s="2"/>
      <c r="C115" s="5" t="s">
        <v>0</v>
      </c>
      <c r="D115" s="4">
        <f>COUNTIF($B$3:$B$98,C115)</f>
        <v>2</v>
      </c>
      <c r="E115" s="2"/>
      <c r="F115" s="2"/>
      <c r="G115" s="2"/>
      <c r="H115" s="2"/>
      <c r="I115" s="2"/>
    </row>
    <row r="116" spans="1:9">
      <c r="A116" s="2"/>
      <c r="B116" s="2"/>
      <c r="C116" s="4"/>
      <c r="D116" s="4"/>
      <c r="E116" s="2"/>
      <c r="F116" s="2"/>
      <c r="G116" s="2"/>
      <c r="H116" s="2"/>
      <c r="I116" s="2"/>
    </row>
    <row r="117" spans="1:9">
      <c r="A117" s="2"/>
      <c r="B117" s="2"/>
      <c r="C117" s="4"/>
      <c r="D117" s="4"/>
      <c r="E117" s="2"/>
      <c r="F117" s="2"/>
      <c r="G117" s="2"/>
      <c r="H117" s="2"/>
      <c r="I117" s="2"/>
    </row>
    <row r="118" spans="1:9">
      <c r="A118" s="2"/>
      <c r="B118" s="2"/>
      <c r="C118" s="4"/>
      <c r="D118" s="4"/>
      <c r="E118" s="2"/>
      <c r="F118" s="2"/>
      <c r="G118" s="2"/>
      <c r="H118" s="2"/>
      <c r="I118" s="2"/>
    </row>
    <row r="119" spans="1:9">
      <c r="A119" s="2"/>
      <c r="B119" s="2"/>
      <c r="C119" s="4"/>
      <c r="D119" s="4"/>
      <c r="E119" s="2"/>
      <c r="F119" s="2"/>
      <c r="G119" s="2"/>
      <c r="H119" s="2"/>
      <c r="I119" s="2"/>
    </row>
    <row r="120" spans="1:9">
      <c r="A120" s="2"/>
      <c r="B120" s="2"/>
      <c r="C120" s="4"/>
      <c r="D120" s="4"/>
      <c r="E120" s="2"/>
      <c r="F120" s="2"/>
      <c r="G120" s="2"/>
      <c r="H120" s="2"/>
      <c r="I120" s="2"/>
    </row>
    <row r="121" spans="1:9">
      <c r="A121" s="2"/>
      <c r="B121" s="2"/>
      <c r="C121" s="4"/>
      <c r="D121" s="4"/>
      <c r="E121" s="2"/>
      <c r="F121" s="2"/>
      <c r="G121" s="2"/>
      <c r="H121" s="2"/>
      <c r="I121" s="2"/>
    </row>
    <row r="122" spans="1:9">
      <c r="A122" s="2"/>
      <c r="B122" s="2"/>
      <c r="C122" s="4"/>
      <c r="D122" s="4"/>
      <c r="E122" s="2"/>
      <c r="F122" s="2"/>
      <c r="G122" s="2"/>
      <c r="H122" s="2"/>
      <c r="I122" s="2"/>
    </row>
    <row r="123" spans="1:9">
      <c r="A123" s="2"/>
      <c r="B123" s="2"/>
      <c r="C123" s="4"/>
      <c r="D123" s="4"/>
      <c r="E123" s="2"/>
      <c r="F123" s="2"/>
      <c r="G123" s="2"/>
      <c r="H123" s="2"/>
      <c r="I123" s="2"/>
    </row>
    <row r="124" spans="1:9">
      <c r="A124" s="2"/>
      <c r="B124" s="2"/>
      <c r="C124" s="4"/>
      <c r="D124" s="4"/>
      <c r="E124" s="2"/>
      <c r="F124" s="2"/>
      <c r="G124" s="2"/>
      <c r="H124" s="2"/>
      <c r="I124" s="2"/>
    </row>
    <row r="125" spans="1:9">
      <c r="A125" s="2"/>
      <c r="B125" s="2"/>
      <c r="C125" s="4"/>
      <c r="D125" s="4"/>
      <c r="E125" s="2"/>
      <c r="F125" s="2"/>
      <c r="G125" s="2"/>
      <c r="H125" s="2"/>
      <c r="I125" s="2"/>
    </row>
    <row r="126" spans="1:9">
      <c r="A126" s="2"/>
      <c r="B126" s="2"/>
      <c r="C126" s="4"/>
      <c r="D126" s="4"/>
      <c r="E126" s="2"/>
      <c r="F126" s="2"/>
      <c r="G126" s="2"/>
      <c r="H126" s="2"/>
      <c r="I126" s="2"/>
    </row>
    <row r="127" spans="1:9">
      <c r="A127" s="2"/>
      <c r="B127" s="2"/>
      <c r="C127" s="4"/>
      <c r="D127" s="4"/>
      <c r="E127" s="2"/>
      <c r="F127" s="2"/>
      <c r="G127" s="2"/>
      <c r="H127" s="2"/>
      <c r="I127" s="2"/>
    </row>
    <row r="128" spans="1:9">
      <c r="A128" s="2"/>
      <c r="B128" s="2"/>
      <c r="C128" s="4"/>
      <c r="D128" s="4"/>
      <c r="E128" s="2"/>
      <c r="F128" s="2"/>
      <c r="G128" s="2"/>
      <c r="H128" s="2"/>
      <c r="I128" s="2"/>
    </row>
    <row r="129" spans="1:9">
      <c r="A129" s="2"/>
      <c r="B129" s="2"/>
      <c r="C129" s="4"/>
      <c r="D129" s="4"/>
      <c r="E129" s="2"/>
      <c r="F129" s="2"/>
      <c r="G129" s="2"/>
      <c r="H129" s="2"/>
      <c r="I129" s="2"/>
    </row>
    <row r="130" spans="1:9">
      <c r="A130" s="2"/>
      <c r="B130" s="2"/>
      <c r="C130" s="4"/>
      <c r="D130" s="4"/>
      <c r="E130" s="2"/>
      <c r="F130" s="2"/>
      <c r="G130" s="2"/>
      <c r="H130" s="2"/>
      <c r="I130" s="2"/>
    </row>
    <row r="131" spans="1:9">
      <c r="A131" s="2"/>
      <c r="B131" s="2"/>
      <c r="C131" s="4"/>
      <c r="D131" s="4"/>
      <c r="E131" s="2"/>
      <c r="F131" s="2"/>
      <c r="G131" s="2"/>
      <c r="H131" s="2"/>
      <c r="I131" s="2"/>
    </row>
    <row r="132" spans="1:9">
      <c r="A132" s="2"/>
      <c r="B132" s="2"/>
      <c r="C132" s="4"/>
      <c r="D132" s="4"/>
      <c r="E132" s="2"/>
      <c r="F132" s="2"/>
      <c r="G132" s="2"/>
      <c r="H132" s="2"/>
      <c r="I132" s="2"/>
    </row>
    <row r="133" spans="1:9">
      <c r="A133" s="2"/>
      <c r="B133" s="2"/>
      <c r="C133" s="4"/>
      <c r="D133" s="4"/>
      <c r="E133" s="2"/>
      <c r="F133" s="2"/>
      <c r="G133" s="2"/>
      <c r="H133" s="2"/>
      <c r="I133" s="2"/>
    </row>
    <row r="134" spans="1:9">
      <c r="A134" s="2"/>
      <c r="B134" s="2"/>
      <c r="C134" s="4"/>
      <c r="D134" s="4"/>
      <c r="E134" s="2"/>
      <c r="F134" s="2"/>
      <c r="G134" s="2"/>
      <c r="H134" s="2"/>
      <c r="I134" s="2"/>
    </row>
    <row r="135" spans="1:9">
      <c r="A135" s="2"/>
      <c r="B135" s="2"/>
      <c r="C135" s="4"/>
      <c r="D135" s="4"/>
      <c r="E135" s="2"/>
      <c r="F135" s="2"/>
      <c r="G135" s="2"/>
      <c r="H135" s="2"/>
      <c r="I135" s="2"/>
    </row>
    <row r="136" spans="1:9">
      <c r="A136" s="2"/>
      <c r="B136" s="2"/>
      <c r="C136" s="4"/>
      <c r="D136" s="4"/>
      <c r="E136" s="2"/>
      <c r="F136" s="2"/>
      <c r="G136" s="2"/>
      <c r="H136" s="2"/>
      <c r="I136" s="2"/>
    </row>
    <row r="137" spans="1:9">
      <c r="A137" s="2"/>
      <c r="B137" s="2"/>
      <c r="C137" s="4"/>
      <c r="D137" s="4"/>
      <c r="E137" s="2"/>
      <c r="F137" s="2"/>
      <c r="G137" s="2"/>
      <c r="H137" s="2"/>
      <c r="I137" s="2"/>
    </row>
    <row r="138" spans="1:9">
      <c r="A138" s="2"/>
      <c r="B138" s="2"/>
      <c r="C138" s="4"/>
      <c r="D138" s="4"/>
      <c r="E138" s="2"/>
      <c r="F138" s="2"/>
      <c r="G138" s="2"/>
      <c r="H138" s="2"/>
      <c r="I138" s="2"/>
    </row>
    <row r="139" spans="1:9">
      <c r="A139" s="2"/>
      <c r="B139" s="2"/>
      <c r="C139" s="4"/>
      <c r="D139" s="4"/>
      <c r="E139" s="2"/>
      <c r="F139" s="2"/>
      <c r="G139" s="2"/>
      <c r="H139" s="2"/>
      <c r="I139" s="2"/>
    </row>
    <row r="140" spans="1:9">
      <c r="A140" s="2"/>
      <c r="B140" s="2"/>
      <c r="C140" s="4"/>
      <c r="D140" s="4"/>
      <c r="E140" s="2"/>
      <c r="F140" s="2"/>
      <c r="G140" s="2"/>
      <c r="H140" s="2"/>
      <c r="I140" s="2"/>
    </row>
    <row r="141" spans="1:9">
      <c r="A141" s="2"/>
      <c r="B141" s="2"/>
      <c r="C141" s="4"/>
      <c r="D141" s="4"/>
      <c r="E141" s="2"/>
      <c r="F141" s="2"/>
      <c r="G141" s="2"/>
      <c r="H141" s="2"/>
      <c r="I141" s="2"/>
    </row>
    <row r="142" spans="1:9">
      <c r="A142" s="2"/>
      <c r="B142" s="2"/>
      <c r="C142" s="4"/>
      <c r="D142" s="4"/>
      <c r="E142" s="2"/>
      <c r="F142" s="2"/>
      <c r="G142" s="2"/>
      <c r="H142" s="2"/>
      <c r="I142" s="2"/>
    </row>
    <row r="143" spans="1:9">
      <c r="A143" s="2"/>
      <c r="B143" s="2"/>
      <c r="C143" s="4"/>
      <c r="D143" s="4"/>
      <c r="E143" s="2"/>
      <c r="F143" s="2"/>
      <c r="G143" s="2"/>
      <c r="H143" s="2"/>
      <c r="I143" s="2"/>
    </row>
    <row r="144" spans="1:9">
      <c r="A144" s="2"/>
      <c r="B144" s="2"/>
      <c r="C144" s="4"/>
      <c r="D144" s="4"/>
      <c r="E144" s="2"/>
      <c r="F144" s="2"/>
      <c r="G144" s="2"/>
      <c r="H144" s="2"/>
      <c r="I144" s="2"/>
    </row>
    <row r="145" spans="1:9">
      <c r="A145" s="2"/>
      <c r="B145" s="2"/>
      <c r="C145" s="4"/>
      <c r="D145" s="4"/>
      <c r="E145" s="2"/>
      <c r="F145" s="2"/>
      <c r="G145" s="2"/>
      <c r="H145" s="2"/>
      <c r="I145" s="2"/>
    </row>
    <row r="146" spans="1:9">
      <c r="A146" s="2"/>
      <c r="B146" s="2"/>
      <c r="C146" s="4"/>
      <c r="D146" s="4"/>
      <c r="E146" s="2"/>
      <c r="F146" s="2"/>
      <c r="G146" s="2"/>
      <c r="H146" s="2"/>
      <c r="I146" s="2"/>
    </row>
    <row r="147" spans="1:9">
      <c r="A147" s="2"/>
      <c r="B147" s="2"/>
      <c r="C147" s="4"/>
      <c r="D147" s="4"/>
      <c r="E147" s="2"/>
      <c r="F147" s="2"/>
      <c r="G147" s="2"/>
      <c r="H147" s="2"/>
      <c r="I147" s="2"/>
    </row>
    <row r="148" spans="1:9">
      <c r="A148" s="2"/>
      <c r="B148" s="2"/>
      <c r="C148" s="4"/>
      <c r="D148" s="4"/>
      <c r="E148" s="2"/>
      <c r="F148" s="2"/>
      <c r="G148" s="2"/>
      <c r="H148" s="2"/>
      <c r="I148" s="2"/>
    </row>
    <row r="149" spans="1:9">
      <c r="A149" s="2"/>
      <c r="B149" s="2"/>
      <c r="C149" s="4"/>
      <c r="D149" s="4"/>
      <c r="E149" s="2"/>
      <c r="F149" s="2"/>
      <c r="G149" s="2"/>
      <c r="H149" s="2"/>
      <c r="I149" s="2"/>
    </row>
    <row r="150" spans="1:9">
      <c r="A150" s="2"/>
      <c r="B150" s="2"/>
      <c r="C150" s="4"/>
      <c r="D150" s="4"/>
      <c r="E150" s="2"/>
      <c r="F150" s="2"/>
      <c r="G150" s="2"/>
      <c r="H150" s="2"/>
      <c r="I150" s="2"/>
    </row>
    <row r="151" spans="1:9">
      <c r="A151" s="2"/>
      <c r="B151" s="2"/>
      <c r="C151" s="4"/>
      <c r="D151" s="4"/>
      <c r="E151" s="2"/>
      <c r="F151" s="2"/>
      <c r="G151" s="2"/>
      <c r="H151" s="2"/>
      <c r="I151" s="2"/>
    </row>
    <row r="152" spans="1:9">
      <c r="A152" s="2"/>
      <c r="B152" s="2"/>
      <c r="C152" s="4"/>
      <c r="D152" s="4"/>
      <c r="E152" s="2"/>
      <c r="F152" s="2"/>
      <c r="G152" s="2"/>
      <c r="H152" s="2"/>
      <c r="I152" s="2"/>
    </row>
    <row r="153" spans="1:9">
      <c r="A153" s="2"/>
      <c r="B153" s="2"/>
      <c r="C153" s="4"/>
      <c r="D153" s="4"/>
      <c r="E153" s="2"/>
      <c r="F153" s="2"/>
      <c r="G153" s="2"/>
      <c r="H153" s="2"/>
      <c r="I153" s="2"/>
    </row>
    <row r="154" spans="1:9">
      <c r="A154" s="2"/>
      <c r="B154" s="2"/>
      <c r="C154" s="4"/>
      <c r="D154" s="4"/>
      <c r="E154" s="2"/>
      <c r="F154" s="2"/>
      <c r="G154" s="2"/>
      <c r="H154" s="2"/>
      <c r="I154" s="2"/>
    </row>
    <row r="155" spans="1:9">
      <c r="A155" s="2"/>
      <c r="B155" s="2"/>
      <c r="C155" s="4"/>
      <c r="D155" s="4"/>
      <c r="E155" s="2"/>
      <c r="F155" s="2"/>
      <c r="G155" s="2"/>
      <c r="H155" s="2"/>
      <c r="I155" s="2"/>
    </row>
    <row r="156" spans="1:9">
      <c r="A156" s="2"/>
      <c r="B156" s="2"/>
      <c r="C156" s="4"/>
      <c r="D156" s="4"/>
      <c r="E156" s="2"/>
      <c r="F156" s="2"/>
      <c r="G156" s="2"/>
      <c r="H156" s="2"/>
      <c r="I156" s="2"/>
    </row>
    <row r="157" spans="1:9">
      <c r="A157" s="2"/>
      <c r="B157" s="2"/>
      <c r="C157" s="4"/>
      <c r="D157" s="4"/>
      <c r="E157" s="2"/>
      <c r="F157" s="2"/>
      <c r="G157" s="2"/>
      <c r="H157" s="2"/>
      <c r="I157" s="2"/>
    </row>
    <row r="158" spans="1:9">
      <c r="A158" s="2"/>
      <c r="B158" s="2"/>
      <c r="C158" s="4"/>
      <c r="D158" s="4"/>
      <c r="E158" s="2"/>
      <c r="F158" s="2"/>
      <c r="G158" s="2"/>
      <c r="H158" s="2"/>
      <c r="I158" s="2"/>
    </row>
    <row r="159" spans="1:9">
      <c r="A159" s="2"/>
      <c r="B159" s="2"/>
      <c r="C159" s="4"/>
      <c r="D159" s="4"/>
      <c r="E159" s="2"/>
      <c r="F159" s="2"/>
      <c r="G159" s="2"/>
      <c r="H159" s="2"/>
      <c r="I159" s="2"/>
    </row>
    <row r="160" spans="1:9">
      <c r="A160" s="2"/>
      <c r="B160" s="2"/>
      <c r="C160" s="4"/>
      <c r="D160" s="4"/>
      <c r="E160" s="2"/>
      <c r="F160" s="2"/>
      <c r="G160" s="2"/>
      <c r="H160" s="2"/>
      <c r="I160" s="2"/>
    </row>
    <row r="161" spans="1:9">
      <c r="A161" s="2"/>
      <c r="B161" s="2"/>
      <c r="C161" s="4"/>
      <c r="D161" s="4"/>
      <c r="E161" s="2"/>
      <c r="F161" s="2"/>
      <c r="G161" s="2"/>
      <c r="H161" s="2"/>
      <c r="I161" s="2"/>
    </row>
    <row r="162" spans="1:9">
      <c r="A162" s="2"/>
      <c r="B162" s="2"/>
      <c r="C162" s="4"/>
      <c r="D162" s="4"/>
      <c r="E162" s="2"/>
      <c r="F162" s="2"/>
      <c r="G162" s="2"/>
      <c r="H162" s="2"/>
      <c r="I162" s="2"/>
    </row>
    <row r="163" spans="1:9">
      <c r="A163" s="2"/>
      <c r="B163" s="2"/>
      <c r="C163" s="4"/>
      <c r="D163" s="4"/>
      <c r="E163" s="2"/>
      <c r="F163" s="2"/>
      <c r="G163" s="2"/>
      <c r="H163" s="2"/>
      <c r="I163" s="2"/>
    </row>
    <row r="164" spans="1:9">
      <c r="A164" s="2"/>
      <c r="B164" s="2"/>
      <c r="C164" s="4"/>
      <c r="D164" s="4"/>
      <c r="E164" s="2"/>
      <c r="F164" s="2"/>
      <c r="G164" s="2"/>
      <c r="H164" s="2"/>
      <c r="I164" s="2"/>
    </row>
    <row r="165" spans="1:9">
      <c r="A165" s="2"/>
      <c r="B165" s="2"/>
      <c r="C165" s="4"/>
      <c r="D165" s="4"/>
      <c r="E165" s="2"/>
      <c r="F165" s="2"/>
      <c r="G165" s="2"/>
      <c r="H165" s="2"/>
      <c r="I165" s="2"/>
    </row>
    <row r="166" spans="1:9">
      <c r="A166" s="2"/>
      <c r="B166" s="2"/>
      <c r="C166" s="4"/>
      <c r="D166" s="4"/>
      <c r="E166" s="2"/>
      <c r="F166" s="2"/>
      <c r="G166" s="2"/>
      <c r="H166" s="2"/>
      <c r="I166" s="2"/>
    </row>
    <row r="167" spans="1:9">
      <c r="A167" s="2"/>
      <c r="B167" s="2"/>
      <c r="C167" s="4"/>
      <c r="D167" s="4"/>
      <c r="E167" s="2"/>
      <c r="F167" s="2"/>
      <c r="G167" s="2"/>
      <c r="H167" s="2"/>
      <c r="I167" s="2"/>
    </row>
    <row r="168" spans="1:9">
      <c r="A168" s="2"/>
      <c r="B168" s="2"/>
      <c r="C168" s="4"/>
      <c r="D168" s="4"/>
      <c r="E168" s="2"/>
      <c r="F168" s="2"/>
      <c r="G168" s="2"/>
      <c r="H168" s="2"/>
      <c r="I168" s="2"/>
    </row>
    <row r="169" spans="1:9">
      <c r="A169" s="2"/>
      <c r="B169" s="2"/>
      <c r="C169" s="4"/>
      <c r="D169" s="4"/>
      <c r="E169" s="2"/>
      <c r="F169" s="2"/>
      <c r="G169" s="2"/>
      <c r="H169" s="2"/>
      <c r="I169" s="2"/>
    </row>
    <row r="170" spans="1:9">
      <c r="A170" s="2"/>
      <c r="B170" s="2"/>
      <c r="C170" s="4"/>
      <c r="D170" s="4"/>
      <c r="E170" s="2"/>
      <c r="F170" s="2"/>
      <c r="G170" s="2"/>
      <c r="H170" s="2"/>
      <c r="I170" s="2"/>
    </row>
    <row r="171" spans="1:9">
      <c r="A171" s="2"/>
      <c r="B171" s="2"/>
      <c r="C171" s="4"/>
      <c r="D171" s="4"/>
      <c r="E171" s="2"/>
      <c r="F171" s="2"/>
      <c r="G171" s="2"/>
      <c r="H171" s="2"/>
      <c r="I171" s="2"/>
    </row>
    <row r="172" spans="1:9">
      <c r="A172" s="2"/>
      <c r="B172" s="2"/>
      <c r="C172" s="4"/>
      <c r="D172" s="4"/>
      <c r="E172" s="2"/>
      <c r="F172" s="2"/>
      <c r="G172" s="2"/>
      <c r="H172" s="2"/>
      <c r="I172" s="2"/>
    </row>
    <row r="173" spans="1:9">
      <c r="A173" s="2"/>
      <c r="B173" s="2"/>
      <c r="C173" s="4"/>
      <c r="D173" s="4"/>
      <c r="E173" s="2"/>
      <c r="F173" s="2"/>
      <c r="G173" s="2"/>
      <c r="H173" s="2"/>
      <c r="I173" s="2"/>
    </row>
    <row r="174" spans="1:9">
      <c r="A174" s="2"/>
      <c r="B174" s="2"/>
      <c r="C174" s="4"/>
      <c r="D174" s="4"/>
      <c r="E174" s="2"/>
      <c r="F174" s="2"/>
      <c r="G174" s="2"/>
      <c r="H174" s="2"/>
      <c r="I174" s="2"/>
    </row>
    <row r="175" spans="1:9">
      <c r="A175" s="2"/>
      <c r="B175" s="2"/>
      <c r="C175" s="4"/>
      <c r="D175" s="4"/>
      <c r="E175" s="2"/>
      <c r="F175" s="2"/>
      <c r="G175" s="2"/>
      <c r="H175" s="2"/>
      <c r="I175" s="2"/>
    </row>
    <row r="176" spans="1:9">
      <c r="A176" s="2"/>
      <c r="B176" s="2"/>
      <c r="C176" s="4"/>
      <c r="D176" s="4"/>
      <c r="E176" s="2"/>
      <c r="F176" s="2"/>
      <c r="G176" s="2"/>
      <c r="H176" s="2"/>
      <c r="I176" s="2"/>
    </row>
    <row r="177" spans="1:9">
      <c r="A177" s="2"/>
      <c r="B177" s="2"/>
      <c r="C177" s="4"/>
      <c r="D177" s="4"/>
      <c r="E177" s="2"/>
      <c r="F177" s="2"/>
      <c r="G177" s="2"/>
      <c r="H177" s="2"/>
      <c r="I177" s="2"/>
    </row>
    <row r="178" spans="1:9">
      <c r="A178" s="2"/>
      <c r="B178" s="2"/>
      <c r="C178" s="4"/>
      <c r="D178" s="4"/>
      <c r="E178" s="2"/>
      <c r="F178" s="2"/>
      <c r="G178" s="2"/>
      <c r="H178" s="2"/>
      <c r="I178" s="2"/>
    </row>
    <row r="179" spans="1:9">
      <c r="A179" s="2"/>
      <c r="B179" s="2"/>
      <c r="C179" s="4"/>
      <c r="D179" s="4"/>
      <c r="E179" s="2"/>
      <c r="F179" s="2"/>
      <c r="G179" s="2"/>
      <c r="H179" s="2"/>
      <c r="I179" s="2"/>
    </row>
    <row r="180" spans="1:9">
      <c r="A180" s="2"/>
      <c r="B180" s="2"/>
      <c r="C180" s="4"/>
      <c r="D180" s="4"/>
      <c r="E180" s="2"/>
      <c r="F180" s="2"/>
      <c r="G180" s="2"/>
      <c r="H180" s="2"/>
      <c r="I180" s="2"/>
    </row>
    <row r="181" spans="1:9">
      <c r="A181" s="2"/>
      <c r="B181" s="2"/>
      <c r="C181" s="4"/>
      <c r="D181" s="4"/>
      <c r="E181" s="2"/>
      <c r="F181" s="2"/>
      <c r="G181" s="2"/>
      <c r="H181" s="2"/>
      <c r="I181" s="2"/>
    </row>
    <row r="182" spans="1:9">
      <c r="A182" s="2"/>
      <c r="B182" s="2"/>
      <c r="C182" s="4"/>
      <c r="D182" s="4"/>
      <c r="E182" s="2"/>
      <c r="F182" s="2"/>
      <c r="G182" s="2"/>
      <c r="H182" s="2"/>
      <c r="I182" s="2"/>
    </row>
    <row r="183" spans="1:9">
      <c r="A183" s="2"/>
      <c r="B183" s="2"/>
      <c r="C183" s="4"/>
      <c r="D183" s="4"/>
      <c r="E183" s="2"/>
      <c r="F183" s="2"/>
      <c r="G183" s="2"/>
      <c r="H183" s="2"/>
      <c r="I183" s="2"/>
    </row>
    <row r="184" spans="1:9">
      <c r="A184" s="2"/>
      <c r="B184" s="2"/>
      <c r="C184" s="4"/>
      <c r="D184" s="4"/>
      <c r="E184" s="2"/>
      <c r="F184" s="2"/>
      <c r="G184" s="2"/>
      <c r="H184" s="2"/>
      <c r="I184" s="2"/>
    </row>
    <row r="185" spans="1:9">
      <c r="A185" s="2"/>
      <c r="B185" s="2"/>
      <c r="C185" s="4"/>
      <c r="D185" s="4"/>
      <c r="E185" s="2"/>
      <c r="F185" s="2"/>
      <c r="G185" s="2"/>
      <c r="H185" s="2"/>
      <c r="I185" s="2"/>
    </row>
    <row r="186" spans="1:9">
      <c r="A186" s="2"/>
      <c r="B186" s="2"/>
      <c r="C186" s="4"/>
      <c r="D186" s="4"/>
      <c r="E186" s="2"/>
      <c r="F186" s="2"/>
      <c r="G186" s="2"/>
      <c r="H186" s="2"/>
      <c r="I186" s="2"/>
    </row>
    <row r="187" spans="1:9">
      <c r="A187" s="2"/>
      <c r="B187" s="2"/>
      <c r="C187" s="4"/>
      <c r="D187" s="4"/>
      <c r="E187" s="2"/>
      <c r="F187" s="2"/>
      <c r="G187" s="2"/>
      <c r="H187" s="2"/>
      <c r="I187" s="2"/>
    </row>
    <row r="188" spans="1:9">
      <c r="A188" s="2"/>
      <c r="B188" s="2"/>
      <c r="C188" s="4"/>
      <c r="D188" s="4"/>
      <c r="E188" s="2"/>
      <c r="F188" s="2"/>
      <c r="G188" s="2"/>
      <c r="H188" s="2"/>
      <c r="I188" s="2"/>
    </row>
    <row r="189" spans="1:9">
      <c r="A189" s="2"/>
      <c r="B189" s="2"/>
      <c r="C189" s="4"/>
      <c r="D189" s="4"/>
      <c r="E189" s="2"/>
      <c r="F189" s="2"/>
      <c r="G189" s="2"/>
      <c r="H189" s="2"/>
      <c r="I189" s="2"/>
    </row>
    <row r="190" spans="1:9">
      <c r="A190" s="2"/>
      <c r="B190" s="2"/>
      <c r="C190" s="4"/>
      <c r="D190" s="4"/>
      <c r="E190" s="2"/>
      <c r="F190" s="2"/>
      <c r="G190" s="2"/>
      <c r="H190" s="2"/>
      <c r="I190" s="2"/>
    </row>
    <row r="191" spans="1:9">
      <c r="A191" s="2"/>
      <c r="B191" s="2"/>
      <c r="C191" s="4"/>
      <c r="D191" s="4"/>
      <c r="E191" s="2"/>
      <c r="F191" s="2"/>
      <c r="G191" s="2"/>
      <c r="H191" s="2"/>
      <c r="I191" s="2"/>
    </row>
    <row r="192" spans="1:9">
      <c r="A192" s="2"/>
      <c r="B192" s="2"/>
      <c r="C192" s="4"/>
      <c r="D192" s="4"/>
      <c r="E192" s="2"/>
      <c r="F192" s="2"/>
      <c r="G192" s="2"/>
      <c r="H192" s="2"/>
      <c r="I192" s="2"/>
    </row>
    <row r="193" spans="1:9">
      <c r="A193" s="2"/>
      <c r="B193" s="2"/>
      <c r="C193" s="4"/>
      <c r="D193" s="4"/>
      <c r="E193" s="2"/>
      <c r="F193" s="2"/>
      <c r="G193" s="2"/>
      <c r="H193" s="2"/>
      <c r="I193" s="2"/>
    </row>
    <row r="194" spans="1:9">
      <c r="A194" s="2"/>
      <c r="B194" s="2"/>
      <c r="C194" s="4"/>
      <c r="D194" s="4"/>
      <c r="E194" s="2"/>
      <c r="F194" s="2"/>
      <c r="G194" s="2"/>
      <c r="H194" s="2"/>
      <c r="I194" s="2"/>
    </row>
    <row r="195" spans="1:9">
      <c r="A195" s="2"/>
      <c r="B195" s="2"/>
      <c r="C195" s="4"/>
      <c r="D195" s="4"/>
      <c r="E195" s="2"/>
      <c r="F195" s="2"/>
      <c r="G195" s="2"/>
      <c r="H195" s="2"/>
      <c r="I195" s="2"/>
    </row>
    <row r="196" spans="1:9">
      <c r="A196" s="2"/>
      <c r="B196" s="2"/>
      <c r="C196" s="4"/>
      <c r="D196" s="4"/>
      <c r="E196" s="2"/>
      <c r="F196" s="2"/>
      <c r="G196" s="2"/>
      <c r="H196" s="2"/>
      <c r="I196" s="2"/>
    </row>
    <row r="197" spans="1:9">
      <c r="A197" s="2"/>
      <c r="B197" s="2"/>
      <c r="C197" s="4"/>
      <c r="D197" s="4"/>
      <c r="E197" s="2"/>
      <c r="F197" s="2"/>
      <c r="G197" s="2"/>
      <c r="H197" s="2"/>
      <c r="I197" s="2"/>
    </row>
    <row r="198" spans="1:9">
      <c r="A198" s="2"/>
      <c r="B198" s="2"/>
      <c r="C198" s="4"/>
      <c r="D198" s="4"/>
      <c r="E198" s="2"/>
      <c r="F198" s="2"/>
      <c r="G198" s="2"/>
      <c r="H198" s="2"/>
      <c r="I198" s="2"/>
    </row>
    <row r="199" spans="1:9">
      <c r="A199" s="2"/>
      <c r="B199" s="2"/>
      <c r="C199" s="4"/>
      <c r="D199" s="4"/>
      <c r="E199" s="2"/>
      <c r="F199" s="2"/>
      <c r="G199" s="2"/>
      <c r="H199" s="2"/>
      <c r="I199" s="2"/>
    </row>
    <row r="200" spans="1:9">
      <c r="A200" s="2"/>
      <c r="B200" s="2"/>
      <c r="C200" s="4"/>
      <c r="D200" s="4"/>
      <c r="E200" s="2"/>
      <c r="F200" s="2"/>
      <c r="G200" s="2"/>
      <c r="H200" s="2"/>
      <c r="I200" s="2"/>
    </row>
    <row r="201" spans="1:9">
      <c r="A201" s="2"/>
      <c r="B201" s="2"/>
      <c r="C201" s="4"/>
      <c r="D201" s="4"/>
      <c r="E201" s="2"/>
      <c r="F201" s="2"/>
      <c r="G201" s="2"/>
      <c r="H201" s="2"/>
      <c r="I201" s="2"/>
    </row>
    <row r="202" spans="1:9">
      <c r="A202" s="2"/>
      <c r="B202" s="2"/>
      <c r="C202" s="4"/>
      <c r="D202" s="4"/>
      <c r="E202" s="2"/>
      <c r="F202" s="2"/>
      <c r="G202" s="2"/>
      <c r="H202" s="2"/>
      <c r="I202" s="2"/>
    </row>
    <row r="203" spans="1:9">
      <c r="A203" s="2"/>
      <c r="B203" s="2"/>
      <c r="C203" s="4"/>
      <c r="D203" s="4"/>
      <c r="E203" s="2"/>
      <c r="F203" s="2"/>
      <c r="G203" s="2"/>
      <c r="H203" s="2"/>
      <c r="I203" s="2"/>
    </row>
    <row r="204" spans="1:9">
      <c r="A204" s="2"/>
      <c r="B204" s="2"/>
      <c r="C204" s="4"/>
      <c r="D204" s="4"/>
      <c r="E204" s="2"/>
      <c r="F204" s="2"/>
      <c r="G204" s="2"/>
      <c r="H204" s="2"/>
      <c r="I204" s="2"/>
    </row>
    <row r="205" spans="1:9">
      <c r="A205" s="2"/>
      <c r="B205" s="2"/>
      <c r="C205" s="4"/>
      <c r="D205" s="4"/>
      <c r="E205" s="2"/>
      <c r="F205" s="2"/>
      <c r="G205" s="2"/>
      <c r="H205" s="2"/>
      <c r="I205" s="2"/>
    </row>
    <row r="206" spans="1:9">
      <c r="A206" s="2"/>
      <c r="B206" s="2"/>
      <c r="C206" s="4"/>
      <c r="D206" s="4"/>
      <c r="E206" s="2"/>
      <c r="F206" s="2"/>
      <c r="G206" s="2"/>
      <c r="H206" s="2"/>
      <c r="I206" s="2"/>
    </row>
    <row r="207" spans="1:9">
      <c r="A207" s="2"/>
      <c r="B207" s="2"/>
      <c r="C207" s="4"/>
      <c r="D207" s="4"/>
      <c r="E207" s="2"/>
      <c r="F207" s="2"/>
      <c r="G207" s="2"/>
      <c r="H207" s="2"/>
      <c r="I207" s="2"/>
    </row>
    <row r="208" spans="1:9">
      <c r="A208" s="2"/>
      <c r="B208" s="2"/>
      <c r="C208" s="4"/>
      <c r="D208" s="4"/>
      <c r="E208" s="2"/>
      <c r="F208" s="2"/>
      <c r="G208" s="2"/>
      <c r="H208" s="2"/>
      <c r="I208" s="2"/>
    </row>
    <row r="209" spans="1:9">
      <c r="A209" s="2"/>
      <c r="B209" s="2"/>
      <c r="C209" s="4"/>
      <c r="D209" s="4"/>
      <c r="E209" s="2"/>
      <c r="F209" s="2"/>
      <c r="G209" s="2"/>
      <c r="H209" s="2"/>
      <c r="I209" s="2"/>
    </row>
    <row r="210" spans="1:9">
      <c r="A210" s="2"/>
      <c r="B210" s="2"/>
      <c r="C210" s="4"/>
      <c r="D210" s="4"/>
      <c r="E210" s="2"/>
      <c r="F210" s="2"/>
      <c r="G210" s="2"/>
      <c r="H210" s="2"/>
      <c r="I210" s="2"/>
    </row>
    <row r="211" spans="1:9">
      <c r="A211" s="2"/>
      <c r="B211" s="2"/>
      <c r="C211" s="4"/>
      <c r="D211" s="4"/>
      <c r="E211" s="2"/>
      <c r="F211" s="2"/>
      <c r="G211" s="2"/>
      <c r="H211" s="2"/>
      <c r="I211" s="2"/>
    </row>
    <row r="212" spans="1:9">
      <c r="A212" s="2"/>
      <c r="B212" s="2"/>
      <c r="C212" s="4"/>
      <c r="D212" s="4"/>
      <c r="E212" s="2"/>
      <c r="F212" s="2"/>
      <c r="G212" s="2"/>
      <c r="H212" s="2"/>
      <c r="I212" s="2"/>
    </row>
    <row r="213" spans="1:9">
      <c r="A213" s="2"/>
      <c r="B213" s="2"/>
      <c r="C213" s="4"/>
      <c r="D213" s="4"/>
      <c r="E213" s="2"/>
      <c r="F213" s="2"/>
      <c r="G213" s="2"/>
      <c r="H213" s="2"/>
      <c r="I213" s="2"/>
    </row>
    <row r="214" spans="1:9">
      <c r="A214" s="2"/>
      <c r="B214" s="2"/>
      <c r="C214" s="4"/>
      <c r="D214" s="4"/>
      <c r="E214" s="2"/>
      <c r="F214" s="2"/>
      <c r="G214" s="2"/>
      <c r="H214" s="2"/>
      <c r="I214" s="2"/>
    </row>
    <row r="215" spans="1:9">
      <c r="A215" s="2"/>
      <c r="B215" s="2"/>
      <c r="C215" s="4"/>
      <c r="D215" s="4"/>
      <c r="E215" s="2"/>
      <c r="F215" s="2"/>
      <c r="G215" s="2"/>
      <c r="H215" s="2"/>
      <c r="I215" s="2"/>
    </row>
    <row r="216" spans="1:9">
      <c r="A216" s="2"/>
      <c r="B216" s="2"/>
      <c r="C216" s="4"/>
      <c r="D216" s="4"/>
      <c r="E216" s="2"/>
      <c r="F216" s="2"/>
      <c r="G216" s="2"/>
      <c r="H216" s="2"/>
      <c r="I216" s="2"/>
    </row>
    <row r="217" spans="1:9">
      <c r="A217" s="2"/>
      <c r="B217" s="2"/>
      <c r="C217" s="4"/>
      <c r="D217" s="4"/>
      <c r="E217" s="2"/>
      <c r="F217" s="2"/>
      <c r="G217" s="2"/>
      <c r="H217" s="2"/>
      <c r="I217" s="2"/>
    </row>
    <row r="218" spans="1:9">
      <c r="A218" s="2"/>
      <c r="B218" s="2"/>
      <c r="C218" s="4"/>
      <c r="D218" s="4"/>
      <c r="E218" s="2"/>
      <c r="F218" s="2"/>
      <c r="G218" s="2"/>
      <c r="H218" s="2"/>
      <c r="I218" s="2"/>
    </row>
    <row r="219" spans="1:9">
      <c r="A219" s="2"/>
      <c r="B219" s="2"/>
      <c r="C219" s="4"/>
      <c r="D219" s="4"/>
      <c r="E219" s="2"/>
      <c r="F219" s="2"/>
      <c r="G219" s="2"/>
      <c r="H219" s="2"/>
      <c r="I219" s="2"/>
    </row>
    <row r="220" spans="1:9">
      <c r="A220" s="2"/>
      <c r="B220" s="2"/>
      <c r="C220" s="4"/>
      <c r="D220" s="4"/>
      <c r="E220" s="2"/>
      <c r="F220" s="2"/>
      <c r="G220" s="2"/>
      <c r="H220" s="2"/>
      <c r="I220" s="2"/>
    </row>
    <row r="221" spans="1:9">
      <c r="A221" s="2"/>
      <c r="B221" s="2"/>
      <c r="C221" s="4"/>
      <c r="D221" s="4"/>
      <c r="E221" s="2"/>
      <c r="F221" s="2"/>
      <c r="G221" s="2"/>
      <c r="H221" s="2"/>
      <c r="I221" s="2"/>
    </row>
    <row r="222" spans="1:9">
      <c r="A222" s="2"/>
      <c r="B222" s="2"/>
      <c r="C222" s="4"/>
      <c r="D222" s="4"/>
      <c r="E222" s="2"/>
      <c r="F222" s="2"/>
      <c r="G222" s="2"/>
      <c r="H222" s="2"/>
      <c r="I222" s="2"/>
    </row>
    <row r="223" spans="1:9">
      <c r="A223" s="2"/>
      <c r="B223" s="2"/>
      <c r="C223" s="4"/>
      <c r="D223" s="4"/>
      <c r="E223" s="2"/>
      <c r="F223" s="2"/>
      <c r="G223" s="2"/>
      <c r="H223" s="2"/>
      <c r="I223" s="2"/>
    </row>
    <row r="224" spans="1:9">
      <c r="A224" s="2"/>
      <c r="B224" s="2"/>
      <c r="C224" s="4"/>
      <c r="D224" s="4"/>
      <c r="E224" s="2"/>
      <c r="F224" s="2"/>
      <c r="G224" s="2"/>
      <c r="H224" s="2"/>
      <c r="I224" s="2"/>
    </row>
    <row r="225" spans="1:9">
      <c r="A225" s="2"/>
      <c r="B225" s="2"/>
      <c r="C225" s="4"/>
      <c r="D225" s="4"/>
      <c r="E225" s="2"/>
      <c r="F225" s="2"/>
      <c r="G225" s="2"/>
      <c r="H225" s="2"/>
      <c r="I225" s="2"/>
    </row>
    <row r="226" spans="1:9">
      <c r="A226" s="2"/>
      <c r="B226" s="2"/>
      <c r="C226" s="4"/>
      <c r="D226" s="4"/>
      <c r="E226" s="2"/>
      <c r="F226" s="2"/>
      <c r="G226" s="2"/>
      <c r="H226" s="2"/>
      <c r="I226" s="2"/>
    </row>
    <row r="227" spans="1:9">
      <c r="A227" s="2"/>
      <c r="B227" s="2"/>
      <c r="C227" s="4"/>
      <c r="D227" s="4"/>
      <c r="E227" s="2"/>
      <c r="F227" s="2"/>
      <c r="G227" s="2"/>
      <c r="H227" s="2"/>
      <c r="I227" s="2"/>
    </row>
    <row r="228" spans="1:9">
      <c r="A228" s="2"/>
      <c r="B228" s="2"/>
      <c r="C228" s="4"/>
      <c r="D228" s="4"/>
      <c r="E228" s="2"/>
      <c r="F228" s="2"/>
      <c r="G228" s="2"/>
      <c r="H228" s="2"/>
      <c r="I228" s="2"/>
    </row>
    <row r="229" spans="1:9">
      <c r="A229" s="2"/>
      <c r="B229" s="2"/>
      <c r="C229" s="4"/>
      <c r="D229" s="4"/>
      <c r="E229" s="2"/>
      <c r="F229" s="2"/>
      <c r="G229" s="2"/>
      <c r="H229" s="2"/>
      <c r="I229" s="2"/>
    </row>
    <row r="230" spans="1:9">
      <c r="A230" s="2"/>
      <c r="B230" s="2"/>
      <c r="C230" s="4"/>
      <c r="D230" s="4"/>
      <c r="E230" s="2"/>
      <c r="F230" s="2"/>
      <c r="G230" s="2"/>
      <c r="H230" s="2"/>
      <c r="I230" s="2"/>
    </row>
    <row r="231" spans="1:9">
      <c r="A231" s="2"/>
      <c r="B231" s="2"/>
      <c r="C231" s="4"/>
      <c r="D231" s="4"/>
      <c r="E231" s="2"/>
      <c r="F231" s="2"/>
      <c r="G231" s="2"/>
      <c r="H231" s="2"/>
      <c r="I231" s="2"/>
    </row>
    <row r="232" spans="1:9">
      <c r="A232" s="2"/>
      <c r="B232" s="2"/>
      <c r="C232" s="4"/>
      <c r="D232" s="4"/>
      <c r="E232" s="2"/>
      <c r="F232" s="2"/>
      <c r="G232" s="2"/>
      <c r="H232" s="2"/>
      <c r="I232" s="2"/>
    </row>
    <row r="233" spans="1:9">
      <c r="A233" s="2"/>
      <c r="B233" s="2"/>
      <c r="C233" s="4"/>
      <c r="D233" s="4"/>
      <c r="E233" s="2"/>
      <c r="F233" s="2"/>
      <c r="G233" s="2"/>
      <c r="H233" s="2"/>
      <c r="I233" s="2"/>
    </row>
    <row r="234" spans="1:9">
      <c r="A234" s="2"/>
      <c r="B234" s="2"/>
      <c r="C234" s="4"/>
      <c r="D234" s="4"/>
      <c r="E234" s="2"/>
      <c r="F234" s="2"/>
      <c r="G234" s="2"/>
      <c r="H234" s="2"/>
      <c r="I234" s="2"/>
    </row>
    <row r="235" spans="1:9">
      <c r="A235" s="2"/>
      <c r="B235" s="2"/>
      <c r="C235" s="4"/>
      <c r="D235" s="4"/>
      <c r="E235" s="2"/>
      <c r="F235" s="2"/>
      <c r="G235" s="2"/>
      <c r="H235" s="2"/>
      <c r="I235" s="2"/>
    </row>
    <row r="236" spans="1:9">
      <c r="A236" s="2"/>
      <c r="B236" s="2"/>
      <c r="C236" s="4"/>
      <c r="D236" s="4"/>
      <c r="E236" s="2"/>
      <c r="F236" s="2"/>
      <c r="G236" s="2"/>
      <c r="H236" s="2"/>
      <c r="I236" s="2"/>
    </row>
    <row r="237" spans="1:9">
      <c r="A237" s="2"/>
      <c r="B237" s="2"/>
      <c r="C237" s="4"/>
      <c r="D237" s="4"/>
      <c r="E237" s="2"/>
      <c r="F237" s="2"/>
      <c r="G237" s="2"/>
      <c r="H237" s="2"/>
      <c r="I237" s="2"/>
    </row>
    <row r="238" spans="1:9">
      <c r="A238" s="2"/>
      <c r="B238" s="2"/>
      <c r="C238" s="4"/>
      <c r="D238" s="4"/>
      <c r="E238" s="2"/>
      <c r="F238" s="2"/>
      <c r="G238" s="2"/>
      <c r="H238" s="2"/>
      <c r="I238" s="2"/>
    </row>
    <row r="239" spans="1:9">
      <c r="A239" s="2"/>
      <c r="B239" s="2"/>
      <c r="C239" s="4"/>
      <c r="D239" s="4"/>
      <c r="E239" s="2"/>
      <c r="F239" s="2"/>
      <c r="G239" s="2"/>
      <c r="H239" s="2"/>
      <c r="I239" s="2"/>
    </row>
    <row r="240" spans="1:9">
      <c r="A240" s="2"/>
      <c r="B240" s="2"/>
      <c r="C240" s="4"/>
      <c r="D240" s="4"/>
      <c r="E240" s="2"/>
      <c r="F240" s="2"/>
      <c r="G240" s="2"/>
      <c r="H240" s="2"/>
      <c r="I240" s="2"/>
    </row>
    <row r="241" spans="1:9">
      <c r="A241" s="2"/>
      <c r="B241" s="2"/>
      <c r="C241" s="4"/>
      <c r="D241" s="4"/>
      <c r="E241" s="2"/>
      <c r="F241" s="2"/>
      <c r="G241" s="2"/>
      <c r="H241" s="2"/>
      <c r="I241" s="2"/>
    </row>
    <row r="242" spans="1:9">
      <c r="A242" s="2"/>
      <c r="B242" s="2"/>
      <c r="C242" s="4"/>
      <c r="D242" s="4"/>
      <c r="E242" s="2"/>
      <c r="F242" s="2"/>
      <c r="G242" s="2"/>
      <c r="H242" s="2"/>
      <c r="I242" s="2"/>
    </row>
    <row r="243" spans="1:9">
      <c r="A243" s="2"/>
      <c r="B243" s="2"/>
      <c r="C243" s="4"/>
      <c r="D243" s="4"/>
      <c r="E243" s="2"/>
      <c r="F243" s="2"/>
      <c r="G243" s="2"/>
      <c r="H243" s="2"/>
      <c r="I243" s="2"/>
    </row>
    <row r="244" spans="1:9">
      <c r="A244" s="2"/>
      <c r="B244" s="2"/>
      <c r="C244" s="4"/>
      <c r="D244" s="4"/>
      <c r="E244" s="2"/>
      <c r="F244" s="2"/>
      <c r="G244" s="2"/>
      <c r="H244" s="2"/>
      <c r="I244" s="2"/>
    </row>
    <row r="245" spans="1:9">
      <c r="A245" s="2"/>
      <c r="B245" s="2"/>
      <c r="C245" s="4"/>
      <c r="D245" s="4"/>
      <c r="E245" s="2"/>
      <c r="F245" s="2"/>
      <c r="G245" s="2"/>
      <c r="H245" s="2"/>
      <c r="I245" s="2"/>
    </row>
    <row r="246" spans="1:9">
      <c r="A246" s="2"/>
      <c r="B246" s="2"/>
      <c r="C246" s="4"/>
      <c r="D246" s="4"/>
      <c r="E246" s="2"/>
      <c r="F246" s="2"/>
      <c r="G246" s="2"/>
      <c r="H246" s="2"/>
      <c r="I246" s="2"/>
    </row>
    <row r="247" spans="1:9">
      <c r="A247" s="2"/>
      <c r="B247" s="2"/>
      <c r="C247" s="4"/>
      <c r="D247" s="4"/>
      <c r="E247" s="2"/>
      <c r="F247" s="2"/>
      <c r="G247" s="2"/>
      <c r="H247" s="2"/>
      <c r="I247" s="2"/>
    </row>
    <row r="248" spans="1:9">
      <c r="A248" s="2"/>
      <c r="B248" s="2"/>
      <c r="C248" s="4"/>
      <c r="D248" s="4"/>
      <c r="E248" s="2"/>
      <c r="F248" s="2"/>
      <c r="G248" s="2"/>
      <c r="H248" s="2"/>
      <c r="I248" s="2"/>
    </row>
    <row r="249" spans="1:9">
      <c r="A249" s="2"/>
      <c r="B249" s="2"/>
      <c r="C249" s="4"/>
      <c r="D249" s="4"/>
      <c r="E249" s="2"/>
      <c r="F249" s="2"/>
      <c r="G249" s="2"/>
      <c r="H249" s="2"/>
      <c r="I249" s="2"/>
    </row>
    <row r="250" spans="1:9">
      <c r="A250" s="2"/>
      <c r="B250" s="2"/>
      <c r="C250" s="4"/>
      <c r="D250" s="4"/>
      <c r="E250" s="2"/>
      <c r="F250" s="2"/>
      <c r="G250" s="2"/>
      <c r="H250" s="2"/>
      <c r="I250" s="2"/>
    </row>
    <row r="251" spans="1:9">
      <c r="A251" s="2"/>
      <c r="B251" s="2"/>
      <c r="C251" s="4"/>
      <c r="D251" s="4"/>
      <c r="E251" s="2"/>
      <c r="F251" s="2"/>
      <c r="G251" s="2"/>
      <c r="H251" s="2"/>
      <c r="I251" s="2"/>
    </row>
    <row r="252" spans="1:9">
      <c r="A252" s="2"/>
      <c r="B252" s="2"/>
      <c r="C252" s="4"/>
      <c r="D252" s="4"/>
      <c r="E252" s="2"/>
      <c r="F252" s="2"/>
      <c r="G252" s="2"/>
      <c r="H252" s="2"/>
      <c r="I252" s="2"/>
    </row>
    <row r="253" spans="1:9">
      <c r="A253" s="2"/>
      <c r="B253" s="2"/>
      <c r="C253" s="4"/>
      <c r="D253" s="4"/>
      <c r="E253" s="2"/>
      <c r="F253" s="2"/>
      <c r="G253" s="2"/>
      <c r="H253" s="2"/>
      <c r="I253" s="2"/>
    </row>
    <row r="254" spans="1:9">
      <c r="A254" s="2"/>
      <c r="B254" s="2"/>
      <c r="C254" s="4"/>
      <c r="D254" s="4"/>
      <c r="E254" s="2"/>
      <c r="F254" s="2"/>
      <c r="G254" s="2"/>
      <c r="H254" s="2"/>
      <c r="I254" s="2"/>
    </row>
    <row r="255" spans="1:9">
      <c r="A255" s="2"/>
      <c r="B255" s="2"/>
      <c r="C255" s="4"/>
      <c r="D255" s="4"/>
      <c r="E255" s="2"/>
      <c r="F255" s="2"/>
      <c r="G255" s="2"/>
      <c r="H255" s="2"/>
      <c r="I255" s="2"/>
    </row>
    <row r="256" spans="1:9">
      <c r="A256" s="2"/>
      <c r="B256" s="2"/>
      <c r="C256" s="4"/>
      <c r="D256" s="4"/>
      <c r="E256" s="2"/>
      <c r="F256" s="2"/>
      <c r="G256" s="2"/>
      <c r="H256" s="2"/>
      <c r="I256" s="2"/>
    </row>
    <row r="257" spans="1:9">
      <c r="A257" s="2"/>
      <c r="B257" s="2"/>
      <c r="C257" s="4"/>
      <c r="D257" s="4"/>
      <c r="E257" s="2"/>
      <c r="F257" s="2"/>
      <c r="G257" s="2"/>
      <c r="H257" s="2"/>
      <c r="I257" s="2"/>
    </row>
    <row r="258" spans="1:9">
      <c r="A258" s="2"/>
      <c r="B258" s="2"/>
      <c r="C258" s="4"/>
      <c r="D258" s="4"/>
      <c r="E258" s="2"/>
      <c r="F258" s="2"/>
      <c r="G258" s="2"/>
      <c r="H258" s="2"/>
      <c r="I258" s="2"/>
    </row>
    <row r="259" spans="1:9">
      <c r="A259" s="2"/>
      <c r="B259" s="2"/>
      <c r="C259" s="4"/>
      <c r="D259" s="4"/>
      <c r="E259" s="2"/>
      <c r="F259" s="2"/>
      <c r="G259" s="2"/>
      <c r="H259" s="2"/>
      <c r="I259" s="2"/>
    </row>
    <row r="260" spans="1:9">
      <c r="A260" s="2"/>
      <c r="B260" s="2"/>
      <c r="C260" s="4"/>
      <c r="D260" s="4"/>
      <c r="E260" s="2"/>
      <c r="F260" s="2"/>
      <c r="G260" s="2"/>
      <c r="H260" s="2"/>
      <c r="I260" s="2"/>
    </row>
    <row r="261" spans="1:9">
      <c r="A261" s="2"/>
      <c r="B261" s="2"/>
      <c r="C261" s="4"/>
      <c r="D261" s="4"/>
      <c r="E261" s="2"/>
      <c r="F261" s="2"/>
      <c r="G261" s="2"/>
      <c r="H261" s="2"/>
      <c r="I261" s="2"/>
    </row>
    <row r="262" spans="1:9">
      <c r="A262" s="2"/>
      <c r="B262" s="2"/>
      <c r="C262" s="4"/>
      <c r="D262" s="4"/>
      <c r="E262" s="2"/>
      <c r="F262" s="2"/>
      <c r="G262" s="2"/>
      <c r="H262" s="2"/>
      <c r="I262" s="2"/>
    </row>
    <row r="263" spans="1:9">
      <c r="A263" s="2"/>
      <c r="B263" s="2"/>
      <c r="C263" s="4"/>
      <c r="D263" s="4"/>
      <c r="E263" s="2"/>
      <c r="F263" s="2"/>
      <c r="G263" s="2"/>
      <c r="H263" s="2"/>
      <c r="I263" s="2"/>
    </row>
    <row r="264" spans="1:9">
      <c r="A264" s="2"/>
      <c r="B264" s="2"/>
      <c r="C264" s="4"/>
      <c r="D264" s="4"/>
      <c r="E264" s="2"/>
      <c r="F264" s="2"/>
      <c r="G264" s="2"/>
      <c r="H264" s="2"/>
      <c r="I264" s="2"/>
    </row>
    <row r="265" spans="1:9">
      <c r="A265" s="2"/>
      <c r="B265" s="2"/>
      <c r="C265" s="4"/>
      <c r="D265" s="4"/>
      <c r="E265" s="2"/>
      <c r="F265" s="2"/>
      <c r="G265" s="2"/>
      <c r="H265" s="2"/>
      <c r="I265" s="2"/>
    </row>
    <row r="266" spans="1:9">
      <c r="A266" s="2"/>
      <c r="B266" s="2"/>
      <c r="C266" s="4"/>
      <c r="D266" s="4"/>
      <c r="E266" s="2"/>
      <c r="F266" s="2"/>
      <c r="G266" s="2"/>
      <c r="H266" s="2"/>
      <c r="I266" s="2"/>
    </row>
    <row r="267" spans="1:9">
      <c r="A267" s="2"/>
      <c r="B267" s="2"/>
      <c r="C267" s="4"/>
      <c r="D267" s="4"/>
      <c r="E267" s="2"/>
      <c r="F267" s="2"/>
      <c r="G267" s="2"/>
      <c r="H267" s="2"/>
      <c r="I267" s="2"/>
    </row>
    <row r="268" spans="1:9">
      <c r="A268" s="2"/>
      <c r="B268" s="2"/>
      <c r="C268" s="4"/>
      <c r="D268" s="4"/>
      <c r="E268" s="2"/>
      <c r="F268" s="2"/>
      <c r="G268" s="2"/>
      <c r="H268" s="2"/>
      <c r="I268" s="2"/>
    </row>
    <row r="269" spans="1:9">
      <c r="A269" s="2"/>
      <c r="B269" s="2"/>
      <c r="C269" s="4"/>
      <c r="D269" s="4"/>
      <c r="E269" s="2"/>
      <c r="F269" s="2"/>
      <c r="G269" s="2"/>
      <c r="H269" s="2"/>
      <c r="I269" s="2"/>
    </row>
    <row r="270" spans="1:9">
      <c r="A270" s="2"/>
      <c r="B270" s="2"/>
      <c r="C270" s="4"/>
      <c r="D270" s="4"/>
      <c r="E270" s="2"/>
      <c r="F270" s="2"/>
      <c r="G270" s="2"/>
      <c r="H270" s="2"/>
      <c r="I270" s="2"/>
    </row>
    <row r="271" spans="1:9">
      <c r="A271" s="2"/>
      <c r="B271" s="2"/>
      <c r="C271" s="4"/>
      <c r="D271" s="4"/>
      <c r="E271" s="2"/>
      <c r="F271" s="2"/>
      <c r="G271" s="2"/>
      <c r="H271" s="2"/>
      <c r="I271" s="2"/>
    </row>
    <row r="272" spans="1:9">
      <c r="A272" s="2"/>
      <c r="B272" s="2"/>
      <c r="C272" s="4"/>
      <c r="D272" s="4"/>
      <c r="E272" s="2"/>
      <c r="F272" s="2"/>
      <c r="G272" s="2"/>
      <c r="H272" s="2"/>
      <c r="I272" s="2"/>
    </row>
    <row r="273" spans="1:9">
      <c r="A273" s="2"/>
      <c r="B273" s="2"/>
      <c r="C273" s="4"/>
      <c r="D273" s="4"/>
      <c r="E273" s="2"/>
      <c r="F273" s="2"/>
      <c r="G273" s="2"/>
      <c r="H273" s="2"/>
      <c r="I273" s="2"/>
    </row>
    <row r="274" spans="1:9">
      <c r="A274" s="2"/>
      <c r="B274" s="2"/>
      <c r="C274" s="4"/>
      <c r="D274" s="4"/>
      <c r="E274" s="2"/>
      <c r="F274" s="2"/>
      <c r="G274" s="2"/>
      <c r="H274" s="2"/>
      <c r="I274" s="2"/>
    </row>
    <row r="275" spans="1:9">
      <c r="A275" s="2"/>
      <c r="B275" s="2"/>
      <c r="C275" s="4"/>
      <c r="D275" s="4"/>
      <c r="E275" s="2"/>
      <c r="F275" s="2"/>
      <c r="G275" s="2"/>
      <c r="H275" s="2"/>
      <c r="I275" s="2"/>
    </row>
    <row r="276" spans="1:9">
      <c r="A276" s="2"/>
      <c r="B276" s="2"/>
      <c r="C276" s="4"/>
      <c r="D276" s="4"/>
      <c r="E276" s="2"/>
      <c r="F276" s="2"/>
      <c r="G276" s="2"/>
      <c r="H276" s="2"/>
      <c r="I276" s="2"/>
    </row>
    <row r="277" spans="1:9">
      <c r="A277" s="2"/>
      <c r="B277" s="2"/>
      <c r="C277" s="4"/>
      <c r="D277" s="4"/>
      <c r="E277" s="2"/>
      <c r="F277" s="2"/>
      <c r="G277" s="2"/>
      <c r="H277" s="2"/>
      <c r="I277" s="2"/>
    </row>
    <row r="278" spans="1:9">
      <c r="A278" s="2"/>
      <c r="B278" s="2"/>
      <c r="C278" s="4"/>
      <c r="D278" s="4"/>
      <c r="E278" s="2"/>
      <c r="F278" s="2"/>
      <c r="G278" s="2"/>
      <c r="H278" s="2"/>
      <c r="I278" s="2"/>
    </row>
    <row r="279" spans="1:9">
      <c r="A279" s="2"/>
      <c r="B279" s="2"/>
      <c r="C279" s="4"/>
      <c r="D279" s="4"/>
      <c r="E279" s="2"/>
      <c r="F279" s="2"/>
      <c r="G279" s="2"/>
      <c r="H279" s="2"/>
      <c r="I279" s="2"/>
    </row>
    <row r="280" spans="1:9">
      <c r="A280" s="2"/>
      <c r="B280" s="2"/>
      <c r="C280" s="4"/>
      <c r="D280" s="4"/>
      <c r="E280" s="2"/>
      <c r="F280" s="2"/>
      <c r="G280" s="2"/>
      <c r="H280" s="2"/>
      <c r="I280" s="2"/>
    </row>
    <row r="281" spans="1:9">
      <c r="A281" s="2"/>
      <c r="B281" s="2"/>
      <c r="C281" s="4"/>
      <c r="D281" s="4"/>
      <c r="E281" s="2"/>
      <c r="F281" s="2"/>
      <c r="G281" s="2"/>
      <c r="H281" s="2"/>
      <c r="I281" s="2"/>
    </row>
    <row r="282" spans="1:9">
      <c r="A282" s="2"/>
      <c r="B282" s="2"/>
      <c r="C282" s="4"/>
      <c r="D282" s="4"/>
      <c r="E282" s="2"/>
      <c r="F282" s="2"/>
      <c r="G282" s="2"/>
      <c r="H282" s="2"/>
      <c r="I282" s="2"/>
    </row>
    <row r="283" spans="1:9">
      <c r="A283" s="2"/>
      <c r="B283" s="2"/>
      <c r="C283" s="4"/>
      <c r="D283" s="4"/>
      <c r="E283" s="2"/>
      <c r="F283" s="2"/>
      <c r="G283" s="2"/>
      <c r="H283" s="2"/>
      <c r="I283" s="2"/>
    </row>
    <row r="284" spans="1:9">
      <c r="A284" s="2"/>
      <c r="B284" s="2"/>
      <c r="C284" s="4"/>
      <c r="D284" s="4"/>
      <c r="E284" s="2"/>
      <c r="F284" s="2"/>
      <c r="G284" s="2"/>
      <c r="H284" s="2"/>
      <c r="I284" s="2"/>
    </row>
    <row r="285" spans="1:9">
      <c r="A285" s="2"/>
      <c r="B285" s="2"/>
      <c r="C285" s="4"/>
      <c r="D285" s="4"/>
      <c r="E285" s="2"/>
      <c r="F285" s="2"/>
      <c r="G285" s="2"/>
      <c r="H285" s="2"/>
      <c r="I285" s="2"/>
    </row>
    <row r="286" spans="1:9">
      <c r="A286" s="2"/>
      <c r="B286" s="2"/>
      <c r="C286" s="4"/>
      <c r="D286" s="4"/>
      <c r="E286" s="2"/>
      <c r="F286" s="2"/>
      <c r="G286" s="2"/>
      <c r="H286" s="2"/>
      <c r="I286" s="2"/>
    </row>
    <row r="287" spans="1:9">
      <c r="A287" s="2"/>
      <c r="B287" s="2"/>
      <c r="C287" s="4"/>
      <c r="D287" s="4"/>
      <c r="E287" s="2"/>
      <c r="F287" s="2"/>
      <c r="G287" s="2"/>
      <c r="H287" s="2"/>
      <c r="I287" s="2"/>
    </row>
    <row r="288" spans="1:9">
      <c r="A288" s="2"/>
      <c r="B288" s="2"/>
      <c r="C288" s="4"/>
      <c r="D288" s="4"/>
      <c r="E288" s="2"/>
      <c r="F288" s="2"/>
      <c r="G288" s="2"/>
      <c r="H288" s="2"/>
      <c r="I288" s="2"/>
    </row>
    <row r="289" spans="1:9">
      <c r="A289" s="2"/>
      <c r="B289" s="2"/>
      <c r="C289" s="4"/>
      <c r="D289" s="4"/>
      <c r="E289" s="2"/>
      <c r="F289" s="2"/>
      <c r="G289" s="2"/>
      <c r="H289" s="2"/>
      <c r="I289" s="2"/>
    </row>
    <row r="290" spans="1:9">
      <c r="A290" s="2"/>
      <c r="B290" s="2"/>
      <c r="C290" s="4"/>
      <c r="D290" s="4"/>
      <c r="E290" s="2"/>
      <c r="F290" s="2"/>
      <c r="G290" s="2"/>
      <c r="H290" s="2"/>
      <c r="I290" s="2"/>
    </row>
    <row r="291" spans="1:9">
      <c r="A291" s="2"/>
      <c r="B291" s="2"/>
      <c r="C291" s="4"/>
      <c r="D291" s="4"/>
      <c r="E291" s="2"/>
      <c r="F291" s="2"/>
      <c r="G291" s="2"/>
      <c r="H291" s="2"/>
      <c r="I291" s="2"/>
    </row>
    <row r="292" spans="1:9">
      <c r="A292" s="2"/>
      <c r="B292" s="2"/>
      <c r="C292" s="4"/>
      <c r="D292" s="4"/>
      <c r="E292" s="2"/>
      <c r="F292" s="2"/>
      <c r="G292" s="2"/>
      <c r="H292" s="2"/>
      <c r="I292" s="2"/>
    </row>
    <row r="293" spans="1:9">
      <c r="A293" s="2"/>
      <c r="B293" s="2"/>
      <c r="C293" s="4"/>
      <c r="D293" s="4"/>
      <c r="E293" s="2"/>
      <c r="F293" s="2"/>
      <c r="G293" s="2"/>
      <c r="H293" s="2"/>
      <c r="I293" s="2"/>
    </row>
    <row r="294" spans="1:9">
      <c r="A294" s="2"/>
      <c r="B294" s="2"/>
      <c r="C294" s="4"/>
      <c r="D294" s="4"/>
      <c r="E294" s="2"/>
      <c r="F294" s="2"/>
      <c r="G294" s="2"/>
      <c r="H294" s="2"/>
      <c r="I294" s="2"/>
    </row>
    <row r="295" spans="1:9">
      <c r="A295" s="2"/>
      <c r="B295" s="2"/>
      <c r="C295" s="4"/>
      <c r="D295" s="4"/>
      <c r="E295" s="2"/>
      <c r="F295" s="2"/>
      <c r="G295" s="2"/>
      <c r="H295" s="2"/>
      <c r="I295" s="2"/>
    </row>
    <row r="296" spans="1:9">
      <c r="A296" s="2"/>
      <c r="B296" s="2"/>
      <c r="C296" s="4"/>
      <c r="D296" s="4"/>
      <c r="E296" s="2"/>
      <c r="F296" s="2"/>
      <c r="G296" s="2"/>
      <c r="H296" s="2"/>
      <c r="I296" s="2"/>
    </row>
    <row r="297" spans="1:9">
      <c r="A297" s="2"/>
      <c r="B297" s="2"/>
      <c r="C297" s="4"/>
      <c r="D297" s="4"/>
      <c r="E297" s="2"/>
      <c r="F297" s="2"/>
      <c r="G297" s="2"/>
      <c r="H297" s="2"/>
      <c r="I297" s="2"/>
    </row>
    <row r="298" spans="1:9">
      <c r="A298" s="2"/>
      <c r="B298" s="2"/>
      <c r="C298" s="4"/>
      <c r="D298" s="4"/>
      <c r="E298" s="2"/>
      <c r="F298" s="2"/>
      <c r="G298" s="2"/>
      <c r="H298" s="2"/>
      <c r="I298" s="2"/>
    </row>
    <row r="299" spans="1:9">
      <c r="A299" s="2"/>
      <c r="B299" s="2"/>
      <c r="C299" s="4"/>
      <c r="D299" s="4"/>
      <c r="E299" s="2"/>
      <c r="F299" s="2"/>
      <c r="G299" s="2"/>
      <c r="H299" s="2"/>
      <c r="I299" s="2"/>
    </row>
    <row r="300" spans="1:9">
      <c r="A300" s="2"/>
      <c r="B300" s="2"/>
      <c r="C300" s="4"/>
      <c r="D300" s="4"/>
      <c r="E300" s="2"/>
      <c r="F300" s="2"/>
      <c r="G300" s="2"/>
      <c r="H300" s="2"/>
      <c r="I300" s="2"/>
    </row>
    <row r="301" spans="1:9">
      <c r="A301" s="2"/>
      <c r="B301" s="2"/>
      <c r="C301" s="4"/>
      <c r="D301" s="4"/>
      <c r="E301" s="2"/>
      <c r="F301" s="2"/>
      <c r="G301" s="2"/>
      <c r="H301" s="2"/>
      <c r="I301" s="2"/>
    </row>
    <row r="302" spans="1:9">
      <c r="A302" s="2"/>
      <c r="B302" s="2"/>
      <c r="C302" s="4"/>
      <c r="D302" s="4"/>
      <c r="E302" s="2"/>
      <c r="F302" s="2"/>
      <c r="G302" s="2"/>
      <c r="H302" s="2"/>
      <c r="I302" s="2"/>
    </row>
    <row r="303" spans="1:9">
      <c r="A303" s="2"/>
      <c r="B303" s="2"/>
      <c r="C303" s="3"/>
      <c r="D303" s="3"/>
      <c r="E303" s="2"/>
      <c r="F303" s="2"/>
      <c r="G303" s="3"/>
      <c r="H303" s="2"/>
      <c r="I303" s="2"/>
    </row>
    <row r="304" spans="1:9">
      <c r="A304" s="2"/>
      <c r="B304" s="2"/>
      <c r="C304" s="3"/>
      <c r="D304" s="3"/>
      <c r="E304" s="2"/>
      <c r="F304" s="2"/>
      <c r="G304" s="3"/>
      <c r="H304" s="2"/>
      <c r="I304" s="2"/>
    </row>
    <row r="305" spans="1:9">
      <c r="A305" s="2"/>
      <c r="B305" s="2"/>
      <c r="C305" s="3"/>
      <c r="D305" s="3"/>
      <c r="E305" s="2"/>
      <c r="F305" s="2"/>
      <c r="G305" s="3"/>
      <c r="H305" s="2"/>
      <c r="I305" s="2"/>
    </row>
    <row r="306" spans="1:9">
      <c r="A306" s="2"/>
      <c r="B306" s="2"/>
      <c r="C306" s="3"/>
      <c r="D306" s="3"/>
      <c r="E306" s="2"/>
      <c r="F306" s="2"/>
      <c r="G306" s="3"/>
      <c r="H306" s="2"/>
      <c r="I306" s="2"/>
    </row>
    <row r="307" spans="1:9">
      <c r="A307" s="2"/>
      <c r="B307" s="2"/>
      <c r="C307" s="3"/>
      <c r="D307" s="3"/>
      <c r="E307" s="2"/>
      <c r="F307" s="2"/>
      <c r="G307" s="3"/>
      <c r="H307" s="2"/>
      <c r="I307" s="2"/>
    </row>
    <row r="308" spans="1:9">
      <c r="A308" s="2"/>
      <c r="B308" s="2"/>
      <c r="C308" s="3"/>
      <c r="D308" s="3"/>
      <c r="E308" s="2"/>
      <c r="F308" s="2"/>
      <c r="G308" s="3"/>
      <c r="H308" s="2"/>
      <c r="I308" s="2"/>
    </row>
    <row r="309" spans="1:9">
      <c r="A309" s="2"/>
      <c r="B309" s="2"/>
      <c r="C309" s="3"/>
      <c r="D309" s="3"/>
      <c r="E309" s="2"/>
      <c r="F309" s="2"/>
      <c r="G309" s="3"/>
      <c r="H309" s="2"/>
      <c r="I309" s="2"/>
    </row>
    <row r="310" spans="1:9">
      <c r="A310" s="2"/>
      <c r="B310" s="2"/>
      <c r="C310" s="3"/>
      <c r="D310" s="3"/>
      <c r="E310" s="2"/>
      <c r="F310" s="2"/>
      <c r="G310" s="3"/>
      <c r="H310" s="2"/>
      <c r="I310" s="2"/>
    </row>
    <row r="311" spans="1:9">
      <c r="A311" s="2"/>
      <c r="B311" s="2"/>
      <c r="C311" s="3"/>
      <c r="D311" s="3"/>
      <c r="E311" s="2"/>
      <c r="F311" s="2"/>
      <c r="G311" s="3"/>
      <c r="H311" s="2"/>
      <c r="I311" s="2"/>
    </row>
    <row r="312" spans="1:9">
      <c r="A312" s="2"/>
      <c r="B312" s="2"/>
      <c r="C312" s="3"/>
      <c r="D312" s="3"/>
      <c r="E312" s="2"/>
      <c r="F312" s="2"/>
      <c r="G312" s="3"/>
      <c r="H312" s="2"/>
      <c r="I312" s="2"/>
    </row>
    <row r="313" spans="1:9">
      <c r="A313" s="2"/>
      <c r="B313" s="2"/>
      <c r="C313" s="3"/>
      <c r="D313" s="3"/>
      <c r="E313" s="2"/>
      <c r="F313" s="2"/>
      <c r="G313" s="3"/>
      <c r="H313" s="2"/>
      <c r="I313" s="2"/>
    </row>
    <row r="314" spans="1:9">
      <c r="A314" s="2"/>
      <c r="B314" s="2"/>
      <c r="C314" s="3"/>
      <c r="D314" s="3"/>
      <c r="E314" s="2"/>
      <c r="F314" s="2"/>
      <c r="G314" s="3"/>
      <c r="H314" s="2"/>
      <c r="I314" s="2"/>
    </row>
    <row r="315" spans="1:9">
      <c r="A315" s="2"/>
      <c r="B315" s="2"/>
      <c r="C315" s="3"/>
      <c r="D315" s="3"/>
      <c r="E315" s="2"/>
      <c r="F315" s="2"/>
      <c r="G315" s="3"/>
      <c r="H315" s="2"/>
      <c r="I315" s="2"/>
    </row>
    <row r="316" spans="1:9">
      <c r="A316" s="2"/>
      <c r="B316" s="2"/>
      <c r="C316" s="3"/>
      <c r="D316" s="3"/>
      <c r="E316" s="2"/>
      <c r="F316" s="2"/>
      <c r="G316" s="3"/>
      <c r="H316" s="2"/>
      <c r="I316" s="2"/>
    </row>
    <row r="317" spans="1:9">
      <c r="A317" s="2"/>
      <c r="B317" s="2"/>
      <c r="C317" s="3"/>
      <c r="D317" s="3"/>
      <c r="E317" s="2"/>
      <c r="F317" s="2"/>
      <c r="G317" s="3"/>
      <c r="H317" s="2"/>
      <c r="I317" s="2"/>
    </row>
    <row r="318" spans="1:9">
      <c r="A318" s="2"/>
      <c r="B318" s="2"/>
      <c r="C318" s="3"/>
      <c r="D318" s="3"/>
      <c r="E318" s="2"/>
      <c r="F318" s="2"/>
      <c r="G318" s="3"/>
      <c r="H318" s="2"/>
      <c r="I318" s="2"/>
    </row>
    <row r="319" spans="1:9">
      <c r="A319" s="2"/>
      <c r="B319" s="2"/>
      <c r="C319" s="3"/>
      <c r="D319" s="3"/>
      <c r="E319" s="2"/>
      <c r="F319" s="2"/>
      <c r="G319" s="3"/>
      <c r="H319" s="2"/>
      <c r="I319" s="2"/>
    </row>
    <row r="320" spans="1:9">
      <c r="A320" s="2"/>
      <c r="B320" s="2"/>
      <c r="C320" s="3"/>
      <c r="D320" s="3"/>
      <c r="E320" s="2"/>
      <c r="F320" s="2"/>
      <c r="G320" s="3"/>
      <c r="H320" s="2"/>
      <c r="I320" s="2"/>
    </row>
    <row r="321" spans="1:9">
      <c r="A321" s="2"/>
      <c r="B321" s="2"/>
      <c r="C321" s="3"/>
      <c r="D321" s="3"/>
      <c r="E321" s="2"/>
      <c r="F321" s="2"/>
      <c r="G321" s="3"/>
      <c r="H321" s="2"/>
      <c r="I321" s="2"/>
    </row>
    <row r="322" spans="1:9">
      <c r="A322" s="2"/>
      <c r="B322" s="2"/>
      <c r="C322" s="3"/>
      <c r="D322" s="3"/>
      <c r="E322" s="2"/>
      <c r="F322" s="2"/>
      <c r="G322" s="3"/>
      <c r="H322" s="2"/>
      <c r="I322" s="2"/>
    </row>
    <row r="323" spans="1:9">
      <c r="A323" s="2"/>
      <c r="B323" s="2"/>
      <c r="C323" s="3"/>
      <c r="D323" s="3"/>
      <c r="E323" s="2"/>
      <c r="F323" s="2"/>
      <c r="G323" s="3"/>
      <c r="H323" s="2"/>
      <c r="I323" s="2"/>
    </row>
    <row r="324" spans="1:9">
      <c r="A324" s="2"/>
      <c r="B324" s="2"/>
      <c r="C324" s="3"/>
      <c r="D324" s="3"/>
      <c r="E324" s="2"/>
      <c r="F324" s="2"/>
      <c r="G324" s="3"/>
      <c r="H324" s="2"/>
      <c r="I324" s="2"/>
    </row>
    <row r="325" spans="1:9">
      <c r="A325" s="2"/>
      <c r="B325" s="2"/>
      <c r="C325" s="3"/>
      <c r="D325" s="3"/>
      <c r="E325" s="2"/>
      <c r="F325" s="2"/>
      <c r="G325" s="3"/>
      <c r="H325" s="2"/>
      <c r="I325" s="2"/>
    </row>
    <row r="326" spans="1:9">
      <c r="A326" s="2"/>
      <c r="B326" s="2"/>
      <c r="C326" s="3"/>
      <c r="D326" s="3"/>
      <c r="E326" s="2"/>
      <c r="F326" s="2"/>
      <c r="G326" s="3"/>
      <c r="H326" s="2"/>
      <c r="I326" s="2"/>
    </row>
    <row r="327" spans="1:9">
      <c r="A327" s="2"/>
      <c r="B327" s="2"/>
      <c r="C327" s="3"/>
      <c r="D327" s="3"/>
      <c r="E327" s="2"/>
      <c r="F327" s="2"/>
      <c r="G327" s="3"/>
      <c r="H327" s="2"/>
      <c r="I327" s="2"/>
    </row>
    <row r="328" spans="1:9">
      <c r="A328" s="2"/>
      <c r="B328" s="2"/>
      <c r="C328" s="3"/>
      <c r="D328" s="3"/>
      <c r="E328" s="2"/>
      <c r="F328" s="2"/>
      <c r="G328" s="3"/>
      <c r="H328" s="2"/>
      <c r="I328" s="2"/>
    </row>
    <row r="329" spans="1:9">
      <c r="A329" s="2"/>
      <c r="B329" s="2"/>
      <c r="C329" s="3"/>
      <c r="D329" s="3"/>
      <c r="E329" s="2"/>
      <c r="F329" s="2"/>
      <c r="G329" s="3"/>
      <c r="H329" s="2"/>
      <c r="I329" s="2"/>
    </row>
    <row r="330" spans="1:9">
      <c r="A330" s="2"/>
      <c r="B330" s="2"/>
      <c r="C330" s="3"/>
      <c r="D330" s="3"/>
      <c r="E330" s="2"/>
      <c r="F330" s="2"/>
      <c r="G330" s="3"/>
      <c r="H330" s="2"/>
      <c r="I330" s="2"/>
    </row>
    <row r="331" spans="1:9">
      <c r="A331" s="2"/>
      <c r="B331" s="2"/>
      <c r="C331" s="3"/>
      <c r="D331" s="3"/>
      <c r="E331" s="2"/>
      <c r="F331" s="2"/>
      <c r="G331" s="3"/>
      <c r="H331" s="2"/>
      <c r="I331" s="2"/>
    </row>
    <row r="332" spans="1:9">
      <c r="A332" s="2"/>
      <c r="B332" s="2"/>
      <c r="C332" s="3"/>
      <c r="D332" s="3"/>
      <c r="E332" s="2"/>
      <c r="F332" s="2"/>
      <c r="G332" s="3"/>
      <c r="H332" s="2"/>
      <c r="I332" s="2"/>
    </row>
    <row r="333" spans="1:9">
      <c r="A333" s="2"/>
      <c r="B333" s="2"/>
      <c r="C333" s="3"/>
      <c r="D333" s="3"/>
      <c r="E333" s="2"/>
      <c r="F333" s="2"/>
      <c r="G333" s="3"/>
      <c r="H333" s="2"/>
      <c r="I333" s="2"/>
    </row>
    <row r="334" spans="1:9">
      <c r="A334" s="2"/>
      <c r="B334" s="2"/>
      <c r="C334" s="3"/>
      <c r="D334" s="3"/>
      <c r="E334" s="2"/>
      <c r="F334" s="2"/>
      <c r="G334" s="3"/>
      <c r="H334" s="2"/>
      <c r="I334" s="2"/>
    </row>
    <row r="335" spans="1:9">
      <c r="A335" s="2"/>
      <c r="B335" s="2"/>
      <c r="C335" s="3"/>
      <c r="D335" s="3"/>
      <c r="E335" s="2"/>
      <c r="F335" s="2"/>
      <c r="G335" s="3"/>
      <c r="H335" s="2"/>
      <c r="I335" s="2"/>
    </row>
    <row r="336" spans="1:9">
      <c r="A336" s="2"/>
      <c r="B336" s="2"/>
      <c r="C336" s="3"/>
      <c r="D336" s="3"/>
      <c r="E336" s="2"/>
      <c r="F336" s="2"/>
      <c r="G336" s="3"/>
      <c r="H336" s="2"/>
      <c r="I336" s="2"/>
    </row>
    <row r="337" spans="1:9">
      <c r="A337" s="2"/>
      <c r="B337" s="2"/>
      <c r="C337" s="3"/>
      <c r="D337" s="3"/>
      <c r="E337" s="2"/>
      <c r="F337" s="2"/>
      <c r="G337" s="3"/>
      <c r="H337" s="2"/>
      <c r="I337" s="2"/>
    </row>
    <row r="338" spans="1:9">
      <c r="A338" s="2"/>
      <c r="B338" s="2"/>
      <c r="C338" s="3"/>
      <c r="D338" s="3"/>
      <c r="E338" s="2"/>
      <c r="F338" s="2"/>
      <c r="G338" s="3"/>
      <c r="H338" s="2"/>
      <c r="I338" s="2"/>
    </row>
    <row r="339" spans="1:9">
      <c r="A339" s="2"/>
      <c r="B339" s="2"/>
      <c r="C339" s="3"/>
      <c r="D339" s="3"/>
      <c r="E339" s="2"/>
      <c r="F339" s="2"/>
      <c r="G339" s="3"/>
      <c r="H339" s="2"/>
      <c r="I339" s="2"/>
    </row>
    <row r="340" spans="1:9">
      <c r="A340" s="2"/>
      <c r="B340" s="2"/>
      <c r="C340" s="3"/>
      <c r="D340" s="3"/>
      <c r="E340" s="2"/>
      <c r="F340" s="2"/>
      <c r="G340" s="3"/>
      <c r="H340" s="2"/>
      <c r="I340" s="2"/>
    </row>
    <row r="341" spans="1:9">
      <c r="A341" s="2"/>
      <c r="B341" s="2"/>
      <c r="C341" s="3"/>
      <c r="D341" s="3"/>
      <c r="E341" s="2"/>
      <c r="F341" s="2"/>
      <c r="G341" s="3"/>
      <c r="H341" s="2"/>
      <c r="I341" s="2"/>
    </row>
    <row r="342" spans="1:9">
      <c r="A342" s="2"/>
      <c r="B342" s="2"/>
      <c r="C342" s="3"/>
      <c r="D342" s="3"/>
      <c r="E342" s="2"/>
      <c r="F342" s="2"/>
      <c r="G342" s="3"/>
      <c r="H342" s="2"/>
      <c r="I342" s="2"/>
    </row>
    <row r="343" spans="1:9">
      <c r="A343" s="2"/>
      <c r="B343" s="2"/>
      <c r="C343" s="3"/>
      <c r="D343" s="3"/>
      <c r="E343" s="2"/>
      <c r="F343" s="2"/>
      <c r="G343" s="3"/>
      <c r="H343" s="2"/>
      <c r="I343" s="2"/>
    </row>
    <row r="344" spans="1:9">
      <c r="A344" s="2"/>
      <c r="B344" s="2"/>
      <c r="C344" s="3"/>
      <c r="D344" s="3"/>
      <c r="E344" s="2"/>
      <c r="F344" s="2"/>
      <c r="G344" s="3"/>
      <c r="H344" s="2"/>
      <c r="I344" s="2"/>
    </row>
    <row r="345" spans="1:9">
      <c r="A345" s="2"/>
      <c r="B345" s="2"/>
      <c r="C345" s="3"/>
      <c r="D345" s="3"/>
      <c r="E345" s="2"/>
      <c r="F345" s="2"/>
      <c r="G345" s="3"/>
      <c r="H345" s="2"/>
      <c r="I345" s="2"/>
    </row>
    <row r="346" spans="1:9">
      <c r="A346" s="2"/>
      <c r="B346" s="2"/>
      <c r="C346" s="3"/>
      <c r="D346" s="3"/>
      <c r="E346" s="2"/>
      <c r="F346" s="2"/>
      <c r="G346" s="3"/>
      <c r="H346" s="2"/>
      <c r="I346" s="2"/>
    </row>
    <row r="347" spans="1:9">
      <c r="A347" s="2"/>
      <c r="B347" s="2"/>
      <c r="C347" s="3"/>
      <c r="D347" s="3"/>
      <c r="E347" s="2"/>
      <c r="F347" s="2"/>
      <c r="G347" s="3"/>
      <c r="H347" s="2"/>
      <c r="I347" s="2"/>
    </row>
    <row r="348" spans="1:9">
      <c r="A348" s="2"/>
      <c r="B348" s="2"/>
      <c r="C348" s="3"/>
      <c r="D348" s="3"/>
      <c r="E348" s="2"/>
      <c r="F348" s="2"/>
      <c r="G348" s="3"/>
      <c r="H348" s="2"/>
      <c r="I348" s="2"/>
    </row>
    <row r="349" spans="1:9">
      <c r="A349" s="2"/>
      <c r="B349" s="2"/>
      <c r="C349" s="3"/>
      <c r="D349" s="3"/>
      <c r="E349" s="2"/>
      <c r="F349" s="2"/>
      <c r="G349" s="3"/>
      <c r="H349" s="2"/>
      <c r="I349" s="2"/>
    </row>
    <row r="350" spans="1:9">
      <c r="A350" s="2"/>
      <c r="B350" s="2"/>
      <c r="C350" s="3"/>
      <c r="D350" s="3"/>
      <c r="E350" s="2"/>
      <c r="F350" s="2"/>
      <c r="G350" s="3"/>
      <c r="H350" s="2"/>
      <c r="I350" s="2"/>
    </row>
    <row r="351" spans="1:9">
      <c r="A351" s="2"/>
      <c r="B351" s="2"/>
      <c r="C351" s="3"/>
      <c r="D351" s="3"/>
      <c r="E351" s="2"/>
      <c r="F351" s="2"/>
      <c r="G351" s="3"/>
      <c r="H351" s="2"/>
      <c r="I351" s="2"/>
    </row>
    <row r="352" spans="1:9">
      <c r="A352" s="2"/>
      <c r="B352" s="2"/>
      <c r="C352" s="3"/>
      <c r="D352" s="3"/>
      <c r="E352" s="2"/>
      <c r="F352" s="2"/>
      <c r="G352" s="3"/>
      <c r="H352" s="2"/>
      <c r="I352" s="2"/>
    </row>
    <row r="353" spans="1:9">
      <c r="A353" s="2"/>
      <c r="B353" s="2"/>
      <c r="C353" s="3"/>
      <c r="D353" s="3"/>
      <c r="E353" s="2"/>
      <c r="F353" s="2"/>
      <c r="G353" s="3"/>
      <c r="H353" s="2"/>
      <c r="I353" s="2"/>
    </row>
    <row r="354" spans="1:9">
      <c r="A354" s="2"/>
      <c r="B354" s="2"/>
      <c r="C354" s="3"/>
      <c r="D354" s="3"/>
      <c r="E354" s="2"/>
      <c r="F354" s="2"/>
      <c r="G354" s="3"/>
      <c r="H354" s="2"/>
      <c r="I354" s="2"/>
    </row>
    <row r="355" spans="1:9">
      <c r="A355" s="2"/>
      <c r="B355" s="2"/>
      <c r="C355" s="3"/>
      <c r="D355" s="3"/>
      <c r="E355" s="2"/>
      <c r="F355" s="2"/>
      <c r="G355" s="3"/>
      <c r="H355" s="2"/>
      <c r="I355" s="2"/>
    </row>
    <row r="356" spans="1:9">
      <c r="A356" s="2"/>
      <c r="B356" s="2"/>
      <c r="C356" s="3"/>
      <c r="D356" s="3"/>
      <c r="E356" s="2"/>
      <c r="F356" s="2"/>
      <c r="G356" s="3"/>
      <c r="H356" s="2"/>
      <c r="I356" s="2"/>
    </row>
    <row r="357" spans="1:9">
      <c r="A357" s="2"/>
      <c r="B357" s="2"/>
      <c r="C357" s="3"/>
      <c r="D357" s="3"/>
      <c r="E357" s="2"/>
      <c r="F357" s="2"/>
      <c r="G357" s="3"/>
      <c r="H357" s="2"/>
      <c r="I357" s="2"/>
    </row>
    <row r="358" spans="1:9">
      <c r="A358" s="2"/>
      <c r="B358" s="2"/>
      <c r="C358" s="3"/>
      <c r="D358" s="3"/>
      <c r="E358" s="2"/>
      <c r="F358" s="2"/>
      <c r="G358" s="3"/>
      <c r="H358" s="2"/>
      <c r="I358" s="2"/>
    </row>
    <row r="359" spans="1:9">
      <c r="A359" s="2"/>
      <c r="B359" s="2"/>
      <c r="C359" s="3"/>
      <c r="D359" s="3"/>
      <c r="E359" s="2"/>
      <c r="F359" s="2"/>
      <c r="G359" s="3"/>
      <c r="H359" s="2"/>
      <c r="I359" s="2"/>
    </row>
    <row r="360" spans="1:9">
      <c r="A360" s="2"/>
      <c r="B360" s="2"/>
      <c r="C360" s="3"/>
      <c r="D360" s="3"/>
      <c r="E360" s="2"/>
      <c r="F360" s="2"/>
      <c r="G360" s="3"/>
      <c r="H360" s="2"/>
      <c r="I360" s="2"/>
    </row>
    <row r="361" spans="1:9">
      <c r="A361" s="2"/>
      <c r="B361" s="2"/>
      <c r="C361" s="3"/>
      <c r="D361" s="3"/>
      <c r="E361" s="2"/>
      <c r="F361" s="2"/>
      <c r="G361" s="3"/>
      <c r="H361" s="2"/>
      <c r="I361" s="2"/>
    </row>
    <row r="362" spans="1:9">
      <c r="A362" s="2"/>
      <c r="B362" s="2"/>
      <c r="C362" s="3"/>
      <c r="D362" s="3"/>
      <c r="E362" s="2"/>
      <c r="F362" s="2"/>
      <c r="G362" s="3"/>
      <c r="H362" s="2"/>
      <c r="I362" s="2"/>
    </row>
    <row r="363" spans="1:9">
      <c r="A363" s="2"/>
      <c r="B363" s="2"/>
      <c r="C363" s="3"/>
      <c r="D363" s="3"/>
      <c r="E363" s="2"/>
      <c r="F363" s="2"/>
      <c r="G363" s="3"/>
      <c r="H363" s="2"/>
      <c r="I363" s="2"/>
    </row>
    <row r="364" spans="1:9">
      <c r="A364" s="2"/>
      <c r="B364" s="2"/>
      <c r="C364" s="3"/>
      <c r="D364" s="3"/>
      <c r="E364" s="2"/>
      <c r="F364" s="2"/>
      <c r="G364" s="3"/>
      <c r="H364" s="2"/>
      <c r="I364" s="2"/>
    </row>
    <row r="365" spans="1:9">
      <c r="A365" s="2"/>
      <c r="B365" s="2"/>
      <c r="C365" s="3"/>
      <c r="D365" s="3"/>
      <c r="E365" s="2"/>
      <c r="F365" s="2"/>
      <c r="G365" s="3"/>
      <c r="H365" s="2"/>
      <c r="I365" s="2"/>
    </row>
    <row r="366" spans="1:9">
      <c r="A366" s="2"/>
      <c r="B366" s="2"/>
      <c r="C366" s="3"/>
      <c r="D366" s="3"/>
      <c r="E366" s="2"/>
      <c r="F366" s="2"/>
      <c r="G366" s="3"/>
      <c r="H366" s="2"/>
      <c r="I366" s="2"/>
    </row>
    <row r="367" spans="1:9">
      <c r="A367" s="2"/>
      <c r="B367" s="2"/>
      <c r="C367" s="3"/>
      <c r="D367" s="3"/>
      <c r="E367" s="2"/>
      <c r="F367" s="2"/>
      <c r="G367" s="3"/>
      <c r="H367" s="2"/>
      <c r="I367" s="2"/>
    </row>
    <row r="368" spans="1:9">
      <c r="A368" s="2"/>
      <c r="B368" s="2"/>
      <c r="C368" s="3"/>
      <c r="D368" s="3"/>
      <c r="E368" s="2"/>
      <c r="F368" s="2"/>
      <c r="G368" s="3"/>
      <c r="H368" s="2"/>
      <c r="I368" s="2"/>
    </row>
    <row r="369" spans="1:9">
      <c r="A369" s="2"/>
      <c r="B369" s="2"/>
      <c r="C369" s="3"/>
      <c r="D369" s="3"/>
      <c r="E369" s="2"/>
      <c r="F369" s="2"/>
      <c r="G369" s="3"/>
      <c r="H369" s="2"/>
      <c r="I369" s="2"/>
    </row>
    <row r="370" spans="1:9">
      <c r="A370" s="2"/>
      <c r="B370" s="2"/>
      <c r="C370" s="3"/>
      <c r="D370" s="3"/>
      <c r="E370" s="2"/>
      <c r="F370" s="2"/>
      <c r="G370" s="3"/>
      <c r="H370" s="2"/>
      <c r="I370" s="2"/>
    </row>
    <row r="371" spans="1:9">
      <c r="A371" s="2"/>
      <c r="B371" s="2"/>
      <c r="C371" s="3"/>
      <c r="D371" s="3"/>
      <c r="E371" s="2"/>
      <c r="F371" s="2"/>
      <c r="G371" s="3"/>
      <c r="H371" s="2"/>
      <c r="I371" s="2"/>
    </row>
    <row r="372" spans="1:9">
      <c r="A372" s="2"/>
      <c r="B372" s="2"/>
      <c r="C372" s="3"/>
      <c r="D372" s="3"/>
      <c r="E372" s="2"/>
      <c r="F372" s="2"/>
      <c r="G372" s="3"/>
      <c r="H372" s="2"/>
      <c r="I372" s="2"/>
    </row>
    <row r="373" spans="1:9">
      <c r="A373" s="2"/>
      <c r="B373" s="2"/>
      <c r="C373" s="3"/>
      <c r="D373" s="3"/>
      <c r="E373" s="2"/>
      <c r="F373" s="2"/>
      <c r="G373" s="3"/>
      <c r="H373" s="2"/>
      <c r="I373" s="2"/>
    </row>
    <row r="374" spans="1:9">
      <c r="A374" s="2"/>
      <c r="B374" s="2"/>
      <c r="C374" s="3"/>
      <c r="D374" s="3"/>
      <c r="E374" s="2"/>
      <c r="F374" s="2"/>
      <c r="G374" s="3"/>
      <c r="H374" s="2"/>
      <c r="I374" s="2"/>
    </row>
    <row r="375" spans="1:9">
      <c r="A375" s="2"/>
      <c r="B375" s="2"/>
      <c r="C375" s="3"/>
      <c r="D375" s="3"/>
      <c r="E375" s="2"/>
      <c r="F375" s="2"/>
      <c r="G375" s="3"/>
      <c r="H375" s="2"/>
      <c r="I375" s="2"/>
    </row>
    <row r="376" spans="1:9">
      <c r="A376" s="2"/>
      <c r="B376" s="2"/>
      <c r="C376" s="3"/>
      <c r="D376" s="3"/>
      <c r="E376" s="2"/>
      <c r="F376" s="2"/>
      <c r="G376" s="3"/>
      <c r="H376" s="2"/>
      <c r="I376" s="2"/>
    </row>
    <row r="377" spans="1:9">
      <c r="A377" s="2"/>
      <c r="B377" s="2"/>
      <c r="C377" s="3"/>
      <c r="D377" s="3"/>
      <c r="E377" s="2"/>
      <c r="F377" s="2"/>
      <c r="G377" s="3"/>
      <c r="H377" s="2"/>
      <c r="I377" s="2"/>
    </row>
    <row r="378" spans="1:9">
      <c r="A378" s="2"/>
      <c r="B378" s="2"/>
      <c r="C378" s="3"/>
      <c r="D378" s="3"/>
      <c r="E378" s="2"/>
      <c r="F378" s="2"/>
      <c r="G378" s="3"/>
      <c r="H378" s="2"/>
      <c r="I378" s="2"/>
    </row>
    <row r="379" spans="1:9">
      <c r="A379" s="2"/>
      <c r="B379" s="2"/>
      <c r="C379" s="3"/>
      <c r="D379" s="3"/>
      <c r="E379" s="2"/>
      <c r="F379" s="2"/>
      <c r="G379" s="3"/>
      <c r="H379" s="2"/>
      <c r="I379" s="2"/>
    </row>
    <row r="380" spans="1:9">
      <c r="A380" s="2"/>
      <c r="B380" s="2"/>
      <c r="C380" s="3"/>
      <c r="D380" s="3"/>
      <c r="E380" s="2"/>
      <c r="F380" s="2"/>
      <c r="G380" s="3"/>
      <c r="H380" s="2"/>
      <c r="I380" s="2"/>
    </row>
    <row r="381" spans="1:9">
      <c r="A381" s="2"/>
      <c r="B381" s="2"/>
      <c r="C381" s="3"/>
      <c r="D381" s="3"/>
      <c r="E381" s="2"/>
      <c r="F381" s="2"/>
      <c r="G381" s="3"/>
      <c r="H381" s="2"/>
      <c r="I381" s="2"/>
    </row>
    <row r="382" spans="1:9">
      <c r="A382" s="2"/>
      <c r="B382" s="2"/>
      <c r="C382" s="3"/>
      <c r="D382" s="3"/>
      <c r="E382" s="2"/>
      <c r="F382" s="2"/>
      <c r="G382" s="3"/>
      <c r="H382" s="2"/>
      <c r="I382" s="2"/>
    </row>
    <row r="383" spans="1:9">
      <c r="A383" s="2"/>
      <c r="B383" s="2"/>
      <c r="C383" s="3"/>
      <c r="D383" s="3"/>
      <c r="E383" s="2"/>
      <c r="F383" s="2"/>
      <c r="G383" s="3"/>
      <c r="H383" s="2"/>
      <c r="I383" s="2"/>
    </row>
    <row r="384" spans="1:9">
      <c r="A384" s="2"/>
      <c r="B384" s="2"/>
      <c r="C384" s="3"/>
      <c r="D384" s="3"/>
      <c r="E384" s="2"/>
      <c r="F384" s="2"/>
      <c r="G384" s="3"/>
      <c r="H384" s="2"/>
      <c r="I384" s="2"/>
    </row>
    <row r="385" spans="1:9">
      <c r="A385" s="2"/>
      <c r="B385" s="2"/>
      <c r="C385" s="3"/>
      <c r="D385" s="3"/>
      <c r="E385" s="2"/>
      <c r="F385" s="2"/>
      <c r="G385" s="3"/>
      <c r="H385" s="2"/>
      <c r="I385" s="2"/>
    </row>
    <row r="386" spans="1:9">
      <c r="A386" s="2"/>
      <c r="B386" s="2"/>
      <c r="C386" s="3"/>
      <c r="D386" s="3"/>
      <c r="E386" s="2"/>
      <c r="F386" s="2"/>
      <c r="G386" s="3"/>
      <c r="H386" s="2"/>
      <c r="I386" s="2"/>
    </row>
    <row r="387" spans="1:9">
      <c r="A387" s="2"/>
      <c r="B387" s="2"/>
      <c r="C387" s="3"/>
      <c r="D387" s="3"/>
      <c r="E387" s="2"/>
      <c r="F387" s="2"/>
      <c r="G387" s="3"/>
      <c r="H387" s="2"/>
      <c r="I387" s="2"/>
    </row>
    <row r="388" spans="1:9">
      <c r="A388" s="2"/>
      <c r="B388" s="2"/>
      <c r="C388" s="3"/>
      <c r="D388" s="3"/>
      <c r="E388" s="2"/>
      <c r="F388" s="2"/>
      <c r="G388" s="3"/>
      <c r="H388" s="2"/>
      <c r="I388" s="2"/>
    </row>
    <row r="389" spans="1:9">
      <c r="A389" s="2"/>
      <c r="B389" s="2"/>
      <c r="C389" s="3"/>
      <c r="D389" s="3"/>
      <c r="E389" s="2"/>
      <c r="F389" s="2"/>
      <c r="G389" s="3"/>
      <c r="H389" s="2"/>
      <c r="I389" s="2"/>
    </row>
    <row r="390" spans="1:9">
      <c r="A390" s="2"/>
      <c r="B390" s="2"/>
      <c r="C390" s="3"/>
      <c r="D390" s="3"/>
      <c r="E390" s="2"/>
      <c r="F390" s="2"/>
      <c r="G390" s="3"/>
      <c r="H390" s="2"/>
      <c r="I390" s="2"/>
    </row>
    <row r="391" spans="1:9">
      <c r="A391" s="2"/>
      <c r="B391" s="2"/>
      <c r="C391" s="3"/>
      <c r="D391" s="3"/>
      <c r="E391" s="2"/>
      <c r="F391" s="2"/>
      <c r="G391" s="3"/>
      <c r="H391" s="2"/>
      <c r="I391" s="2"/>
    </row>
    <row r="392" spans="1:9">
      <c r="A392" s="2"/>
      <c r="B392" s="2"/>
      <c r="C392" s="3"/>
      <c r="D392" s="3"/>
      <c r="E392" s="2"/>
      <c r="F392" s="2"/>
      <c r="G392" s="3"/>
      <c r="H392" s="2"/>
      <c r="I392" s="2"/>
    </row>
    <row r="393" spans="1:9">
      <c r="A393" s="2"/>
      <c r="B393" s="2"/>
      <c r="C393" s="3"/>
      <c r="D393" s="3"/>
      <c r="E393" s="2"/>
      <c r="F393" s="2"/>
      <c r="G393" s="3"/>
      <c r="H393" s="2"/>
      <c r="I393" s="2"/>
    </row>
    <row r="394" spans="1:9">
      <c r="A394" s="2"/>
      <c r="B394" s="2"/>
      <c r="C394" s="3"/>
      <c r="D394" s="3"/>
      <c r="E394" s="2"/>
      <c r="F394" s="2"/>
      <c r="G394" s="3"/>
      <c r="H394" s="2"/>
      <c r="I394" s="2"/>
    </row>
    <row r="395" spans="1:9">
      <c r="A395" s="2"/>
      <c r="B395" s="2"/>
      <c r="C395" s="3"/>
      <c r="D395" s="3"/>
      <c r="E395" s="2"/>
      <c r="F395" s="2"/>
      <c r="G395" s="3"/>
      <c r="H395" s="2"/>
      <c r="I395" s="2"/>
    </row>
    <row r="396" spans="1:9">
      <c r="A396" s="2"/>
      <c r="B396" s="2"/>
      <c r="C396" s="3"/>
      <c r="D396" s="3"/>
      <c r="E396" s="2"/>
      <c r="F396" s="2"/>
      <c r="G396" s="3"/>
      <c r="H396" s="2"/>
      <c r="I396" s="2"/>
    </row>
    <row r="397" spans="1:9">
      <c r="A397" s="2"/>
      <c r="B397" s="2"/>
      <c r="C397" s="3"/>
      <c r="D397" s="3"/>
      <c r="E397" s="2"/>
      <c r="F397" s="2"/>
      <c r="G397" s="3"/>
      <c r="H397" s="2"/>
      <c r="I397" s="2"/>
    </row>
    <row r="398" spans="1:9">
      <c r="A398" s="2"/>
      <c r="B398" s="2"/>
      <c r="C398" s="3"/>
      <c r="D398" s="3"/>
      <c r="E398" s="2"/>
      <c r="F398" s="2"/>
      <c r="G398" s="3"/>
      <c r="H398" s="2"/>
      <c r="I398" s="2"/>
    </row>
    <row r="399" spans="1:9">
      <c r="A399" s="2"/>
      <c r="B399" s="2"/>
      <c r="C399" s="3"/>
      <c r="D399" s="3"/>
      <c r="E399" s="2"/>
      <c r="F399" s="2"/>
      <c r="G399" s="3"/>
      <c r="H399" s="2"/>
      <c r="I399" s="2"/>
    </row>
    <row r="400" spans="1:9">
      <c r="A400" s="2"/>
      <c r="B400" s="2"/>
      <c r="C400" s="3"/>
      <c r="D400" s="3"/>
      <c r="E400" s="2"/>
      <c r="F400" s="2"/>
      <c r="G400" s="3"/>
      <c r="H400" s="2"/>
      <c r="I400" s="2"/>
    </row>
    <row r="401" spans="1:9">
      <c r="A401" s="2"/>
      <c r="B401" s="2"/>
      <c r="C401" s="3"/>
      <c r="D401" s="3"/>
      <c r="E401" s="2"/>
      <c r="F401" s="2"/>
      <c r="G401" s="3"/>
      <c r="H401" s="2"/>
      <c r="I401" s="2"/>
    </row>
    <row r="402" spans="1:9">
      <c r="A402" s="2"/>
      <c r="B402" s="2"/>
      <c r="C402" s="3"/>
      <c r="D402" s="3"/>
      <c r="E402" s="2"/>
      <c r="F402" s="2"/>
      <c r="G402" s="3"/>
      <c r="H402" s="2"/>
      <c r="I402" s="2"/>
    </row>
    <row r="403" spans="1:9">
      <c r="A403" s="2"/>
      <c r="B403" s="2"/>
      <c r="C403" s="3"/>
      <c r="D403" s="3"/>
      <c r="E403" s="2"/>
      <c r="F403" s="2"/>
      <c r="G403" s="3"/>
      <c r="H403" s="2"/>
      <c r="I403" s="2"/>
    </row>
    <row r="404" spans="1:9">
      <c r="A404" s="2"/>
      <c r="B404" s="2"/>
      <c r="C404" s="3"/>
      <c r="D404" s="3"/>
      <c r="E404" s="2"/>
      <c r="F404" s="2"/>
      <c r="G404" s="3"/>
      <c r="H404" s="2"/>
      <c r="I404" s="2"/>
    </row>
    <row r="405" spans="1:9">
      <c r="A405" s="2"/>
      <c r="B405" s="2"/>
      <c r="C405" s="3"/>
      <c r="D405" s="3"/>
      <c r="E405" s="2"/>
      <c r="F405" s="2"/>
      <c r="G405" s="3"/>
      <c r="H405" s="2"/>
      <c r="I405" s="2"/>
    </row>
    <row r="406" spans="1:9">
      <c r="A406" s="2"/>
      <c r="B406" s="2"/>
      <c r="C406" s="3"/>
      <c r="D406" s="3"/>
      <c r="E406" s="2"/>
      <c r="F406" s="2"/>
      <c r="G406" s="3"/>
      <c r="H406" s="2"/>
      <c r="I406" s="2"/>
    </row>
    <row r="407" spans="1:9">
      <c r="A407" s="2"/>
      <c r="B407" s="2"/>
      <c r="C407" s="3"/>
      <c r="D407" s="3"/>
      <c r="E407" s="2"/>
      <c r="F407" s="2"/>
      <c r="G407" s="3"/>
      <c r="H407" s="2"/>
      <c r="I407" s="2"/>
    </row>
    <row r="408" spans="1:9">
      <c r="A408" s="2"/>
      <c r="B408" s="2"/>
      <c r="C408" s="3"/>
      <c r="D408" s="3"/>
      <c r="E408" s="2"/>
      <c r="F408" s="2"/>
      <c r="G408" s="3"/>
      <c r="H408" s="2"/>
      <c r="I408" s="2"/>
    </row>
    <row r="409" spans="1:9">
      <c r="A409" s="2"/>
      <c r="B409" s="2"/>
      <c r="C409" s="3"/>
      <c r="D409" s="3"/>
      <c r="E409" s="2"/>
      <c r="F409" s="2"/>
      <c r="G409" s="3"/>
      <c r="H409" s="2"/>
      <c r="I409" s="2"/>
    </row>
    <row r="410" spans="1:9">
      <c r="A410" s="2"/>
      <c r="B410" s="2"/>
      <c r="C410" s="3"/>
      <c r="D410" s="3"/>
      <c r="E410" s="2"/>
      <c r="F410" s="2"/>
      <c r="G410" s="3"/>
      <c r="H410" s="2"/>
      <c r="I410" s="2"/>
    </row>
    <row r="411" spans="1:9">
      <c r="A411" s="2"/>
      <c r="B411" s="2"/>
      <c r="C411" s="3"/>
      <c r="D411" s="3"/>
      <c r="E411" s="2"/>
      <c r="F411" s="2"/>
      <c r="G411" s="3"/>
      <c r="H411" s="2"/>
      <c r="I411" s="2"/>
    </row>
    <row r="412" spans="1:9">
      <c r="A412" s="2"/>
      <c r="B412" s="2"/>
      <c r="C412" s="3"/>
      <c r="D412" s="3"/>
      <c r="E412" s="2"/>
      <c r="F412" s="2"/>
      <c r="G412" s="3"/>
      <c r="H412" s="2"/>
      <c r="I412" s="2"/>
    </row>
    <row r="413" spans="1:9">
      <c r="A413" s="2"/>
      <c r="B413" s="2"/>
      <c r="C413" s="3"/>
      <c r="D413" s="3"/>
      <c r="E413" s="2"/>
      <c r="F413" s="2"/>
      <c r="G413" s="3"/>
      <c r="H413" s="2"/>
      <c r="I413" s="2"/>
    </row>
    <row r="414" spans="1:9">
      <c r="A414" s="2"/>
      <c r="B414" s="2"/>
      <c r="C414" s="3"/>
      <c r="D414" s="3"/>
      <c r="E414" s="2"/>
      <c r="F414" s="2"/>
      <c r="G414" s="3"/>
      <c r="H414" s="2"/>
      <c r="I414" s="2"/>
    </row>
    <row r="415" spans="1:9">
      <c r="A415" s="2"/>
      <c r="B415" s="2"/>
      <c r="C415" s="3"/>
      <c r="D415" s="3"/>
      <c r="E415" s="2"/>
      <c r="F415" s="2"/>
      <c r="G415" s="3"/>
      <c r="H415" s="2"/>
      <c r="I415" s="2"/>
    </row>
    <row r="416" spans="1:9">
      <c r="A416" s="2"/>
      <c r="B416" s="2"/>
      <c r="C416" s="3"/>
      <c r="D416" s="3"/>
      <c r="E416" s="2"/>
      <c r="F416" s="2"/>
      <c r="G416" s="3"/>
      <c r="H416" s="2"/>
      <c r="I416" s="2"/>
    </row>
    <row r="417" spans="1:9">
      <c r="A417" s="2"/>
      <c r="B417" s="2"/>
      <c r="C417" s="3"/>
      <c r="D417" s="3"/>
      <c r="E417" s="2"/>
      <c r="F417" s="2"/>
      <c r="G417" s="3"/>
      <c r="H417" s="2"/>
      <c r="I417" s="2"/>
    </row>
    <row r="418" spans="1:9">
      <c r="A418" s="2"/>
      <c r="B418" s="2"/>
      <c r="C418" s="3"/>
      <c r="D418" s="3"/>
      <c r="E418" s="2"/>
      <c r="F418" s="2"/>
      <c r="G418" s="3"/>
      <c r="H418" s="2"/>
      <c r="I418" s="2"/>
    </row>
    <row r="419" spans="1:9">
      <c r="A419" s="2"/>
      <c r="B419" s="2"/>
      <c r="C419" s="3"/>
      <c r="D419" s="3"/>
      <c r="E419" s="2"/>
      <c r="F419" s="2"/>
      <c r="G419" s="3"/>
      <c r="H419" s="2"/>
      <c r="I419" s="2"/>
    </row>
    <row r="420" spans="1:9">
      <c r="A420" s="2"/>
      <c r="B420" s="2"/>
      <c r="C420" s="3"/>
      <c r="D420" s="3"/>
      <c r="E420" s="2"/>
      <c r="F420" s="2"/>
      <c r="G420" s="3"/>
      <c r="H420" s="2"/>
      <c r="I420" s="2"/>
    </row>
    <row r="421" spans="1:9">
      <c r="A421" s="2"/>
      <c r="B421" s="2"/>
      <c r="C421" s="3"/>
      <c r="D421" s="3"/>
      <c r="E421" s="2"/>
      <c r="F421" s="2"/>
      <c r="G421" s="3"/>
      <c r="H421" s="2"/>
      <c r="I421" s="2"/>
    </row>
    <row r="422" spans="1:9">
      <c r="A422" s="2"/>
      <c r="B422" s="2"/>
      <c r="C422" s="3"/>
      <c r="D422" s="3"/>
      <c r="E422" s="2"/>
      <c r="F422" s="2"/>
      <c r="G422" s="3"/>
      <c r="H422" s="2"/>
      <c r="I422" s="2"/>
    </row>
    <row r="423" spans="1:9">
      <c r="A423" s="2"/>
      <c r="B423" s="2"/>
      <c r="C423" s="3"/>
      <c r="D423" s="3"/>
      <c r="E423" s="2"/>
      <c r="F423" s="2"/>
      <c r="G423" s="3"/>
      <c r="H423" s="2"/>
      <c r="I423" s="2"/>
    </row>
    <row r="424" spans="1:9">
      <c r="A424" s="2"/>
      <c r="B424" s="2"/>
      <c r="C424" s="3"/>
      <c r="D424" s="3"/>
      <c r="E424" s="2"/>
      <c r="F424" s="2"/>
      <c r="G424" s="3"/>
      <c r="H424" s="2"/>
      <c r="I424" s="2"/>
    </row>
    <row r="425" spans="1:9">
      <c r="A425" s="2"/>
      <c r="B425" s="2"/>
      <c r="C425" s="3"/>
      <c r="D425" s="3"/>
      <c r="E425" s="2"/>
      <c r="F425" s="2"/>
      <c r="G425" s="3"/>
      <c r="H425" s="2"/>
      <c r="I425" s="2"/>
    </row>
    <row r="426" spans="1:9">
      <c r="A426" s="2"/>
      <c r="B426" s="2"/>
      <c r="C426" s="3"/>
      <c r="D426" s="3"/>
      <c r="E426" s="2"/>
      <c r="F426" s="2"/>
      <c r="G426" s="3"/>
      <c r="H426" s="2"/>
      <c r="I426" s="2"/>
    </row>
    <row r="427" spans="1:9">
      <c r="A427" s="2"/>
      <c r="B427" s="2"/>
      <c r="C427" s="3"/>
      <c r="D427" s="3"/>
      <c r="E427" s="2"/>
      <c r="F427" s="2"/>
      <c r="G427" s="3"/>
      <c r="H427" s="2"/>
      <c r="I427" s="2"/>
    </row>
    <row r="428" spans="1:9">
      <c r="A428" s="2"/>
      <c r="B428" s="2"/>
      <c r="C428" s="3"/>
      <c r="D428" s="3"/>
      <c r="E428" s="2"/>
      <c r="F428" s="2"/>
      <c r="G428" s="3"/>
      <c r="H428" s="2"/>
      <c r="I428" s="2"/>
    </row>
    <row r="429" spans="1:9">
      <c r="A429" s="2"/>
      <c r="B429" s="2"/>
      <c r="C429" s="3"/>
      <c r="D429" s="3"/>
      <c r="E429" s="2"/>
      <c r="F429" s="2"/>
      <c r="G429" s="3"/>
      <c r="H429" s="2"/>
      <c r="I429" s="2"/>
    </row>
    <row r="430" spans="1:9">
      <c r="A430" s="2"/>
      <c r="B430" s="2"/>
      <c r="C430" s="3"/>
      <c r="D430" s="3"/>
      <c r="E430" s="2"/>
      <c r="F430" s="2"/>
      <c r="G430" s="3"/>
      <c r="H430" s="2"/>
      <c r="I430" s="2"/>
    </row>
    <row r="431" spans="1:9">
      <c r="A431" s="2"/>
      <c r="B431" s="2"/>
      <c r="C431" s="3"/>
      <c r="D431" s="3"/>
      <c r="E431" s="2"/>
      <c r="F431" s="2"/>
      <c r="G431" s="3"/>
      <c r="H431" s="2"/>
      <c r="I431" s="2"/>
    </row>
    <row r="432" spans="1:9">
      <c r="A432" s="2"/>
      <c r="B432" s="2"/>
      <c r="C432" s="3"/>
      <c r="D432" s="3"/>
      <c r="E432" s="2"/>
      <c r="F432" s="2"/>
      <c r="G432" s="3"/>
      <c r="H432" s="2"/>
      <c r="I432" s="2"/>
    </row>
    <row r="433" spans="1:9">
      <c r="A433" s="2"/>
      <c r="B433" s="2"/>
      <c r="C433" s="3"/>
      <c r="D433" s="3"/>
      <c r="E433" s="2"/>
      <c r="F433" s="2"/>
      <c r="G433" s="3"/>
      <c r="H433" s="2"/>
      <c r="I433" s="2"/>
    </row>
    <row r="434" spans="1:9">
      <c r="A434" s="2"/>
      <c r="B434" s="2"/>
      <c r="C434" s="3"/>
      <c r="D434" s="3"/>
      <c r="E434" s="2"/>
      <c r="F434" s="2"/>
      <c r="G434" s="3"/>
      <c r="H434" s="2"/>
      <c r="I434" s="2"/>
    </row>
    <row r="435" spans="1:9">
      <c r="A435" s="2"/>
      <c r="B435" s="2"/>
      <c r="C435" s="3"/>
      <c r="D435" s="3"/>
      <c r="E435" s="2"/>
      <c r="F435" s="2"/>
      <c r="G435" s="3"/>
      <c r="H435" s="2"/>
      <c r="I435" s="2"/>
    </row>
    <row r="436" spans="1:9">
      <c r="A436" s="2"/>
      <c r="B436" s="2"/>
      <c r="C436" s="3"/>
      <c r="D436" s="3"/>
      <c r="E436" s="2"/>
      <c r="F436" s="2"/>
      <c r="G436" s="3"/>
      <c r="H436" s="2"/>
      <c r="I436" s="2"/>
    </row>
    <row r="437" spans="1:9">
      <c r="A437" s="2"/>
      <c r="B437" s="2"/>
      <c r="C437" s="3"/>
      <c r="D437" s="3"/>
      <c r="E437" s="2"/>
      <c r="F437" s="2"/>
      <c r="G437" s="3"/>
      <c r="H437" s="2"/>
      <c r="I437" s="2"/>
    </row>
    <row r="438" spans="1:9">
      <c r="A438" s="2"/>
      <c r="B438" s="2"/>
      <c r="C438" s="3"/>
      <c r="D438" s="3"/>
      <c r="E438" s="2"/>
      <c r="F438" s="2"/>
      <c r="G438" s="3"/>
      <c r="H438" s="2"/>
      <c r="I438" s="2"/>
    </row>
    <row r="439" spans="1:9">
      <c r="A439" s="2"/>
      <c r="B439" s="2"/>
      <c r="C439" s="3"/>
      <c r="D439" s="3"/>
      <c r="E439" s="2"/>
      <c r="F439" s="2"/>
      <c r="G439" s="3"/>
      <c r="H439" s="2"/>
      <c r="I439" s="2"/>
    </row>
    <row r="440" spans="1:9">
      <c r="A440" s="2"/>
      <c r="B440" s="2"/>
      <c r="C440" s="3"/>
      <c r="D440" s="3"/>
      <c r="E440" s="2"/>
      <c r="F440" s="2"/>
      <c r="G440" s="3"/>
      <c r="H440" s="2"/>
      <c r="I440" s="2"/>
    </row>
    <row r="441" spans="1:9">
      <c r="A441" s="2"/>
      <c r="B441" s="2"/>
      <c r="C441" s="3"/>
      <c r="D441" s="3"/>
      <c r="E441" s="2"/>
      <c r="F441" s="2"/>
      <c r="G441" s="3"/>
      <c r="H441" s="2"/>
      <c r="I441" s="2"/>
    </row>
    <row r="442" spans="1:9">
      <c r="A442" s="2"/>
      <c r="B442" s="2"/>
      <c r="C442" s="3"/>
      <c r="D442" s="3"/>
      <c r="E442" s="2"/>
      <c r="F442" s="2"/>
      <c r="G442" s="3"/>
      <c r="H442" s="2"/>
      <c r="I442" s="2"/>
    </row>
    <row r="443" spans="1:9">
      <c r="A443" s="2"/>
      <c r="B443" s="2"/>
      <c r="C443" s="3"/>
      <c r="D443" s="3"/>
      <c r="E443" s="2"/>
      <c r="F443" s="2"/>
      <c r="G443" s="3"/>
      <c r="H443" s="2"/>
      <c r="I443" s="2"/>
    </row>
    <row r="444" spans="1:9">
      <c r="A444" s="2"/>
      <c r="B444" s="2"/>
      <c r="C444" s="3"/>
      <c r="D444" s="3"/>
      <c r="E444" s="2"/>
      <c r="F444" s="2"/>
      <c r="G444" s="3"/>
      <c r="H444" s="2"/>
      <c r="I444" s="2"/>
    </row>
    <row r="445" spans="1:9">
      <c r="A445" s="2"/>
      <c r="B445" s="2"/>
      <c r="C445" s="3"/>
      <c r="D445" s="3"/>
      <c r="E445" s="2"/>
      <c r="F445" s="2"/>
      <c r="G445" s="3"/>
      <c r="H445" s="2"/>
      <c r="I445" s="2"/>
    </row>
    <row r="446" spans="1:9">
      <c r="A446" s="2"/>
      <c r="B446" s="2"/>
      <c r="C446" s="3"/>
      <c r="D446" s="3"/>
      <c r="E446" s="2"/>
      <c r="F446" s="2"/>
      <c r="G446" s="3"/>
      <c r="H446" s="2"/>
      <c r="I446" s="2"/>
    </row>
    <row r="447" spans="1:9">
      <c r="A447" s="2"/>
      <c r="B447" s="2"/>
      <c r="C447" s="3"/>
      <c r="D447" s="3"/>
      <c r="E447" s="2"/>
      <c r="F447" s="2"/>
      <c r="G447" s="3"/>
      <c r="H447" s="2"/>
      <c r="I447" s="2"/>
    </row>
    <row r="448" spans="1:9">
      <c r="A448" s="2"/>
      <c r="B448" s="2"/>
      <c r="C448" s="3"/>
      <c r="D448" s="3"/>
      <c r="E448" s="2"/>
      <c r="F448" s="2"/>
      <c r="G448" s="3"/>
      <c r="H448" s="2"/>
      <c r="I448" s="2"/>
    </row>
    <row r="449" spans="1:9">
      <c r="A449" s="2"/>
      <c r="B449" s="2"/>
      <c r="C449" s="3"/>
      <c r="D449" s="3"/>
      <c r="E449" s="2"/>
      <c r="F449" s="2"/>
      <c r="G449" s="3"/>
      <c r="H449" s="2"/>
      <c r="I449" s="2"/>
    </row>
    <row r="450" spans="1:9">
      <c r="A450" s="2"/>
      <c r="B450" s="2"/>
      <c r="C450" s="3"/>
      <c r="D450" s="3"/>
      <c r="E450" s="2"/>
      <c r="F450" s="2"/>
      <c r="G450" s="3"/>
      <c r="H450" s="2"/>
      <c r="I450" s="2"/>
    </row>
    <row r="451" spans="1:9">
      <c r="A451" s="2"/>
      <c r="B451" s="2"/>
      <c r="C451" s="3"/>
      <c r="D451" s="3"/>
      <c r="E451" s="2"/>
      <c r="F451" s="2"/>
      <c r="G451" s="3"/>
      <c r="H451" s="2"/>
      <c r="I451" s="2"/>
    </row>
    <row r="452" spans="1:9">
      <c r="A452" s="2"/>
      <c r="B452" s="2"/>
      <c r="C452" s="3"/>
      <c r="D452" s="3"/>
      <c r="E452" s="2"/>
      <c r="F452" s="2"/>
      <c r="G452" s="3"/>
      <c r="H452" s="2"/>
      <c r="I452" s="2"/>
    </row>
    <row r="453" spans="1:9">
      <c r="A453" s="2"/>
      <c r="B453" s="2"/>
      <c r="C453" s="3"/>
      <c r="D453" s="3"/>
      <c r="E453" s="2"/>
      <c r="F453" s="2"/>
      <c r="G453" s="3"/>
      <c r="H453" s="2"/>
      <c r="I453" s="2"/>
    </row>
    <row r="454" spans="1:9">
      <c r="A454" s="2"/>
      <c r="B454" s="2"/>
      <c r="C454" s="3"/>
      <c r="D454" s="3"/>
      <c r="E454" s="2"/>
      <c r="F454" s="2"/>
      <c r="G454" s="3"/>
      <c r="H454" s="2"/>
      <c r="I454" s="2"/>
    </row>
    <row r="455" spans="1:9">
      <c r="A455" s="2"/>
      <c r="B455" s="2"/>
      <c r="C455" s="3"/>
      <c r="D455" s="3"/>
      <c r="E455" s="2"/>
      <c r="F455" s="2"/>
      <c r="G455" s="3"/>
      <c r="H455" s="2"/>
      <c r="I455" s="2"/>
    </row>
    <row r="456" spans="1:9">
      <c r="A456" s="2"/>
      <c r="B456" s="2"/>
      <c r="C456" s="3"/>
      <c r="D456" s="3"/>
      <c r="E456" s="2"/>
      <c r="F456" s="2"/>
      <c r="G456" s="3"/>
      <c r="H456" s="2"/>
      <c r="I456" s="2"/>
    </row>
    <row r="457" spans="1:9">
      <c r="A457" s="2"/>
      <c r="B457" s="2"/>
      <c r="C457" s="3"/>
      <c r="D457" s="3"/>
      <c r="E457" s="2"/>
      <c r="F457" s="2"/>
      <c r="G457" s="3"/>
      <c r="H457" s="2"/>
      <c r="I457" s="2"/>
    </row>
    <row r="458" spans="1:9">
      <c r="A458" s="2"/>
      <c r="B458" s="2"/>
      <c r="C458" s="3"/>
      <c r="D458" s="3"/>
      <c r="E458" s="2"/>
      <c r="F458" s="2"/>
      <c r="G458" s="3"/>
      <c r="H458" s="2"/>
      <c r="I458" s="2"/>
    </row>
    <row r="459" spans="1:9">
      <c r="A459" s="2"/>
      <c r="B459" s="2"/>
      <c r="C459" s="3"/>
      <c r="D459" s="3"/>
      <c r="E459" s="2"/>
      <c r="F459" s="2"/>
      <c r="G459" s="3"/>
      <c r="H459" s="2"/>
      <c r="I459" s="2"/>
    </row>
    <row r="460" spans="1:9">
      <c r="A460" s="2"/>
      <c r="B460" s="2"/>
      <c r="C460" s="3"/>
      <c r="D460" s="3"/>
      <c r="E460" s="2"/>
      <c r="F460" s="2"/>
      <c r="G460" s="3"/>
      <c r="H460" s="2"/>
      <c r="I460" s="2"/>
    </row>
    <row r="461" spans="1:9">
      <c r="A461" s="2"/>
      <c r="B461" s="2"/>
      <c r="C461" s="3"/>
      <c r="D461" s="3"/>
      <c r="E461" s="2"/>
      <c r="F461" s="2"/>
      <c r="G461" s="3"/>
      <c r="H461" s="2"/>
      <c r="I461" s="2"/>
    </row>
    <row r="462" spans="1:9">
      <c r="A462" s="2"/>
      <c r="B462" s="2"/>
      <c r="C462" s="3"/>
      <c r="D462" s="3"/>
      <c r="E462" s="2"/>
      <c r="F462" s="2"/>
      <c r="G462" s="3"/>
      <c r="H462" s="2"/>
      <c r="I462" s="2"/>
    </row>
    <row r="463" spans="1:9">
      <c r="A463" s="2"/>
      <c r="B463" s="2"/>
      <c r="C463" s="3"/>
      <c r="D463" s="3"/>
      <c r="E463" s="2"/>
      <c r="F463" s="2"/>
      <c r="G463" s="3"/>
      <c r="H463" s="2"/>
      <c r="I463" s="2"/>
    </row>
    <row r="464" spans="1:9">
      <c r="A464" s="2"/>
      <c r="B464" s="2"/>
      <c r="C464" s="3"/>
      <c r="D464" s="3"/>
      <c r="E464" s="2"/>
      <c r="F464" s="2"/>
      <c r="G464" s="3"/>
      <c r="H464" s="2"/>
      <c r="I464" s="2"/>
    </row>
    <row r="465" spans="1:9">
      <c r="A465" s="2"/>
      <c r="B465" s="2"/>
      <c r="C465" s="3"/>
      <c r="D465" s="3"/>
      <c r="E465" s="2"/>
      <c r="F465" s="2"/>
      <c r="G465" s="3"/>
      <c r="H465" s="2"/>
      <c r="I465" s="2"/>
    </row>
    <row r="466" spans="1:9">
      <c r="A466" s="2"/>
      <c r="B466" s="2"/>
      <c r="C466" s="3"/>
      <c r="D466" s="3"/>
      <c r="E466" s="2"/>
      <c r="F466" s="2"/>
      <c r="G466" s="3"/>
      <c r="H466" s="2"/>
      <c r="I466" s="2"/>
    </row>
    <row r="467" spans="1:9">
      <c r="A467" s="2"/>
      <c r="B467" s="2"/>
      <c r="C467" s="3"/>
      <c r="D467" s="3"/>
      <c r="E467" s="2"/>
      <c r="F467" s="2"/>
      <c r="G467" s="3"/>
      <c r="H467" s="2"/>
      <c r="I467" s="2"/>
    </row>
    <row r="468" spans="1:9">
      <c r="A468" s="2"/>
      <c r="B468" s="2"/>
      <c r="C468" s="3"/>
      <c r="D468" s="3"/>
      <c r="E468" s="2"/>
      <c r="F468" s="2"/>
      <c r="G468" s="3"/>
      <c r="H468" s="2"/>
      <c r="I468" s="2"/>
    </row>
    <row r="469" spans="1:9">
      <c r="A469" s="2"/>
      <c r="B469" s="2"/>
      <c r="C469" s="3"/>
      <c r="D469" s="3"/>
      <c r="E469" s="2"/>
      <c r="F469" s="2"/>
      <c r="G469" s="3"/>
      <c r="H469" s="2"/>
      <c r="I469" s="2"/>
    </row>
    <row r="470" spans="1:9">
      <c r="A470" s="2"/>
      <c r="B470" s="2"/>
      <c r="C470" s="3"/>
      <c r="D470" s="3"/>
      <c r="E470" s="2"/>
      <c r="F470" s="2"/>
      <c r="G470" s="3"/>
      <c r="H470" s="2"/>
      <c r="I470" s="2"/>
    </row>
    <row r="471" spans="1:9">
      <c r="A471" s="2"/>
      <c r="B471" s="2"/>
      <c r="C471" s="3"/>
      <c r="D471" s="3"/>
      <c r="E471" s="2"/>
      <c r="F471" s="2"/>
      <c r="G471" s="3"/>
      <c r="H471" s="2"/>
      <c r="I471" s="2"/>
    </row>
    <row r="472" spans="1:9">
      <c r="A472" s="2"/>
      <c r="B472" s="2"/>
      <c r="C472" s="3"/>
      <c r="D472" s="3"/>
      <c r="E472" s="2"/>
      <c r="F472" s="2"/>
      <c r="G472" s="3"/>
      <c r="H472" s="2"/>
      <c r="I472" s="2"/>
    </row>
    <row r="473" spans="1:9">
      <c r="A473" s="2"/>
      <c r="B473" s="2"/>
      <c r="C473" s="3"/>
      <c r="D473" s="3"/>
      <c r="E473" s="2"/>
      <c r="F473" s="2"/>
      <c r="G473" s="3"/>
      <c r="H473" s="2"/>
      <c r="I473" s="2"/>
    </row>
    <row r="474" spans="1:9">
      <c r="A474" s="2"/>
      <c r="B474" s="2"/>
      <c r="C474" s="3"/>
      <c r="D474" s="3"/>
      <c r="E474" s="2"/>
      <c r="F474" s="2"/>
      <c r="G474" s="3"/>
      <c r="H474" s="2"/>
      <c r="I474" s="2"/>
    </row>
    <row r="475" spans="1:9">
      <c r="A475" s="2"/>
      <c r="B475" s="2"/>
      <c r="C475" s="3"/>
      <c r="D475" s="3"/>
      <c r="E475" s="2"/>
      <c r="F475" s="2"/>
      <c r="G475" s="3"/>
      <c r="H475" s="2"/>
      <c r="I475" s="2"/>
    </row>
    <row r="476" spans="1:9">
      <c r="A476" s="2"/>
      <c r="B476" s="2"/>
      <c r="C476" s="3"/>
      <c r="D476" s="3"/>
      <c r="E476" s="2"/>
      <c r="F476" s="2"/>
      <c r="G476" s="3"/>
      <c r="H476" s="2"/>
      <c r="I476" s="2"/>
    </row>
    <row r="477" spans="1:9">
      <c r="A477" s="2"/>
      <c r="B477" s="2"/>
      <c r="C477" s="3"/>
      <c r="D477" s="3"/>
      <c r="E477" s="2"/>
      <c r="F477" s="2"/>
      <c r="G477" s="3"/>
      <c r="H477" s="2"/>
      <c r="I477" s="2"/>
    </row>
    <row r="478" spans="1:9">
      <c r="A478" s="2"/>
      <c r="B478" s="2"/>
      <c r="C478" s="3"/>
      <c r="D478" s="3"/>
      <c r="E478" s="2"/>
      <c r="F478" s="2"/>
      <c r="G478" s="3"/>
      <c r="H478" s="2"/>
      <c r="I478" s="2"/>
    </row>
    <row r="479" spans="1:9">
      <c r="A479" s="2"/>
      <c r="B479" s="2"/>
      <c r="C479" s="3"/>
      <c r="D479" s="3"/>
      <c r="E479" s="2"/>
      <c r="F479" s="2"/>
      <c r="G479" s="3"/>
      <c r="H479" s="2"/>
      <c r="I479" s="2"/>
    </row>
    <row r="480" spans="1:9">
      <c r="A480" s="2"/>
      <c r="B480" s="2"/>
      <c r="C480" s="3"/>
      <c r="D480" s="3"/>
      <c r="E480" s="2"/>
      <c r="F480" s="2"/>
      <c r="G480" s="3"/>
      <c r="H480" s="2"/>
      <c r="I480" s="2"/>
    </row>
    <row r="481" spans="1:9">
      <c r="A481" s="2"/>
      <c r="B481" s="2"/>
      <c r="C481" s="3"/>
      <c r="D481" s="3"/>
      <c r="E481" s="2"/>
      <c r="F481" s="2"/>
      <c r="G481" s="3"/>
      <c r="H481" s="2"/>
      <c r="I481" s="2"/>
    </row>
    <row r="482" spans="1:9">
      <c r="A482" s="2"/>
      <c r="B482" s="2"/>
      <c r="C482" s="3"/>
      <c r="D482" s="3"/>
      <c r="E482" s="2"/>
      <c r="F482" s="2"/>
      <c r="G482" s="3"/>
      <c r="H482" s="2"/>
      <c r="I482" s="2"/>
    </row>
    <row r="483" spans="1:9">
      <c r="A483" s="2"/>
      <c r="B483" s="2"/>
      <c r="C483" s="3"/>
      <c r="D483" s="3"/>
      <c r="E483" s="2"/>
      <c r="F483" s="2"/>
      <c r="G483" s="3"/>
      <c r="H483" s="2"/>
      <c r="I483" s="2"/>
    </row>
    <row r="484" spans="1:9">
      <c r="A484" s="2"/>
      <c r="B484" s="2"/>
      <c r="C484" s="3"/>
      <c r="D484" s="3"/>
      <c r="E484" s="2"/>
      <c r="F484" s="2"/>
      <c r="G484" s="3"/>
      <c r="H484" s="2"/>
      <c r="I484" s="2"/>
    </row>
    <row r="485" spans="1:9">
      <c r="A485" s="2"/>
      <c r="B485" s="2"/>
      <c r="C485" s="3"/>
      <c r="D485" s="3"/>
      <c r="E485" s="2"/>
      <c r="F485" s="2"/>
      <c r="G485" s="3"/>
      <c r="H485" s="2"/>
      <c r="I485" s="2"/>
    </row>
    <row r="486" spans="1:9">
      <c r="A486" s="2"/>
      <c r="B486" s="2"/>
      <c r="C486" s="3"/>
      <c r="D486" s="3"/>
      <c r="E486" s="2"/>
      <c r="F486" s="2"/>
      <c r="G486" s="3"/>
      <c r="H486" s="2"/>
      <c r="I486" s="2"/>
    </row>
    <row r="487" spans="1:9">
      <c r="A487" s="2"/>
      <c r="B487" s="2"/>
      <c r="C487" s="3"/>
      <c r="D487" s="3"/>
      <c r="E487" s="2"/>
      <c r="F487" s="2"/>
      <c r="G487" s="3"/>
      <c r="H487" s="2"/>
      <c r="I487" s="2"/>
    </row>
    <row r="488" spans="1:9">
      <c r="A488" s="2"/>
      <c r="B488" s="2"/>
      <c r="C488" s="3"/>
      <c r="D488" s="3"/>
      <c r="E488" s="2"/>
      <c r="F488" s="2"/>
      <c r="G488" s="3"/>
      <c r="H488" s="2"/>
      <c r="I488" s="2"/>
    </row>
    <row r="489" spans="1:9">
      <c r="A489" s="2"/>
      <c r="B489" s="2"/>
      <c r="C489" s="3"/>
      <c r="D489" s="3"/>
      <c r="E489" s="2"/>
      <c r="F489" s="2"/>
      <c r="G489" s="3"/>
      <c r="H489" s="2"/>
      <c r="I489" s="2"/>
    </row>
    <row r="490" spans="1:9">
      <c r="A490" s="2"/>
      <c r="B490" s="2"/>
      <c r="C490" s="3"/>
      <c r="D490" s="3"/>
      <c r="E490" s="2"/>
      <c r="F490" s="2"/>
      <c r="G490" s="3"/>
      <c r="H490" s="2"/>
      <c r="I490" s="2"/>
    </row>
    <row r="491" spans="1:9">
      <c r="A491" s="2"/>
      <c r="B491" s="2"/>
      <c r="C491" s="3"/>
      <c r="D491" s="3"/>
      <c r="E491" s="2"/>
      <c r="F491" s="2"/>
      <c r="G491" s="3"/>
      <c r="H491" s="2"/>
      <c r="I491" s="2"/>
    </row>
    <row r="492" spans="1:9">
      <c r="A492" s="2"/>
      <c r="B492" s="2"/>
      <c r="C492" s="3"/>
      <c r="D492" s="3"/>
      <c r="E492" s="2"/>
      <c r="F492" s="2"/>
      <c r="G492" s="3"/>
      <c r="H492" s="2"/>
      <c r="I492" s="2"/>
    </row>
    <row r="493" spans="1:9">
      <c r="A493" s="2"/>
      <c r="B493" s="2"/>
      <c r="C493" s="3"/>
      <c r="D493" s="3"/>
      <c r="E493" s="2"/>
      <c r="F493" s="2"/>
      <c r="G493" s="3"/>
      <c r="H493" s="2"/>
      <c r="I493" s="2"/>
    </row>
    <row r="494" spans="1:9">
      <c r="A494" s="2"/>
      <c r="B494" s="2"/>
      <c r="C494" s="3"/>
      <c r="D494" s="3"/>
      <c r="E494" s="2"/>
      <c r="F494" s="2"/>
      <c r="G494" s="3"/>
      <c r="H494" s="2"/>
      <c r="I494" s="2"/>
    </row>
    <row r="495" spans="1:9">
      <c r="A495" s="2"/>
      <c r="B495" s="2"/>
      <c r="C495" s="3"/>
      <c r="D495" s="3"/>
      <c r="E495" s="2"/>
      <c r="F495" s="2"/>
      <c r="G495" s="3"/>
      <c r="H495" s="2"/>
      <c r="I495" s="2"/>
    </row>
    <row r="496" spans="1:9">
      <c r="A496" s="2"/>
      <c r="B496" s="2"/>
      <c r="C496" s="3"/>
      <c r="D496" s="3"/>
      <c r="E496" s="2"/>
      <c r="F496" s="2"/>
      <c r="G496" s="3"/>
      <c r="H496" s="2"/>
      <c r="I496" s="2"/>
    </row>
    <row r="497" spans="1:9">
      <c r="A497" s="2"/>
      <c r="B497" s="2"/>
      <c r="C497" s="3"/>
      <c r="D497" s="3"/>
      <c r="E497" s="2"/>
      <c r="F497" s="2"/>
      <c r="G497" s="3"/>
      <c r="H497" s="2"/>
      <c r="I497" s="2"/>
    </row>
    <row r="498" spans="1:9">
      <c r="A498" s="2"/>
      <c r="B498" s="2"/>
      <c r="C498" s="3"/>
      <c r="D498" s="3"/>
      <c r="E498" s="2"/>
      <c r="F498" s="2"/>
      <c r="G498" s="3"/>
      <c r="H498" s="2"/>
      <c r="I498" s="2"/>
    </row>
    <row r="499" spans="1:9">
      <c r="A499" s="2"/>
      <c r="B499" s="2"/>
      <c r="C499" s="3"/>
      <c r="D499" s="3"/>
      <c r="E499" s="2"/>
      <c r="F499" s="2"/>
      <c r="G499" s="3"/>
      <c r="H499" s="2"/>
      <c r="I499" s="2"/>
    </row>
    <row r="500" spans="1:9">
      <c r="A500" s="2"/>
      <c r="B500" s="2"/>
      <c r="C500" s="3"/>
      <c r="D500" s="3"/>
      <c r="E500" s="2"/>
      <c r="F500" s="2"/>
      <c r="G500" s="3"/>
      <c r="H500" s="2"/>
      <c r="I500" s="2"/>
    </row>
    <row r="501" spans="1:9">
      <c r="A501" s="2"/>
      <c r="B501" s="2"/>
      <c r="C501" s="3"/>
      <c r="D501" s="3"/>
      <c r="E501" s="2"/>
      <c r="F501" s="2"/>
      <c r="G501" s="3"/>
      <c r="H501" s="2"/>
      <c r="I501" s="2"/>
    </row>
    <row r="502" spans="1:9">
      <c r="A502" s="2"/>
      <c r="B502" s="2"/>
      <c r="C502" s="3"/>
      <c r="D502" s="3"/>
      <c r="E502" s="2"/>
      <c r="F502" s="2"/>
      <c r="G502" s="3"/>
      <c r="H502" s="2"/>
      <c r="I502" s="2"/>
    </row>
    <row r="503" spans="1:9">
      <c r="A503" s="2"/>
      <c r="B503" s="2"/>
      <c r="C503" s="3"/>
      <c r="D503" s="3"/>
      <c r="E503" s="2"/>
      <c r="F503" s="2"/>
      <c r="G503" s="3"/>
      <c r="H503" s="2"/>
      <c r="I503" s="2"/>
    </row>
    <row r="504" spans="1:9">
      <c r="A504" s="2"/>
      <c r="B504" s="2"/>
      <c r="C504" s="3"/>
      <c r="D504" s="3"/>
      <c r="E504" s="2"/>
      <c r="F504" s="2"/>
      <c r="G504" s="3"/>
      <c r="H504" s="2"/>
      <c r="I504" s="2"/>
    </row>
    <row r="505" spans="1:9">
      <c r="A505" s="2"/>
      <c r="B505" s="2"/>
      <c r="C505" s="3"/>
      <c r="D505" s="3"/>
      <c r="E505" s="2"/>
      <c r="F505" s="2"/>
      <c r="G505" s="3"/>
      <c r="H505" s="2"/>
      <c r="I505" s="2"/>
    </row>
    <row r="506" spans="1:9">
      <c r="A506" s="2"/>
      <c r="B506" s="2"/>
      <c r="C506" s="3"/>
      <c r="D506" s="3"/>
      <c r="E506" s="2"/>
      <c r="F506" s="2"/>
      <c r="G506" s="3"/>
      <c r="H506" s="2"/>
      <c r="I506" s="2"/>
    </row>
    <row r="507" spans="1:9">
      <c r="A507" s="2"/>
      <c r="B507" s="2"/>
      <c r="C507" s="3"/>
      <c r="D507" s="3"/>
      <c r="E507" s="2"/>
      <c r="F507" s="2"/>
      <c r="G507" s="3"/>
      <c r="H507" s="2"/>
      <c r="I507" s="2"/>
    </row>
    <row r="508" spans="1:9">
      <c r="A508" s="2"/>
      <c r="B508" s="2"/>
      <c r="C508" s="3"/>
      <c r="D508" s="3"/>
      <c r="E508" s="2"/>
      <c r="F508" s="2"/>
      <c r="G508" s="3"/>
      <c r="H508" s="2"/>
      <c r="I508" s="2"/>
    </row>
    <row r="509" spans="1:9">
      <c r="A509" s="2"/>
      <c r="B509" s="2"/>
      <c r="C509" s="3"/>
      <c r="D509" s="3"/>
      <c r="E509" s="2"/>
      <c r="F509" s="2"/>
      <c r="G509" s="3"/>
      <c r="H509" s="2"/>
      <c r="I509" s="2"/>
    </row>
    <row r="510" spans="1:9">
      <c r="A510" s="2"/>
      <c r="B510" s="2"/>
      <c r="C510" s="3"/>
      <c r="D510" s="3"/>
      <c r="E510" s="2"/>
      <c r="F510" s="2"/>
      <c r="G510" s="3"/>
      <c r="H510" s="2"/>
      <c r="I510" s="2"/>
    </row>
    <row r="511" spans="1:9">
      <c r="A511" s="2"/>
      <c r="B511" s="2"/>
      <c r="C511" s="3"/>
      <c r="D511" s="3"/>
      <c r="E511" s="2"/>
      <c r="F511" s="2"/>
      <c r="G511" s="3"/>
      <c r="H511" s="2"/>
      <c r="I511" s="2"/>
    </row>
    <row r="512" spans="1:9">
      <c r="A512" s="2"/>
      <c r="B512" s="2"/>
      <c r="C512" s="3"/>
      <c r="D512" s="3"/>
      <c r="E512" s="2"/>
      <c r="F512" s="2"/>
      <c r="G512" s="3"/>
      <c r="H512" s="2"/>
      <c r="I512" s="2"/>
    </row>
    <row r="513" spans="1:9">
      <c r="A513" s="2"/>
      <c r="B513" s="2"/>
      <c r="C513" s="3"/>
      <c r="D513" s="3"/>
      <c r="E513" s="2"/>
      <c r="F513" s="2"/>
      <c r="G513" s="3"/>
      <c r="H513" s="2"/>
      <c r="I513" s="2"/>
    </row>
    <row r="514" spans="1:9">
      <c r="A514" s="2"/>
      <c r="B514" s="2"/>
      <c r="C514" s="3"/>
      <c r="D514" s="3"/>
      <c r="E514" s="2"/>
      <c r="F514" s="2"/>
      <c r="G514" s="3"/>
      <c r="H514" s="2"/>
      <c r="I514" s="2"/>
    </row>
    <row r="515" spans="1:9">
      <c r="A515" s="2"/>
      <c r="B515" s="2"/>
      <c r="C515" s="3"/>
      <c r="D515" s="3"/>
      <c r="E515" s="2"/>
      <c r="F515" s="2"/>
      <c r="G515" s="3"/>
      <c r="H515" s="2"/>
      <c r="I515" s="2"/>
    </row>
    <row r="516" spans="1:9">
      <c r="A516" s="2"/>
      <c r="B516" s="2"/>
      <c r="C516" s="3"/>
      <c r="D516" s="3"/>
      <c r="E516" s="2"/>
      <c r="F516" s="2"/>
      <c r="G516" s="3"/>
      <c r="H516" s="2"/>
      <c r="I516" s="2"/>
    </row>
    <row r="517" spans="1:9">
      <c r="A517" s="2"/>
      <c r="B517" s="2"/>
      <c r="C517" s="3"/>
      <c r="D517" s="3"/>
      <c r="E517" s="2"/>
      <c r="F517" s="2"/>
      <c r="G517" s="3"/>
      <c r="H517" s="2"/>
      <c r="I517" s="2"/>
    </row>
    <row r="518" spans="1:9">
      <c r="A518" s="2"/>
      <c r="B518" s="2"/>
      <c r="C518" s="3"/>
      <c r="D518" s="3"/>
      <c r="E518" s="2"/>
      <c r="F518" s="2"/>
      <c r="G518" s="3"/>
      <c r="H518" s="2"/>
      <c r="I518" s="2"/>
    </row>
    <row r="519" spans="1:9">
      <c r="A519" s="2"/>
      <c r="B519" s="2"/>
      <c r="C519" s="3"/>
      <c r="D519" s="3"/>
      <c r="E519" s="2"/>
      <c r="F519" s="2"/>
      <c r="G519" s="3"/>
      <c r="H519" s="2"/>
      <c r="I519" s="2"/>
    </row>
    <row r="520" spans="1:9">
      <c r="A520" s="2"/>
      <c r="B520" s="2"/>
      <c r="C520" s="3"/>
      <c r="D520" s="3"/>
      <c r="E520" s="2"/>
      <c r="F520" s="2"/>
      <c r="G520" s="3"/>
      <c r="H520" s="2"/>
      <c r="I520" s="2"/>
    </row>
    <row r="521" spans="1:9">
      <c r="A521" s="2"/>
      <c r="B521" s="2"/>
      <c r="C521" s="3"/>
      <c r="D521" s="3"/>
      <c r="E521" s="2"/>
      <c r="F521" s="2"/>
      <c r="G521" s="3"/>
      <c r="H521" s="2"/>
      <c r="I521" s="2"/>
    </row>
    <row r="522" spans="1:9">
      <c r="A522" s="2"/>
      <c r="B522" s="2"/>
      <c r="C522" s="3"/>
      <c r="D522" s="3"/>
      <c r="E522" s="2"/>
      <c r="F522" s="2"/>
      <c r="G522" s="3"/>
      <c r="H522" s="2"/>
      <c r="I522" s="2"/>
    </row>
    <row r="523" spans="1:9">
      <c r="A523" s="2"/>
      <c r="B523" s="2"/>
      <c r="C523" s="3"/>
      <c r="D523" s="3"/>
      <c r="E523" s="2"/>
      <c r="F523" s="2"/>
      <c r="G523" s="3"/>
      <c r="H523" s="2"/>
      <c r="I523" s="2"/>
    </row>
    <row r="524" spans="1:9">
      <c r="A524" s="2"/>
      <c r="B524" s="2"/>
      <c r="C524" s="3"/>
      <c r="D524" s="3"/>
      <c r="E524" s="2"/>
      <c r="F524" s="2"/>
      <c r="G524" s="3"/>
      <c r="H524" s="2"/>
      <c r="I524" s="2"/>
    </row>
    <row r="525" spans="1:9">
      <c r="A525" s="2"/>
      <c r="B525" s="2"/>
      <c r="C525" s="3"/>
      <c r="D525" s="3"/>
      <c r="E525" s="2"/>
      <c r="F525" s="2"/>
      <c r="G525" s="3"/>
      <c r="H525" s="2"/>
      <c r="I525" s="2"/>
    </row>
    <row r="526" spans="1:9">
      <c r="A526" s="2"/>
      <c r="B526" s="2"/>
      <c r="C526" s="3"/>
      <c r="D526" s="3"/>
      <c r="E526" s="2"/>
      <c r="F526" s="2"/>
      <c r="G526" s="3"/>
      <c r="H526" s="2"/>
      <c r="I526" s="2"/>
    </row>
    <row r="527" spans="1:9">
      <c r="A527" s="2"/>
      <c r="B527" s="2"/>
      <c r="C527" s="3"/>
      <c r="D527" s="3"/>
      <c r="E527" s="2"/>
      <c r="F527" s="2"/>
      <c r="G527" s="3"/>
      <c r="H527" s="2"/>
      <c r="I527" s="2"/>
    </row>
    <row r="528" spans="1:9">
      <c r="A528" s="2"/>
      <c r="B528" s="2"/>
      <c r="C528" s="3"/>
      <c r="D528" s="3"/>
      <c r="E528" s="2"/>
      <c r="F528" s="2"/>
      <c r="G528" s="3"/>
      <c r="H528" s="2"/>
      <c r="I528" s="2"/>
    </row>
    <row r="529" spans="1:9">
      <c r="A529" s="2"/>
      <c r="B529" s="2"/>
      <c r="C529" s="3"/>
      <c r="D529" s="3"/>
      <c r="E529" s="2"/>
      <c r="F529" s="2"/>
      <c r="G529" s="3"/>
      <c r="H529" s="2"/>
      <c r="I529" s="2"/>
    </row>
    <row r="530" spans="1:9">
      <c r="A530" s="2"/>
      <c r="B530" s="2"/>
      <c r="C530" s="3"/>
      <c r="D530" s="3"/>
      <c r="E530" s="2"/>
      <c r="F530" s="2"/>
      <c r="G530" s="3"/>
      <c r="H530" s="2"/>
      <c r="I530" s="2"/>
    </row>
    <row r="531" spans="1:9">
      <c r="A531" s="2"/>
      <c r="B531" s="2"/>
      <c r="C531" s="3"/>
      <c r="D531" s="3"/>
      <c r="E531" s="2"/>
      <c r="F531" s="2"/>
      <c r="G531" s="3"/>
      <c r="H531" s="2"/>
      <c r="I531" s="2"/>
    </row>
    <row r="532" spans="1:9">
      <c r="A532" s="2"/>
      <c r="B532" s="2"/>
      <c r="C532" s="3"/>
      <c r="D532" s="3"/>
      <c r="E532" s="2"/>
      <c r="F532" s="2"/>
      <c r="G532" s="3"/>
      <c r="H532" s="2"/>
      <c r="I532" s="2"/>
    </row>
    <row r="533" spans="1:9">
      <c r="A533" s="2"/>
      <c r="B533" s="2"/>
      <c r="C533" s="3"/>
      <c r="D533" s="3"/>
      <c r="E533" s="2"/>
      <c r="F533" s="2"/>
      <c r="G533" s="3"/>
      <c r="H533" s="2"/>
      <c r="I533" s="2"/>
    </row>
    <row r="534" spans="1:9">
      <c r="A534" s="2"/>
      <c r="B534" s="2"/>
      <c r="C534" s="3"/>
      <c r="D534" s="3"/>
      <c r="E534" s="2"/>
      <c r="F534" s="2"/>
      <c r="G534" s="3"/>
      <c r="H534" s="2"/>
      <c r="I534" s="2"/>
    </row>
    <row r="535" spans="1:9">
      <c r="A535" s="2"/>
      <c r="B535" s="2"/>
      <c r="C535" s="3"/>
      <c r="D535" s="3"/>
      <c r="E535" s="2"/>
      <c r="F535" s="2"/>
      <c r="G535" s="3"/>
      <c r="H535" s="2"/>
      <c r="I535" s="2"/>
    </row>
    <row r="536" spans="1:9">
      <c r="A536" s="2"/>
      <c r="B536" s="2"/>
      <c r="C536" s="3"/>
      <c r="D536" s="3"/>
      <c r="E536" s="2"/>
      <c r="F536" s="2"/>
      <c r="G536" s="3"/>
      <c r="H536" s="2"/>
      <c r="I536" s="2"/>
    </row>
    <row r="537" spans="1:9">
      <c r="A537" s="2"/>
      <c r="B537" s="2"/>
      <c r="C537" s="3"/>
      <c r="D537" s="3"/>
      <c r="E537" s="2"/>
      <c r="F537" s="2"/>
      <c r="G537" s="3"/>
      <c r="H537" s="2"/>
      <c r="I537" s="2"/>
    </row>
    <row r="538" spans="1:9">
      <c r="A538" s="2"/>
      <c r="B538" s="2"/>
      <c r="C538" s="3"/>
      <c r="D538" s="3"/>
      <c r="E538" s="2"/>
      <c r="F538" s="2"/>
      <c r="G538" s="3"/>
      <c r="H538" s="2"/>
      <c r="I538" s="2"/>
    </row>
    <row r="539" spans="1:9">
      <c r="A539" s="2"/>
      <c r="B539" s="2"/>
      <c r="C539" s="3"/>
      <c r="D539" s="3"/>
      <c r="E539" s="2"/>
      <c r="F539" s="2"/>
      <c r="G539" s="3"/>
      <c r="H539" s="2"/>
      <c r="I539" s="2"/>
    </row>
    <row r="540" spans="1:9">
      <c r="A540" s="2"/>
      <c r="B540" s="2"/>
      <c r="C540" s="3"/>
      <c r="D540" s="3"/>
      <c r="E540" s="2"/>
      <c r="F540" s="2"/>
      <c r="G540" s="3"/>
      <c r="H540" s="2"/>
      <c r="I540" s="2"/>
    </row>
    <row r="541" spans="1:9">
      <c r="A541" s="2"/>
      <c r="B541" s="2"/>
      <c r="C541" s="3"/>
      <c r="D541" s="3"/>
      <c r="E541" s="2"/>
      <c r="F541" s="2"/>
      <c r="G541" s="3"/>
      <c r="H541" s="2"/>
      <c r="I541" s="2"/>
    </row>
    <row r="542" spans="1:9">
      <c r="A542" s="2"/>
      <c r="B542" s="2"/>
      <c r="C542" s="3"/>
      <c r="D542" s="3"/>
      <c r="E542" s="2"/>
      <c r="F542" s="2"/>
      <c r="G542" s="3"/>
      <c r="H542" s="2"/>
      <c r="I542" s="2"/>
    </row>
    <row r="543" spans="1:9">
      <c r="A543" s="2"/>
      <c r="B543" s="2"/>
      <c r="C543" s="3"/>
      <c r="D543" s="3"/>
      <c r="E543" s="2"/>
      <c r="F543" s="2"/>
      <c r="G543" s="3"/>
      <c r="H543" s="2"/>
      <c r="I543" s="2"/>
    </row>
    <row r="544" spans="1:9">
      <c r="A544" s="2"/>
      <c r="B544" s="2"/>
      <c r="C544" s="3"/>
      <c r="D544" s="3"/>
      <c r="E544" s="2"/>
      <c r="F544" s="2"/>
      <c r="G544" s="3"/>
      <c r="H544" s="2"/>
      <c r="I544" s="2"/>
    </row>
    <row r="545" spans="1:9">
      <c r="A545" s="2"/>
      <c r="B545" s="2"/>
      <c r="C545" s="3"/>
      <c r="D545" s="3"/>
      <c r="E545" s="2"/>
      <c r="F545" s="2"/>
      <c r="G545" s="3"/>
      <c r="H545" s="2"/>
      <c r="I545" s="2"/>
    </row>
    <row r="546" spans="1:9">
      <c r="A546" s="2"/>
      <c r="B546" s="2"/>
      <c r="C546" s="3"/>
      <c r="D546" s="3"/>
      <c r="E546" s="2"/>
      <c r="F546" s="2"/>
      <c r="G546" s="3"/>
      <c r="H546" s="2"/>
      <c r="I546" s="2"/>
    </row>
    <row r="547" spans="1:9">
      <c r="A547" s="2"/>
      <c r="B547" s="2"/>
      <c r="C547" s="3"/>
      <c r="D547" s="3"/>
      <c r="E547" s="2"/>
      <c r="F547" s="2"/>
      <c r="G547" s="3"/>
      <c r="H547" s="2"/>
      <c r="I547" s="2"/>
    </row>
    <row r="548" spans="1:9">
      <c r="A548" s="2"/>
      <c r="B548" s="2"/>
      <c r="C548" s="3"/>
      <c r="D548" s="3"/>
      <c r="E548" s="2"/>
      <c r="F548" s="2"/>
      <c r="G548" s="3"/>
      <c r="H548" s="2"/>
      <c r="I548" s="2"/>
    </row>
    <row r="549" spans="1:9">
      <c r="A549" s="2"/>
      <c r="B549" s="2"/>
      <c r="C549" s="3"/>
      <c r="D549" s="3"/>
      <c r="E549" s="2"/>
      <c r="F549" s="2"/>
      <c r="G549" s="3"/>
      <c r="H549" s="2"/>
      <c r="I549" s="2"/>
    </row>
    <row r="550" spans="1:9">
      <c r="A550" s="2"/>
      <c r="B550" s="2"/>
      <c r="C550" s="3"/>
      <c r="D550" s="3"/>
      <c r="E550" s="2"/>
      <c r="F550" s="2"/>
      <c r="G550" s="3"/>
      <c r="H550" s="2"/>
      <c r="I550" s="2"/>
    </row>
    <row r="551" spans="1:9">
      <c r="A551" s="2"/>
      <c r="B551" s="2"/>
      <c r="C551" s="3"/>
      <c r="D551" s="3"/>
      <c r="E551" s="2"/>
      <c r="F551" s="2"/>
      <c r="G551" s="3"/>
      <c r="H551" s="2"/>
      <c r="I551" s="2"/>
    </row>
    <row r="552" spans="1:9">
      <c r="A552" s="2"/>
      <c r="B552" s="2"/>
      <c r="C552" s="3"/>
      <c r="D552" s="3"/>
      <c r="E552" s="2"/>
      <c r="F552" s="2"/>
      <c r="G552" s="3"/>
      <c r="H552" s="2"/>
      <c r="I552" s="2"/>
    </row>
    <row r="553" spans="1:9">
      <c r="A553" s="2"/>
      <c r="B553" s="2"/>
      <c r="C553" s="3"/>
      <c r="D553" s="3"/>
      <c r="E553" s="2"/>
      <c r="F553" s="2"/>
      <c r="G553" s="3"/>
      <c r="H553" s="2"/>
      <c r="I553" s="2"/>
    </row>
    <row r="554" spans="1:9">
      <c r="A554" s="2"/>
      <c r="B554" s="2"/>
      <c r="C554" s="3"/>
      <c r="D554" s="3"/>
      <c r="E554" s="2"/>
      <c r="F554" s="2"/>
      <c r="G554" s="3"/>
      <c r="H554" s="2"/>
      <c r="I554" s="2"/>
    </row>
    <row r="555" spans="1:9">
      <c r="A555" s="2"/>
      <c r="B555" s="2"/>
      <c r="C555" s="3"/>
      <c r="D555" s="3"/>
      <c r="E555" s="2"/>
      <c r="F555" s="2"/>
      <c r="G555" s="3"/>
      <c r="H555" s="2"/>
      <c r="I555" s="2"/>
    </row>
    <row r="556" spans="1:9">
      <c r="A556" s="2"/>
      <c r="B556" s="2"/>
      <c r="C556" s="3"/>
      <c r="D556" s="3"/>
      <c r="E556" s="2"/>
      <c r="F556" s="2"/>
      <c r="G556" s="3"/>
      <c r="H556" s="2"/>
      <c r="I556" s="2"/>
    </row>
    <row r="557" spans="1:9">
      <c r="A557" s="2"/>
      <c r="B557" s="2"/>
      <c r="C557" s="3"/>
      <c r="D557" s="3"/>
      <c r="E557" s="2"/>
      <c r="F557" s="2"/>
      <c r="G557" s="3"/>
      <c r="H557" s="2"/>
      <c r="I557" s="2"/>
    </row>
    <row r="558" spans="1:9">
      <c r="A558" s="2"/>
      <c r="B558" s="2"/>
      <c r="C558" s="3"/>
      <c r="D558" s="3"/>
      <c r="E558" s="2"/>
      <c r="F558" s="2"/>
      <c r="G558" s="3"/>
      <c r="H558" s="2"/>
      <c r="I558" s="2"/>
    </row>
    <row r="559" spans="1:9">
      <c r="A559" s="2"/>
      <c r="B559" s="2"/>
      <c r="C559" s="3"/>
      <c r="D559" s="3"/>
      <c r="E559" s="2"/>
      <c r="F559" s="2"/>
      <c r="G559" s="3"/>
      <c r="H559" s="2"/>
      <c r="I559" s="2"/>
    </row>
    <row r="560" spans="1:9">
      <c r="A560" s="2"/>
      <c r="B560" s="2"/>
      <c r="C560" s="3"/>
      <c r="D560" s="3"/>
      <c r="E560" s="2"/>
      <c r="F560" s="2"/>
      <c r="G560" s="3"/>
      <c r="H560" s="2"/>
      <c r="I560" s="2"/>
    </row>
    <row r="561" spans="1:9">
      <c r="A561" s="2"/>
      <c r="B561" s="2"/>
      <c r="C561" s="3"/>
      <c r="D561" s="3"/>
      <c r="E561" s="2"/>
      <c r="F561" s="2"/>
      <c r="G561" s="3"/>
      <c r="H561" s="2"/>
      <c r="I561" s="2"/>
    </row>
    <row r="562" spans="1:9">
      <c r="A562" s="2"/>
      <c r="B562" s="2"/>
      <c r="C562" s="3"/>
      <c r="D562" s="3"/>
      <c r="E562" s="2"/>
      <c r="F562" s="2"/>
      <c r="G562" s="3"/>
      <c r="H562" s="2"/>
      <c r="I562" s="2"/>
    </row>
    <row r="563" spans="1:9">
      <c r="A563" s="2"/>
      <c r="B563" s="2"/>
      <c r="C563" s="3"/>
      <c r="D563" s="3"/>
      <c r="E563" s="2"/>
      <c r="F563" s="2"/>
      <c r="G563" s="3"/>
      <c r="H563" s="2"/>
      <c r="I563" s="2"/>
    </row>
    <row r="564" spans="1:9">
      <c r="A564" s="2"/>
      <c r="B564" s="2"/>
      <c r="C564" s="3"/>
      <c r="D564" s="3"/>
      <c r="E564" s="2"/>
      <c r="F564" s="2"/>
      <c r="G564" s="3"/>
      <c r="H564" s="2"/>
      <c r="I564" s="2"/>
    </row>
    <row r="565" spans="1:9">
      <c r="A565" s="2"/>
      <c r="B565" s="2"/>
      <c r="C565" s="3"/>
      <c r="D565" s="3"/>
      <c r="E565" s="2"/>
      <c r="F565" s="2"/>
      <c r="G565" s="3"/>
      <c r="H565" s="2"/>
      <c r="I565" s="2"/>
    </row>
    <row r="566" spans="1:9">
      <c r="A566" s="2"/>
      <c r="B566" s="2"/>
      <c r="C566" s="3"/>
      <c r="D566" s="3"/>
      <c r="E566" s="2"/>
      <c r="F566" s="2"/>
      <c r="G566" s="3"/>
      <c r="H566" s="2"/>
      <c r="I566" s="2"/>
    </row>
    <row r="567" spans="1:9">
      <c r="A567" s="2"/>
      <c r="B567" s="2"/>
      <c r="C567" s="3"/>
      <c r="D567" s="3"/>
      <c r="E567" s="2"/>
      <c r="F567" s="2"/>
      <c r="G567" s="3"/>
      <c r="H567" s="2"/>
      <c r="I567" s="2"/>
    </row>
    <row r="568" spans="1:9">
      <c r="A568" s="2"/>
      <c r="B568" s="2"/>
      <c r="C568" s="3"/>
      <c r="D568" s="3"/>
      <c r="E568" s="2"/>
      <c r="F568" s="2"/>
      <c r="G568" s="3"/>
      <c r="H568" s="2"/>
      <c r="I568" s="2"/>
    </row>
    <row r="569" spans="1:9">
      <c r="A569" s="2"/>
      <c r="B569" s="2"/>
      <c r="C569" s="3"/>
      <c r="D569" s="3"/>
      <c r="E569" s="2"/>
      <c r="F569" s="2"/>
      <c r="G569" s="3"/>
      <c r="H569" s="2"/>
      <c r="I569" s="2"/>
    </row>
    <row r="570" spans="1:9">
      <c r="A570" s="2"/>
      <c r="B570" s="2"/>
      <c r="C570" s="3"/>
      <c r="D570" s="3"/>
      <c r="E570" s="2"/>
      <c r="F570" s="2"/>
      <c r="G570" s="3"/>
      <c r="H570" s="2"/>
      <c r="I570" s="2"/>
    </row>
    <row r="571" spans="1:9">
      <c r="A571" s="2"/>
      <c r="B571" s="2"/>
      <c r="C571" s="3"/>
      <c r="D571" s="3"/>
      <c r="E571" s="2"/>
      <c r="F571" s="2"/>
      <c r="G571" s="3"/>
      <c r="H571" s="2"/>
      <c r="I571" s="2"/>
    </row>
    <row r="572" spans="1:9">
      <c r="A572" s="2"/>
      <c r="B572" s="2"/>
      <c r="C572" s="3"/>
      <c r="D572" s="3"/>
      <c r="E572" s="2"/>
      <c r="F572" s="2"/>
      <c r="G572" s="3"/>
      <c r="H572" s="2"/>
      <c r="I572" s="2"/>
    </row>
    <row r="573" spans="1:9">
      <c r="A573" s="2"/>
      <c r="B573" s="2"/>
      <c r="C573" s="3"/>
      <c r="D573" s="3"/>
      <c r="E573" s="2"/>
      <c r="F573" s="2"/>
      <c r="G573" s="3"/>
      <c r="H573" s="2"/>
      <c r="I573" s="2"/>
    </row>
    <row r="574" spans="1:9">
      <c r="A574" s="2"/>
      <c r="B574" s="2"/>
      <c r="C574" s="3"/>
      <c r="D574" s="3"/>
      <c r="E574" s="2"/>
      <c r="F574" s="2"/>
      <c r="G574" s="3"/>
      <c r="H574" s="2"/>
      <c r="I574" s="2"/>
    </row>
    <row r="575" spans="1:9">
      <c r="A575" s="2"/>
      <c r="B575" s="2"/>
      <c r="C575" s="3"/>
      <c r="D575" s="3"/>
      <c r="E575" s="2"/>
      <c r="F575" s="2"/>
      <c r="G575" s="3"/>
      <c r="H575" s="2"/>
      <c r="I575" s="2"/>
    </row>
    <row r="576" spans="1:9">
      <c r="A576" s="2"/>
      <c r="B576" s="2"/>
      <c r="C576" s="3"/>
      <c r="D576" s="3"/>
      <c r="E576" s="2"/>
      <c r="F576" s="2"/>
      <c r="G576" s="3"/>
      <c r="H576" s="2"/>
      <c r="I576" s="2"/>
    </row>
    <row r="577" spans="1:9">
      <c r="A577" s="2"/>
      <c r="B577" s="2"/>
      <c r="C577" s="3"/>
      <c r="D577" s="3"/>
      <c r="E577" s="2"/>
      <c r="F577" s="2"/>
      <c r="G577" s="3"/>
      <c r="H577" s="2"/>
      <c r="I577" s="2"/>
    </row>
    <row r="578" spans="1:9">
      <c r="A578" s="2"/>
      <c r="B578" s="2"/>
      <c r="C578" s="3"/>
      <c r="D578" s="3"/>
      <c r="E578" s="2"/>
      <c r="F578" s="2"/>
      <c r="G578" s="3"/>
      <c r="H578" s="2"/>
      <c r="I578" s="2"/>
    </row>
    <row r="579" spans="1:9">
      <c r="A579" s="2"/>
      <c r="B579" s="2"/>
      <c r="C579" s="3"/>
      <c r="D579" s="3"/>
      <c r="E579" s="2"/>
      <c r="F579" s="2"/>
      <c r="G579" s="3"/>
      <c r="H579" s="2"/>
      <c r="I579" s="2"/>
    </row>
    <row r="580" spans="1:9">
      <c r="A580" s="2"/>
      <c r="B580" s="2"/>
      <c r="C580" s="3"/>
      <c r="D580" s="3"/>
      <c r="E580" s="2"/>
      <c r="F580" s="2"/>
      <c r="G580" s="3"/>
      <c r="H580" s="2"/>
      <c r="I580" s="2"/>
    </row>
    <row r="581" spans="1:9">
      <c r="A581" s="2"/>
      <c r="B581" s="2"/>
      <c r="C581" s="3"/>
      <c r="D581" s="3"/>
      <c r="E581" s="2"/>
      <c r="F581" s="2"/>
      <c r="G581" s="3"/>
      <c r="H581" s="2"/>
      <c r="I581" s="2"/>
    </row>
    <row r="582" spans="1:9">
      <c r="A582" s="2"/>
      <c r="B582" s="2"/>
      <c r="C582" s="3"/>
      <c r="D582" s="3"/>
      <c r="E582" s="2"/>
      <c r="F582" s="2"/>
      <c r="G582" s="3"/>
      <c r="H582" s="2"/>
      <c r="I582" s="2"/>
    </row>
    <row r="583" spans="1:9">
      <c r="A583" s="2"/>
      <c r="B583" s="2"/>
      <c r="C583" s="3"/>
      <c r="D583" s="3"/>
      <c r="E583" s="2"/>
      <c r="F583" s="2"/>
      <c r="G583" s="3"/>
      <c r="H583" s="2"/>
      <c r="I583" s="2"/>
    </row>
    <row r="584" spans="1:9">
      <c r="A584" s="2"/>
      <c r="B584" s="2"/>
      <c r="C584" s="3"/>
      <c r="D584" s="3"/>
      <c r="E584" s="2"/>
      <c r="F584" s="2"/>
      <c r="G584" s="3"/>
      <c r="H584" s="2"/>
      <c r="I584" s="2"/>
    </row>
    <row r="585" spans="1:9">
      <c r="A585" s="2"/>
      <c r="B585" s="2"/>
      <c r="C585" s="3"/>
      <c r="D585" s="3"/>
      <c r="E585" s="2"/>
      <c r="F585" s="2"/>
      <c r="G585" s="3"/>
      <c r="H585" s="2"/>
      <c r="I585" s="2"/>
    </row>
    <row r="586" spans="1:9">
      <c r="A586" s="2"/>
      <c r="B586" s="2"/>
      <c r="C586" s="3"/>
      <c r="D586" s="3"/>
      <c r="E586" s="2"/>
      <c r="F586" s="2"/>
      <c r="G586" s="3"/>
      <c r="H586" s="2"/>
      <c r="I586" s="2"/>
    </row>
    <row r="587" spans="1:9">
      <c r="A587" s="2"/>
      <c r="B587" s="2"/>
      <c r="C587" s="3"/>
      <c r="D587" s="3"/>
      <c r="E587" s="2"/>
      <c r="F587" s="2"/>
      <c r="G587" s="3"/>
      <c r="H587" s="2"/>
      <c r="I587" s="2"/>
    </row>
    <row r="588" spans="1:9">
      <c r="A588" s="2"/>
      <c r="B588" s="2"/>
      <c r="C588" s="3"/>
      <c r="D588" s="3"/>
      <c r="E588" s="2"/>
      <c r="F588" s="2"/>
      <c r="G588" s="3"/>
      <c r="H588" s="2"/>
      <c r="I588" s="2"/>
    </row>
    <row r="589" spans="1:9">
      <c r="A589" s="2"/>
      <c r="B589" s="2"/>
      <c r="C589" s="3"/>
      <c r="D589" s="3"/>
      <c r="E589" s="2"/>
      <c r="F589" s="2"/>
      <c r="G589" s="3"/>
      <c r="H589" s="2"/>
      <c r="I589" s="2"/>
    </row>
    <row r="590" spans="1:9">
      <c r="A590" s="2"/>
      <c r="B590" s="2"/>
      <c r="C590" s="3"/>
      <c r="D590" s="3"/>
      <c r="E590" s="2"/>
      <c r="F590" s="2"/>
      <c r="G590" s="3"/>
      <c r="H590" s="2"/>
      <c r="I590" s="2"/>
    </row>
    <row r="591" spans="1:9">
      <c r="A591" s="2"/>
      <c r="B591" s="2"/>
      <c r="C591" s="3"/>
      <c r="D591" s="3"/>
      <c r="E591" s="2"/>
      <c r="F591" s="2"/>
      <c r="G591" s="3"/>
      <c r="H591" s="2"/>
      <c r="I591" s="2"/>
    </row>
    <row r="592" spans="1:9">
      <c r="A592" s="2"/>
      <c r="B592" s="2"/>
      <c r="C592" s="3"/>
      <c r="D592" s="3"/>
      <c r="E592" s="2"/>
      <c r="F592" s="2"/>
      <c r="G592" s="3"/>
      <c r="H592" s="2"/>
      <c r="I592" s="2"/>
    </row>
    <row r="593" spans="1:9">
      <c r="A593" s="2"/>
      <c r="B593" s="2"/>
      <c r="C593" s="3"/>
      <c r="D593" s="3"/>
      <c r="E593" s="2"/>
      <c r="F593" s="2"/>
      <c r="G593" s="3"/>
      <c r="H593" s="2"/>
      <c r="I593" s="2"/>
    </row>
    <row r="594" spans="1:9">
      <c r="A594" s="2"/>
      <c r="B594" s="2"/>
      <c r="C594" s="3"/>
      <c r="D594" s="3"/>
      <c r="E594" s="2"/>
      <c r="F594" s="2"/>
      <c r="G594" s="3"/>
      <c r="H594" s="2"/>
      <c r="I594" s="2"/>
    </row>
    <row r="595" spans="1:9">
      <c r="A595" s="2"/>
      <c r="B595" s="2"/>
      <c r="C595" s="3"/>
      <c r="D595" s="3"/>
      <c r="E595" s="2"/>
      <c r="F595" s="2"/>
      <c r="G595" s="3"/>
      <c r="H595" s="2"/>
      <c r="I595" s="2"/>
    </row>
    <row r="596" spans="1:9">
      <c r="A596" s="2"/>
      <c r="B596" s="2"/>
      <c r="C596" s="3"/>
      <c r="D596" s="3"/>
      <c r="E596" s="2"/>
      <c r="F596" s="2"/>
      <c r="G596" s="3"/>
      <c r="H596" s="2"/>
      <c r="I596" s="2"/>
    </row>
    <row r="597" spans="1:9">
      <c r="A597" s="2"/>
      <c r="B597" s="2"/>
      <c r="C597" s="3"/>
      <c r="D597" s="3"/>
      <c r="E597" s="2"/>
      <c r="F597" s="2"/>
      <c r="G597" s="3"/>
      <c r="H597" s="2"/>
      <c r="I597" s="2"/>
    </row>
    <row r="598" spans="1:9">
      <c r="A598" s="2"/>
      <c r="B598" s="2"/>
      <c r="C598" s="3"/>
      <c r="D598" s="3"/>
      <c r="E598" s="2"/>
      <c r="F598" s="2"/>
      <c r="G598" s="3"/>
      <c r="H598" s="2"/>
      <c r="I598" s="2"/>
    </row>
    <row r="599" spans="1:9">
      <c r="A599" s="2"/>
      <c r="B599" s="2"/>
      <c r="C599" s="3"/>
      <c r="D599" s="3"/>
      <c r="E599" s="2"/>
      <c r="F599" s="2"/>
      <c r="G599" s="3"/>
      <c r="H599" s="2"/>
      <c r="I599" s="2"/>
    </row>
    <row r="600" spans="1:9">
      <c r="A600" s="2"/>
      <c r="B600" s="2"/>
      <c r="C600" s="3"/>
      <c r="D600" s="3"/>
      <c r="E600" s="2"/>
      <c r="F600" s="2"/>
      <c r="G600" s="3"/>
      <c r="H600" s="2"/>
      <c r="I600" s="2"/>
    </row>
    <row r="601" spans="1:9">
      <c r="A601" s="2"/>
      <c r="B601" s="2"/>
      <c r="C601" s="3"/>
      <c r="D601" s="3"/>
      <c r="E601" s="2"/>
      <c r="F601" s="2"/>
      <c r="G601" s="3"/>
      <c r="H601" s="2"/>
      <c r="I601" s="2"/>
    </row>
    <row r="602" spans="1:9">
      <c r="A602" s="2"/>
      <c r="B602" s="2"/>
      <c r="C602" s="3"/>
      <c r="D602" s="3"/>
      <c r="E602" s="2"/>
      <c r="F602" s="2"/>
      <c r="G602" s="3"/>
      <c r="H602" s="2"/>
      <c r="I602" s="2"/>
    </row>
    <row r="603" spans="1:9">
      <c r="A603" s="2"/>
      <c r="B603" s="2"/>
      <c r="C603" s="3"/>
      <c r="D603" s="3"/>
      <c r="E603" s="2"/>
      <c r="F603" s="2"/>
      <c r="G603" s="3"/>
      <c r="H603" s="2"/>
      <c r="I603" s="2"/>
    </row>
    <row r="604" spans="1:9">
      <c r="A604" s="2"/>
      <c r="B604" s="2"/>
      <c r="C604" s="3"/>
      <c r="D604" s="3"/>
      <c r="E604" s="2"/>
      <c r="F604" s="2"/>
      <c r="G604" s="3"/>
      <c r="H604" s="2"/>
      <c r="I604" s="2"/>
    </row>
    <row r="605" spans="1:9">
      <c r="A605" s="2"/>
      <c r="B605" s="2"/>
      <c r="C605" s="3"/>
      <c r="D605" s="3"/>
      <c r="E605" s="2"/>
      <c r="F605" s="2"/>
      <c r="G605" s="3"/>
      <c r="H605" s="2"/>
      <c r="I605" s="2"/>
    </row>
    <row r="606" spans="1:9">
      <c r="A606" s="2"/>
      <c r="B606" s="2"/>
      <c r="C606" s="3"/>
      <c r="D606" s="3"/>
      <c r="E606" s="2"/>
      <c r="F606" s="2"/>
      <c r="G606" s="3"/>
      <c r="H606" s="2"/>
      <c r="I606" s="2"/>
    </row>
    <row r="607" spans="1:9">
      <c r="A607" s="2"/>
      <c r="B607" s="2"/>
      <c r="C607" s="3"/>
      <c r="D607" s="3"/>
      <c r="E607" s="2"/>
      <c r="F607" s="2"/>
      <c r="G607" s="3"/>
      <c r="H607" s="2"/>
      <c r="I607" s="2"/>
    </row>
    <row r="608" spans="1:9">
      <c r="A608" s="2"/>
      <c r="B608" s="2"/>
      <c r="C608" s="3"/>
      <c r="D608" s="3"/>
      <c r="E608" s="2"/>
      <c r="F608" s="2"/>
      <c r="G608" s="3"/>
      <c r="H608" s="2"/>
      <c r="I608" s="2"/>
    </row>
    <row r="609" spans="1:9">
      <c r="A609" s="2"/>
      <c r="B609" s="2"/>
      <c r="C609" s="3"/>
      <c r="D609" s="3"/>
      <c r="E609" s="2"/>
      <c r="F609" s="2"/>
      <c r="G609" s="3"/>
      <c r="H609" s="2"/>
      <c r="I609" s="2"/>
    </row>
    <row r="610" spans="1:9">
      <c r="A610" s="2"/>
      <c r="B610" s="2"/>
      <c r="C610" s="3"/>
      <c r="D610" s="3"/>
      <c r="E610" s="2"/>
      <c r="F610" s="2"/>
      <c r="G610" s="3"/>
      <c r="H610" s="2"/>
      <c r="I610" s="2"/>
    </row>
    <row r="611" spans="1:9">
      <c r="A611" s="2"/>
      <c r="B611" s="2"/>
      <c r="C611" s="3"/>
      <c r="D611" s="3"/>
      <c r="E611" s="2"/>
      <c r="F611" s="2"/>
      <c r="G611" s="3"/>
      <c r="H611" s="2"/>
      <c r="I611" s="2"/>
    </row>
    <row r="612" spans="1:9">
      <c r="A612" s="2"/>
      <c r="B612" s="2"/>
      <c r="C612" s="3"/>
      <c r="D612" s="3"/>
      <c r="E612" s="2"/>
      <c r="F612" s="2"/>
      <c r="G612" s="3"/>
      <c r="H612" s="2"/>
      <c r="I612" s="2"/>
    </row>
    <row r="613" spans="1:9">
      <c r="A613" s="2"/>
      <c r="B613" s="2"/>
      <c r="C613" s="3"/>
      <c r="D613" s="3"/>
      <c r="E613" s="2"/>
      <c r="F613" s="2"/>
      <c r="G613" s="3"/>
      <c r="H613" s="2"/>
      <c r="I613" s="2"/>
    </row>
    <row r="614" spans="1:9">
      <c r="A614" s="2"/>
      <c r="B614" s="2"/>
      <c r="C614" s="3"/>
      <c r="D614" s="3"/>
      <c r="E614" s="2"/>
      <c r="F614" s="2"/>
      <c r="G614" s="3"/>
      <c r="H614" s="2"/>
      <c r="I614" s="2"/>
    </row>
    <row r="615" spans="1:9">
      <c r="A615" s="2"/>
      <c r="B615" s="2"/>
      <c r="C615" s="3"/>
      <c r="D615" s="3"/>
      <c r="E615" s="2"/>
      <c r="F615" s="2"/>
      <c r="G615" s="3"/>
      <c r="H615" s="2"/>
      <c r="I615" s="2"/>
    </row>
    <row r="616" spans="1:9">
      <c r="A616" s="2"/>
      <c r="B616" s="2"/>
      <c r="C616" s="3"/>
      <c r="D616" s="3"/>
      <c r="E616" s="2"/>
      <c r="F616" s="2"/>
      <c r="G616" s="3"/>
      <c r="H616" s="2"/>
      <c r="I616" s="2"/>
    </row>
    <row r="617" spans="1:9">
      <c r="A617" s="2"/>
      <c r="B617" s="2"/>
      <c r="C617" s="3"/>
      <c r="D617" s="3"/>
      <c r="E617" s="2"/>
      <c r="F617" s="2"/>
      <c r="G617" s="3"/>
      <c r="H617" s="2"/>
      <c r="I617" s="2"/>
    </row>
    <row r="618" spans="1:9">
      <c r="A618" s="2"/>
      <c r="B618" s="2"/>
      <c r="C618" s="3"/>
      <c r="D618" s="3"/>
      <c r="E618" s="2"/>
      <c r="F618" s="2"/>
      <c r="G618" s="3"/>
      <c r="H618" s="2"/>
      <c r="I618" s="2"/>
    </row>
    <row r="619" spans="1:9">
      <c r="A619" s="2"/>
      <c r="B619" s="2"/>
      <c r="C619" s="3"/>
      <c r="D619" s="3"/>
      <c r="E619" s="2"/>
      <c r="F619" s="2"/>
      <c r="G619" s="3"/>
      <c r="H619" s="2"/>
      <c r="I619" s="2"/>
    </row>
    <row r="620" spans="1:9">
      <c r="A620" s="2"/>
      <c r="B620" s="2"/>
      <c r="C620" s="3"/>
      <c r="D620" s="3"/>
      <c r="E620" s="2"/>
      <c r="F620" s="2"/>
      <c r="G620" s="3"/>
      <c r="H620" s="2"/>
      <c r="I620" s="2"/>
    </row>
    <row r="621" spans="1:9">
      <c r="A621" s="2"/>
      <c r="B621" s="2"/>
      <c r="C621" s="3"/>
      <c r="D621" s="3"/>
      <c r="E621" s="2"/>
      <c r="F621" s="2"/>
      <c r="G621" s="3"/>
      <c r="H621" s="2"/>
      <c r="I621" s="2"/>
    </row>
    <row r="622" spans="1:9">
      <c r="A622" s="2"/>
      <c r="B622" s="2"/>
      <c r="C622" s="3"/>
      <c r="D622" s="3"/>
      <c r="E622" s="2"/>
      <c r="F622" s="2"/>
      <c r="G622" s="3"/>
      <c r="H622" s="2"/>
      <c r="I622" s="2"/>
    </row>
    <row r="623" spans="1:9">
      <c r="A623" s="2"/>
      <c r="B623" s="2"/>
      <c r="C623" s="3"/>
      <c r="D623" s="3"/>
      <c r="E623" s="2"/>
      <c r="F623" s="2"/>
      <c r="G623" s="3"/>
      <c r="H623" s="2"/>
      <c r="I623" s="2"/>
    </row>
    <row r="624" spans="1:9">
      <c r="A624" s="2"/>
      <c r="B624" s="2"/>
      <c r="C624" s="3"/>
      <c r="D624" s="3"/>
      <c r="E624" s="2"/>
      <c r="F624" s="2"/>
      <c r="G624" s="3"/>
      <c r="H624" s="2"/>
      <c r="I624" s="2"/>
    </row>
    <row r="625" spans="1:9">
      <c r="A625" s="2"/>
      <c r="B625" s="2"/>
      <c r="C625" s="3"/>
      <c r="D625" s="3"/>
      <c r="E625" s="2"/>
      <c r="F625" s="2"/>
      <c r="G625" s="3"/>
      <c r="H625" s="2"/>
      <c r="I625" s="2"/>
    </row>
    <row r="626" spans="1:9">
      <c r="A626" s="2"/>
      <c r="B626" s="2"/>
      <c r="C626" s="3"/>
      <c r="D626" s="3"/>
      <c r="E626" s="2"/>
      <c r="F626" s="2"/>
      <c r="G626" s="3"/>
      <c r="H626" s="2"/>
      <c r="I626" s="2"/>
    </row>
    <row r="627" spans="1:9">
      <c r="A627" s="2"/>
      <c r="B627" s="2"/>
      <c r="C627" s="3"/>
      <c r="D627" s="3"/>
      <c r="E627" s="2"/>
      <c r="F627" s="2"/>
      <c r="G627" s="3"/>
      <c r="H627" s="2"/>
      <c r="I627" s="2"/>
    </row>
    <row r="628" spans="1:9">
      <c r="A628" s="2"/>
      <c r="B628" s="2"/>
      <c r="C628" s="3"/>
      <c r="D628" s="3"/>
      <c r="E628" s="2"/>
      <c r="F628" s="2"/>
      <c r="G628" s="3"/>
      <c r="H628" s="2"/>
      <c r="I628" s="2"/>
    </row>
    <row r="629" spans="1:9">
      <c r="A629" s="2"/>
      <c r="B629" s="2"/>
      <c r="C629" s="3"/>
      <c r="D629" s="3"/>
      <c r="E629" s="2"/>
      <c r="F629" s="2"/>
      <c r="G629" s="3"/>
      <c r="H629" s="2"/>
      <c r="I629" s="2"/>
    </row>
    <row r="630" spans="1:9">
      <c r="A630" s="2"/>
      <c r="B630" s="2"/>
      <c r="C630" s="3"/>
      <c r="D630" s="3"/>
      <c r="E630" s="2"/>
      <c r="F630" s="2"/>
      <c r="G630" s="3"/>
      <c r="H630" s="2"/>
      <c r="I630" s="2"/>
    </row>
    <row r="631" spans="1:9">
      <c r="A631" s="2"/>
      <c r="B631" s="2"/>
      <c r="C631" s="3"/>
      <c r="D631" s="3"/>
      <c r="E631" s="2"/>
      <c r="F631" s="2"/>
      <c r="G631" s="3"/>
      <c r="H631" s="2"/>
      <c r="I631" s="2"/>
    </row>
    <row r="632" spans="1:9">
      <c r="A632" s="2"/>
      <c r="B632" s="2"/>
      <c r="C632" s="3"/>
      <c r="D632" s="3"/>
      <c r="E632" s="2"/>
      <c r="F632" s="2"/>
      <c r="G632" s="3"/>
      <c r="H632" s="2"/>
      <c r="I632" s="2"/>
    </row>
    <row r="633" spans="1:9">
      <c r="A633" s="2"/>
      <c r="B633" s="2"/>
      <c r="C633" s="3"/>
      <c r="D633" s="3"/>
      <c r="E633" s="2"/>
      <c r="F633" s="2"/>
      <c r="G633" s="3"/>
      <c r="H633" s="2"/>
      <c r="I633" s="2"/>
    </row>
    <row r="634" spans="1:9">
      <c r="A634" s="2"/>
      <c r="B634" s="2"/>
      <c r="C634" s="3"/>
      <c r="D634" s="3"/>
      <c r="E634" s="2"/>
      <c r="F634" s="2"/>
      <c r="G634" s="3"/>
      <c r="H634" s="2"/>
      <c r="I634" s="2"/>
    </row>
    <row r="635" spans="1:9">
      <c r="A635" s="2"/>
      <c r="B635" s="2"/>
      <c r="C635" s="3"/>
      <c r="D635" s="3"/>
      <c r="E635" s="2"/>
      <c r="F635" s="2"/>
      <c r="G635" s="3"/>
      <c r="H635" s="2"/>
      <c r="I635" s="2"/>
    </row>
    <row r="636" spans="1:9">
      <c r="A636" s="2"/>
      <c r="B636" s="2"/>
      <c r="C636" s="3"/>
      <c r="D636" s="3"/>
      <c r="E636" s="2"/>
      <c r="F636" s="2"/>
      <c r="G636" s="3"/>
      <c r="H636" s="2"/>
      <c r="I636" s="2"/>
    </row>
    <row r="637" spans="1:9">
      <c r="A637" s="2"/>
      <c r="B637" s="2"/>
      <c r="C637" s="3"/>
      <c r="D637" s="3"/>
      <c r="E637" s="2"/>
      <c r="F637" s="2"/>
      <c r="G637" s="3"/>
      <c r="H637" s="2"/>
      <c r="I637" s="2"/>
    </row>
    <row r="638" spans="1:9">
      <c r="A638" s="2"/>
      <c r="B638" s="2"/>
      <c r="C638" s="3"/>
      <c r="D638" s="3"/>
      <c r="E638" s="2"/>
      <c r="F638" s="2"/>
      <c r="G638" s="3"/>
      <c r="H638" s="2"/>
      <c r="I638" s="2"/>
    </row>
    <row r="639" spans="1:9">
      <c r="A639" s="2"/>
      <c r="B639" s="2"/>
      <c r="C639" s="3"/>
      <c r="D639" s="3"/>
      <c r="E639" s="2"/>
      <c r="F639" s="2"/>
      <c r="G639" s="3"/>
      <c r="H639" s="2"/>
      <c r="I639" s="2"/>
    </row>
    <row r="640" spans="1:9">
      <c r="A640" s="2"/>
      <c r="B640" s="2"/>
      <c r="C640" s="3"/>
      <c r="D640" s="3"/>
      <c r="E640" s="2"/>
      <c r="F640" s="2"/>
      <c r="G640" s="3"/>
      <c r="H640" s="2"/>
      <c r="I640" s="2"/>
    </row>
    <row r="641" spans="1:9">
      <c r="A641" s="2"/>
      <c r="B641" s="2"/>
      <c r="C641" s="3"/>
      <c r="D641" s="3"/>
      <c r="E641" s="2"/>
      <c r="F641" s="2"/>
      <c r="G641" s="3"/>
      <c r="H641" s="2"/>
      <c r="I641" s="2"/>
    </row>
    <row r="642" spans="1:9">
      <c r="A642" s="2"/>
      <c r="B642" s="2"/>
      <c r="C642" s="3"/>
      <c r="D642" s="3"/>
      <c r="E642" s="2"/>
      <c r="F642" s="2"/>
      <c r="G642" s="3"/>
      <c r="H642" s="2"/>
      <c r="I642" s="2"/>
    </row>
    <row r="643" spans="1:9">
      <c r="A643" s="2"/>
      <c r="B643" s="2"/>
      <c r="C643" s="3"/>
      <c r="D643" s="3"/>
      <c r="E643" s="2"/>
      <c r="F643" s="2"/>
      <c r="G643" s="3"/>
      <c r="H643" s="2"/>
      <c r="I643" s="2"/>
    </row>
    <row r="644" spans="1:9">
      <c r="A644" s="2"/>
      <c r="B644" s="2"/>
      <c r="C644" s="3"/>
      <c r="D644" s="3"/>
      <c r="E644" s="2"/>
      <c r="F644" s="2"/>
      <c r="G644" s="3"/>
      <c r="H644" s="2"/>
      <c r="I644" s="2"/>
    </row>
    <row r="645" spans="1:9">
      <c r="A645" s="2"/>
      <c r="B645" s="2"/>
      <c r="C645" s="3"/>
      <c r="D645" s="3"/>
      <c r="E645" s="2"/>
      <c r="F645" s="2"/>
      <c r="G645" s="3"/>
      <c r="H645" s="2"/>
      <c r="I645" s="2"/>
    </row>
    <row r="646" spans="1:9">
      <c r="A646" s="2"/>
      <c r="B646" s="2"/>
      <c r="C646" s="3"/>
      <c r="D646" s="3"/>
      <c r="E646" s="2"/>
      <c r="F646" s="2"/>
      <c r="G646" s="3"/>
      <c r="H646" s="2"/>
      <c r="I646" s="2"/>
    </row>
    <row r="647" spans="1:9">
      <c r="A647" s="2"/>
      <c r="B647" s="2"/>
      <c r="C647" s="3"/>
      <c r="D647" s="3"/>
      <c r="E647" s="2"/>
      <c r="F647" s="2"/>
      <c r="G647" s="3"/>
      <c r="H647" s="2"/>
      <c r="I647" s="2"/>
    </row>
    <row r="648" spans="1:9">
      <c r="A648" s="2"/>
      <c r="B648" s="2"/>
      <c r="C648" s="3"/>
      <c r="D648" s="3"/>
      <c r="E648" s="2"/>
      <c r="F648" s="2"/>
      <c r="G648" s="3"/>
      <c r="H648" s="2"/>
      <c r="I648" s="2"/>
    </row>
    <row r="649" spans="1:9">
      <c r="A649" s="2"/>
      <c r="B649" s="2"/>
      <c r="C649" s="3"/>
      <c r="D649" s="3"/>
      <c r="E649" s="2"/>
      <c r="F649" s="2"/>
      <c r="G649" s="3"/>
      <c r="H649" s="2"/>
      <c r="I649" s="2"/>
    </row>
    <row r="650" spans="1:9">
      <c r="A650" s="2"/>
      <c r="B650" s="2"/>
      <c r="C650" s="3"/>
      <c r="D650" s="3"/>
      <c r="E650" s="2"/>
      <c r="F650" s="2"/>
      <c r="G650" s="3"/>
      <c r="H650" s="2"/>
      <c r="I650" s="2"/>
    </row>
    <row r="651" spans="1:9">
      <c r="A651" s="2"/>
      <c r="B651" s="2"/>
      <c r="C651" s="3"/>
      <c r="D651" s="3"/>
      <c r="E651" s="2"/>
      <c r="F651" s="2"/>
      <c r="G651" s="3"/>
      <c r="H651" s="2"/>
      <c r="I651" s="2"/>
    </row>
    <row r="652" spans="1:9">
      <c r="A652" s="2"/>
      <c r="B652" s="2"/>
      <c r="C652" s="3"/>
      <c r="D652" s="3"/>
      <c r="E652" s="2"/>
      <c r="F652" s="2"/>
      <c r="G652" s="3"/>
      <c r="H652" s="2"/>
      <c r="I652" s="2"/>
    </row>
    <row r="653" spans="1:9">
      <c r="A653" s="2"/>
      <c r="B653" s="2"/>
      <c r="C653" s="3"/>
      <c r="D653" s="3"/>
      <c r="E653" s="2"/>
      <c r="F653" s="2"/>
      <c r="G653" s="3"/>
      <c r="H653" s="2"/>
      <c r="I653" s="2"/>
    </row>
    <row r="654" spans="1:9">
      <c r="A654" s="2"/>
      <c r="B654" s="2"/>
      <c r="C654" s="3"/>
      <c r="D654" s="3"/>
      <c r="E654" s="2"/>
      <c r="F654" s="2"/>
      <c r="G654" s="3"/>
      <c r="H654" s="2"/>
      <c r="I654" s="2"/>
    </row>
    <row r="655" spans="1:9">
      <c r="A655" s="2"/>
      <c r="B655" s="2"/>
      <c r="C655" s="3"/>
      <c r="D655" s="3"/>
      <c r="E655" s="2"/>
      <c r="F655" s="2"/>
      <c r="G655" s="3"/>
      <c r="H655" s="2"/>
      <c r="I655" s="2"/>
    </row>
    <row r="656" spans="1:9">
      <c r="A656" s="2"/>
      <c r="B656" s="2"/>
      <c r="C656" s="3"/>
      <c r="D656" s="3"/>
      <c r="E656" s="2"/>
      <c r="F656" s="2"/>
      <c r="G656" s="3"/>
      <c r="H656" s="2"/>
      <c r="I656" s="2"/>
    </row>
    <row r="657" spans="1:9">
      <c r="A657" s="2"/>
      <c r="B657" s="2"/>
      <c r="C657" s="3"/>
      <c r="D657" s="3"/>
      <c r="E657" s="2"/>
      <c r="F657" s="2"/>
      <c r="G657" s="3"/>
      <c r="H657" s="2"/>
      <c r="I657" s="2"/>
    </row>
    <row r="658" spans="1:9">
      <c r="A658" s="2"/>
      <c r="B658" s="2"/>
      <c r="C658" s="3"/>
      <c r="D658" s="3"/>
      <c r="E658" s="2"/>
      <c r="F658" s="2"/>
      <c r="G658" s="3"/>
      <c r="H658" s="2"/>
      <c r="I658" s="2"/>
    </row>
    <row r="659" spans="1:9">
      <c r="A659" s="2"/>
      <c r="B659" s="2"/>
      <c r="C659" s="3"/>
      <c r="D659" s="3"/>
      <c r="E659" s="2"/>
      <c r="F659" s="2"/>
      <c r="G659" s="3"/>
      <c r="H659" s="2"/>
      <c r="I659" s="2"/>
    </row>
    <row r="660" spans="1:9">
      <c r="A660" s="2"/>
      <c r="B660" s="2"/>
      <c r="C660" s="3"/>
      <c r="D660" s="3"/>
      <c r="E660" s="2"/>
      <c r="F660" s="2"/>
      <c r="G660" s="3"/>
      <c r="H660" s="2"/>
      <c r="I660" s="2"/>
    </row>
    <row r="661" spans="1:9">
      <c r="A661" s="2"/>
      <c r="B661" s="2"/>
      <c r="C661" s="3"/>
      <c r="D661" s="3"/>
      <c r="E661" s="2"/>
      <c r="F661" s="2"/>
      <c r="G661" s="3"/>
      <c r="H661" s="2"/>
      <c r="I661" s="2"/>
    </row>
    <row r="662" spans="1:9">
      <c r="A662" s="2"/>
      <c r="B662" s="2"/>
      <c r="C662" s="3"/>
      <c r="D662" s="3"/>
      <c r="E662" s="2"/>
      <c r="F662" s="2"/>
      <c r="G662" s="3"/>
      <c r="H662" s="2"/>
      <c r="I662" s="2"/>
    </row>
    <row r="663" spans="1:9">
      <c r="A663" s="2"/>
      <c r="B663" s="2"/>
      <c r="C663" s="3"/>
      <c r="D663" s="3"/>
      <c r="E663" s="2"/>
      <c r="F663" s="2"/>
      <c r="G663" s="3"/>
      <c r="H663" s="2"/>
      <c r="I663" s="2"/>
    </row>
    <row r="664" spans="1:9">
      <c r="A664" s="2"/>
      <c r="B664" s="2"/>
      <c r="C664" s="3"/>
      <c r="D664" s="3"/>
      <c r="E664" s="2"/>
      <c r="F664" s="2"/>
      <c r="G664" s="3"/>
      <c r="H664" s="2"/>
      <c r="I664" s="2"/>
    </row>
    <row r="665" spans="1:9">
      <c r="A665" s="2"/>
      <c r="B665" s="2"/>
      <c r="C665" s="3"/>
      <c r="D665" s="3"/>
      <c r="E665" s="2"/>
      <c r="F665" s="2"/>
      <c r="G665" s="3"/>
      <c r="H665" s="2"/>
      <c r="I665" s="2"/>
    </row>
    <row r="666" spans="1:9">
      <c r="A666" s="2"/>
      <c r="B666" s="2"/>
      <c r="C666" s="3"/>
      <c r="D666" s="3"/>
      <c r="E666" s="2"/>
      <c r="F666" s="2"/>
      <c r="G666" s="3"/>
      <c r="H666" s="2"/>
      <c r="I666" s="2"/>
    </row>
    <row r="667" spans="1:9">
      <c r="A667" s="2"/>
      <c r="B667" s="2"/>
      <c r="C667" s="3"/>
      <c r="D667" s="3"/>
      <c r="E667" s="2"/>
      <c r="F667" s="2"/>
      <c r="G667" s="3"/>
      <c r="H667" s="2"/>
      <c r="I667" s="2"/>
    </row>
    <row r="668" spans="1:9">
      <c r="A668" s="2"/>
      <c r="B668" s="2"/>
      <c r="C668" s="3"/>
      <c r="D668" s="3"/>
      <c r="E668" s="2"/>
      <c r="F668" s="2"/>
      <c r="G668" s="3"/>
      <c r="H668" s="2"/>
      <c r="I668" s="2"/>
    </row>
    <row r="669" spans="1:9">
      <c r="A669" s="2"/>
      <c r="B669" s="2"/>
      <c r="C669" s="3"/>
      <c r="D669" s="3"/>
      <c r="E669" s="2"/>
      <c r="F669" s="2"/>
      <c r="G669" s="3"/>
      <c r="H669" s="2"/>
      <c r="I669" s="2"/>
    </row>
    <row r="670" spans="1:9">
      <c r="A670" s="2"/>
      <c r="B670" s="2"/>
      <c r="C670" s="3"/>
      <c r="D670" s="3"/>
      <c r="E670" s="2"/>
      <c r="F670" s="2"/>
      <c r="G670" s="3"/>
      <c r="H670" s="2"/>
      <c r="I670" s="2"/>
    </row>
    <row r="671" spans="1:9">
      <c r="A671" s="2"/>
      <c r="B671" s="2"/>
      <c r="C671" s="3"/>
      <c r="D671" s="3"/>
      <c r="E671" s="2"/>
      <c r="F671" s="2"/>
      <c r="G671" s="3"/>
      <c r="H671" s="2"/>
      <c r="I671" s="2"/>
    </row>
    <row r="672" spans="1:9">
      <c r="A672" s="2"/>
      <c r="B672" s="2"/>
      <c r="C672" s="3"/>
      <c r="D672" s="3"/>
      <c r="E672" s="2"/>
      <c r="F672" s="2"/>
      <c r="G672" s="3"/>
      <c r="H672" s="2"/>
      <c r="I672" s="2"/>
    </row>
    <row r="673" spans="1:9">
      <c r="A673" s="2"/>
      <c r="B673" s="2"/>
      <c r="C673" s="3"/>
      <c r="D673" s="3"/>
      <c r="E673" s="2"/>
      <c r="F673" s="2"/>
      <c r="G673" s="3"/>
      <c r="H673" s="2"/>
      <c r="I673" s="2"/>
    </row>
    <row r="674" spans="1:9">
      <c r="A674" s="2"/>
      <c r="B674" s="2"/>
      <c r="C674" s="3"/>
      <c r="D674" s="3"/>
      <c r="E674" s="2"/>
      <c r="F674" s="2"/>
      <c r="G674" s="3"/>
      <c r="H674" s="2"/>
      <c r="I674" s="2"/>
    </row>
    <row r="675" spans="1:9">
      <c r="A675" s="2"/>
      <c r="B675" s="2"/>
      <c r="C675" s="3"/>
      <c r="D675" s="3"/>
      <c r="E675" s="2"/>
      <c r="F675" s="2"/>
      <c r="G675" s="3"/>
      <c r="H675" s="2"/>
      <c r="I675" s="2"/>
    </row>
    <row r="676" spans="1:9">
      <c r="A676" s="2"/>
      <c r="B676" s="2"/>
      <c r="C676" s="3"/>
      <c r="D676" s="3"/>
      <c r="E676" s="2"/>
      <c r="F676" s="2"/>
      <c r="G676" s="3"/>
      <c r="H676" s="2"/>
      <c r="I676" s="2"/>
    </row>
    <row r="677" spans="1:9">
      <c r="A677" s="2"/>
      <c r="B677" s="2"/>
      <c r="C677" s="3"/>
      <c r="D677" s="3"/>
      <c r="E677" s="2"/>
      <c r="F677" s="2"/>
      <c r="G677" s="3"/>
      <c r="H677" s="2"/>
      <c r="I677" s="2"/>
    </row>
    <row r="678" spans="1:9">
      <c r="A678" s="2"/>
      <c r="B678" s="2"/>
      <c r="C678" s="3"/>
      <c r="D678" s="3"/>
      <c r="E678" s="2"/>
      <c r="F678" s="2"/>
      <c r="G678" s="3"/>
      <c r="H678" s="2"/>
      <c r="I678" s="2"/>
    </row>
    <row r="679" spans="1:9">
      <c r="A679" s="2"/>
      <c r="B679" s="2"/>
      <c r="C679" s="3"/>
      <c r="D679" s="3"/>
      <c r="E679" s="2"/>
      <c r="F679" s="2"/>
      <c r="G679" s="3"/>
      <c r="H679" s="2"/>
      <c r="I679" s="2"/>
    </row>
    <row r="680" spans="1:9">
      <c r="A680" s="2"/>
      <c r="B680" s="2"/>
      <c r="C680" s="3"/>
      <c r="D680" s="3"/>
      <c r="E680" s="2"/>
      <c r="F680" s="2"/>
      <c r="G680" s="3"/>
      <c r="H680" s="2"/>
      <c r="I680" s="2"/>
    </row>
    <row r="681" spans="1:9">
      <c r="A681" s="2"/>
      <c r="B681" s="2"/>
      <c r="C681" s="3"/>
      <c r="D681" s="3"/>
      <c r="E681" s="2"/>
      <c r="F681" s="2"/>
      <c r="G681" s="3"/>
      <c r="H681" s="2"/>
      <c r="I681" s="2"/>
    </row>
    <row r="682" spans="1:9">
      <c r="A682" s="2"/>
      <c r="B682" s="2"/>
      <c r="C682" s="3"/>
      <c r="D682" s="3"/>
      <c r="E682" s="2"/>
      <c r="F682" s="2"/>
      <c r="G682" s="3"/>
      <c r="H682" s="2"/>
      <c r="I682" s="2"/>
    </row>
    <row r="683" spans="1:9">
      <c r="A683" s="2"/>
      <c r="B683" s="2"/>
      <c r="C683" s="3"/>
      <c r="D683" s="3"/>
      <c r="E683" s="2"/>
      <c r="F683" s="2"/>
      <c r="G683" s="3"/>
      <c r="H683" s="2"/>
      <c r="I683" s="2"/>
    </row>
    <row r="684" spans="1:9">
      <c r="A684" s="2"/>
      <c r="B684" s="2"/>
      <c r="C684" s="3"/>
      <c r="D684" s="3"/>
      <c r="E684" s="2"/>
      <c r="F684" s="2"/>
      <c r="G684" s="3"/>
      <c r="H684" s="2"/>
      <c r="I684" s="2"/>
    </row>
    <row r="685" spans="1:9">
      <c r="A685" s="2"/>
      <c r="B685" s="2"/>
      <c r="C685" s="3"/>
      <c r="D685" s="3"/>
      <c r="E685" s="2"/>
      <c r="F685" s="2"/>
      <c r="G685" s="3"/>
      <c r="H685" s="2"/>
      <c r="I685" s="2"/>
    </row>
    <row r="686" spans="1:9">
      <c r="A686" s="2"/>
      <c r="B686" s="2"/>
      <c r="C686" s="3"/>
      <c r="D686" s="3"/>
      <c r="E686" s="2"/>
      <c r="F686" s="2"/>
      <c r="G686" s="3"/>
      <c r="H686" s="2"/>
      <c r="I686" s="2"/>
    </row>
    <row r="687" spans="1:9">
      <c r="A687" s="2"/>
      <c r="B687" s="2"/>
      <c r="C687" s="3"/>
      <c r="D687" s="3"/>
      <c r="E687" s="2"/>
      <c r="F687" s="2"/>
      <c r="G687" s="3"/>
      <c r="H687" s="2"/>
      <c r="I687" s="2"/>
    </row>
    <row r="688" spans="1:9">
      <c r="A688" s="2"/>
      <c r="B688" s="2"/>
      <c r="C688" s="3"/>
      <c r="D688" s="3"/>
      <c r="E688" s="2"/>
      <c r="F688" s="2"/>
      <c r="G688" s="3"/>
      <c r="H688" s="2"/>
      <c r="I688" s="2"/>
    </row>
    <row r="689" spans="1:9">
      <c r="A689" s="2"/>
      <c r="B689" s="2"/>
      <c r="C689" s="3"/>
      <c r="D689" s="3"/>
      <c r="E689" s="2"/>
      <c r="F689" s="2"/>
      <c r="G689" s="3"/>
      <c r="H689" s="2"/>
      <c r="I689" s="2"/>
    </row>
    <row r="690" spans="1:9">
      <c r="A690" s="2"/>
      <c r="B690" s="2"/>
      <c r="C690" s="3"/>
      <c r="D690" s="3"/>
      <c r="E690" s="2"/>
      <c r="F690" s="2"/>
      <c r="G690" s="3"/>
      <c r="H690" s="2"/>
      <c r="I690" s="2"/>
    </row>
    <row r="691" spans="1:9">
      <c r="A691" s="2"/>
      <c r="B691" s="2"/>
      <c r="C691" s="3"/>
      <c r="D691" s="3"/>
      <c r="E691" s="2"/>
      <c r="F691" s="2"/>
      <c r="G691" s="3"/>
      <c r="H691" s="2"/>
      <c r="I691" s="2"/>
    </row>
    <row r="692" spans="1:9">
      <c r="A692" s="2"/>
      <c r="B692" s="2"/>
      <c r="C692" s="3"/>
      <c r="D692" s="3"/>
      <c r="E692" s="2"/>
      <c r="F692" s="2"/>
      <c r="G692" s="3"/>
      <c r="H692" s="2"/>
      <c r="I692" s="2"/>
    </row>
    <row r="693" spans="1:9">
      <c r="A693" s="2"/>
      <c r="B693" s="2"/>
      <c r="C693" s="3"/>
      <c r="D693" s="3"/>
      <c r="E693" s="2"/>
      <c r="F693" s="2"/>
      <c r="G693" s="3"/>
      <c r="H693" s="2"/>
      <c r="I693" s="2"/>
    </row>
    <row r="694" spans="1:9">
      <c r="A694" s="2"/>
      <c r="B694" s="2"/>
      <c r="C694" s="3"/>
      <c r="D694" s="3"/>
      <c r="E694" s="2"/>
      <c r="F694" s="2"/>
      <c r="G694" s="3"/>
      <c r="H694" s="2"/>
      <c r="I694" s="2"/>
    </row>
    <row r="695" spans="1:9">
      <c r="A695" s="2"/>
      <c r="B695" s="2"/>
      <c r="C695" s="3"/>
      <c r="D695" s="3"/>
      <c r="E695" s="2"/>
      <c r="F695" s="2"/>
      <c r="G695" s="3"/>
      <c r="H695" s="2"/>
      <c r="I695" s="2"/>
    </row>
    <row r="696" spans="1:9">
      <c r="A696" s="2"/>
      <c r="B696" s="2"/>
      <c r="C696" s="3"/>
      <c r="D696" s="3"/>
      <c r="E696" s="2"/>
      <c r="F696" s="2"/>
      <c r="G696" s="3"/>
      <c r="H696" s="2"/>
      <c r="I696" s="2"/>
    </row>
    <row r="697" spans="1:9">
      <c r="A697" s="2"/>
      <c r="B697" s="2"/>
      <c r="C697" s="3"/>
      <c r="D697" s="3"/>
      <c r="E697" s="2"/>
      <c r="F697" s="2"/>
      <c r="G697" s="3"/>
      <c r="H697" s="2"/>
      <c r="I697" s="2"/>
    </row>
    <row r="698" spans="1:9">
      <c r="A698" s="2"/>
      <c r="B698" s="2"/>
      <c r="C698" s="3"/>
      <c r="D698" s="3"/>
      <c r="E698" s="2"/>
      <c r="F698" s="2"/>
      <c r="G698" s="3"/>
      <c r="H698" s="2"/>
      <c r="I698" s="2"/>
    </row>
    <row r="699" spans="1:9">
      <c r="A699" s="2"/>
      <c r="B699" s="2"/>
      <c r="C699" s="3"/>
      <c r="D699" s="3"/>
      <c r="E699" s="2"/>
      <c r="F699" s="2"/>
      <c r="G699" s="3"/>
      <c r="H699" s="2"/>
      <c r="I699" s="2"/>
    </row>
    <row r="700" spans="1:9">
      <c r="A700" s="2"/>
      <c r="B700" s="2"/>
      <c r="C700" s="3"/>
      <c r="D700" s="3"/>
      <c r="E700" s="2"/>
      <c r="F700" s="2"/>
      <c r="G700" s="3"/>
      <c r="H700" s="2"/>
      <c r="I700" s="2"/>
    </row>
    <row r="701" spans="1:9">
      <c r="A701" s="2"/>
      <c r="B701" s="2"/>
      <c r="C701" s="3"/>
      <c r="D701" s="3"/>
      <c r="E701" s="2"/>
      <c r="F701" s="2"/>
      <c r="G701" s="3"/>
      <c r="H701" s="2"/>
      <c r="I701" s="2"/>
    </row>
    <row r="702" spans="1:9">
      <c r="A702" s="2"/>
      <c r="B702" s="2"/>
      <c r="C702" s="3"/>
      <c r="D702" s="3"/>
      <c r="E702" s="2"/>
      <c r="F702" s="2"/>
      <c r="G702" s="3"/>
      <c r="H702" s="2"/>
      <c r="I702" s="2"/>
    </row>
    <row r="703" spans="1:9">
      <c r="A703" s="2"/>
      <c r="B703" s="2"/>
      <c r="C703" s="3"/>
      <c r="D703" s="3"/>
      <c r="E703" s="2"/>
      <c r="F703" s="2"/>
      <c r="G703" s="3"/>
      <c r="H703" s="2"/>
      <c r="I703" s="2"/>
    </row>
    <row r="704" spans="1:9">
      <c r="A704" s="2"/>
      <c r="B704" s="2"/>
      <c r="C704" s="3"/>
      <c r="D704" s="3"/>
      <c r="E704" s="2"/>
      <c r="F704" s="2"/>
      <c r="G704" s="3"/>
      <c r="H704" s="2"/>
      <c r="I704" s="2"/>
    </row>
    <row r="705" spans="1:9">
      <c r="A705" s="2"/>
      <c r="B705" s="2"/>
      <c r="C705" s="3"/>
      <c r="D705" s="3"/>
      <c r="E705" s="2"/>
      <c r="F705" s="2"/>
      <c r="G705" s="3"/>
      <c r="H705" s="2"/>
      <c r="I705" s="2"/>
    </row>
    <row r="706" spans="1:9">
      <c r="A706" s="2"/>
      <c r="B706" s="2"/>
      <c r="C706" s="3"/>
      <c r="D706" s="3"/>
      <c r="E706" s="2"/>
      <c r="F706" s="2"/>
      <c r="G706" s="3"/>
      <c r="H706" s="2"/>
      <c r="I706" s="2"/>
    </row>
    <row r="707" spans="1:9">
      <c r="A707" s="2"/>
      <c r="B707" s="2"/>
      <c r="C707" s="3"/>
      <c r="D707" s="3"/>
      <c r="E707" s="2"/>
      <c r="F707" s="2"/>
      <c r="G707" s="3"/>
      <c r="H707" s="2"/>
      <c r="I707" s="2"/>
    </row>
    <row r="708" spans="1:9">
      <c r="A708" s="2"/>
      <c r="B708" s="2"/>
      <c r="C708" s="3"/>
      <c r="D708" s="3"/>
      <c r="E708" s="2"/>
      <c r="F708" s="2"/>
      <c r="G708" s="3"/>
      <c r="H708" s="2"/>
      <c r="I708" s="2"/>
    </row>
    <row r="709" spans="1:9">
      <c r="A709" s="2"/>
      <c r="B709" s="2"/>
      <c r="C709" s="3"/>
      <c r="D709" s="3"/>
      <c r="E709" s="2"/>
      <c r="F709" s="2"/>
      <c r="G709" s="3"/>
      <c r="H709" s="2"/>
      <c r="I709" s="2"/>
    </row>
    <row r="710" spans="1:9">
      <c r="A710" s="2"/>
      <c r="B710" s="2"/>
      <c r="C710" s="3"/>
      <c r="D710" s="3"/>
      <c r="E710" s="2"/>
      <c r="F710" s="2"/>
      <c r="G710" s="3"/>
      <c r="H710" s="2"/>
      <c r="I710" s="2"/>
    </row>
    <row r="711" spans="1:9">
      <c r="A711" s="2"/>
      <c r="B711" s="2"/>
      <c r="C711" s="3"/>
      <c r="D711" s="3"/>
      <c r="E711" s="2"/>
      <c r="F711" s="2"/>
      <c r="G711" s="3"/>
      <c r="H711" s="2"/>
      <c r="I711" s="2"/>
    </row>
    <row r="712" spans="1:9">
      <c r="A712" s="2"/>
      <c r="B712" s="2"/>
      <c r="C712" s="3"/>
      <c r="D712" s="3"/>
      <c r="E712" s="2"/>
      <c r="F712" s="2"/>
      <c r="G712" s="3"/>
      <c r="H712" s="2"/>
      <c r="I712" s="2"/>
    </row>
    <row r="713" spans="1:9">
      <c r="A713" s="2"/>
      <c r="B713" s="2"/>
      <c r="C713" s="3"/>
      <c r="D713" s="3"/>
      <c r="E713" s="2"/>
      <c r="F713" s="2"/>
      <c r="G713" s="3"/>
      <c r="H713" s="2"/>
      <c r="I713" s="2"/>
    </row>
    <row r="714" spans="1:9">
      <c r="A714" s="2"/>
      <c r="B714" s="2"/>
      <c r="C714" s="3"/>
      <c r="D714" s="3"/>
      <c r="E714" s="2"/>
      <c r="F714" s="2"/>
      <c r="G714" s="3"/>
      <c r="H714" s="2"/>
      <c r="I714" s="2"/>
    </row>
    <row r="715" spans="1:9">
      <c r="A715" s="2"/>
      <c r="B715" s="2"/>
      <c r="C715" s="3"/>
      <c r="D715" s="3"/>
      <c r="E715" s="2"/>
      <c r="F715" s="2"/>
      <c r="G715" s="3"/>
      <c r="H715" s="2"/>
      <c r="I715" s="2"/>
    </row>
    <row r="716" spans="1:9">
      <c r="A716" s="2"/>
      <c r="B716" s="2"/>
      <c r="C716" s="3"/>
      <c r="D716" s="3"/>
      <c r="E716" s="2"/>
      <c r="F716" s="2"/>
      <c r="G716" s="3"/>
      <c r="H716" s="2"/>
      <c r="I716" s="2"/>
    </row>
    <row r="717" spans="1:9">
      <c r="A717" s="2"/>
      <c r="B717" s="2"/>
      <c r="C717" s="3"/>
      <c r="D717" s="3"/>
      <c r="E717" s="2"/>
      <c r="F717" s="2"/>
      <c r="G717" s="3"/>
      <c r="H717" s="2"/>
      <c r="I717" s="2"/>
    </row>
    <row r="718" spans="1:9">
      <c r="A718" s="2"/>
      <c r="B718" s="2"/>
      <c r="C718" s="3"/>
      <c r="D718" s="3"/>
      <c r="E718" s="2"/>
      <c r="F718" s="2"/>
      <c r="G718" s="3"/>
      <c r="H718" s="2"/>
      <c r="I718" s="2"/>
    </row>
    <row r="719" spans="1:9">
      <c r="A719" s="2"/>
      <c r="B719" s="2"/>
      <c r="C719" s="3"/>
      <c r="D719" s="3"/>
      <c r="E719" s="2"/>
      <c r="F719" s="2"/>
      <c r="G719" s="3"/>
      <c r="H719" s="2"/>
      <c r="I719" s="2"/>
    </row>
    <row r="720" spans="1:9">
      <c r="A720" s="2"/>
      <c r="B720" s="2"/>
      <c r="C720" s="3"/>
      <c r="D720" s="3"/>
      <c r="E720" s="2"/>
      <c r="F720" s="2"/>
      <c r="G720" s="3"/>
      <c r="H720" s="2"/>
      <c r="I720" s="2"/>
    </row>
    <row r="721" spans="1:9">
      <c r="A721" s="2"/>
      <c r="B721" s="2"/>
      <c r="C721" s="3"/>
      <c r="D721" s="3"/>
      <c r="E721" s="2"/>
      <c r="F721" s="2"/>
      <c r="G721" s="3"/>
      <c r="H721" s="2"/>
      <c r="I721" s="2"/>
    </row>
    <row r="722" spans="1:9">
      <c r="A722" s="2"/>
      <c r="B722" s="2"/>
      <c r="C722" s="3"/>
      <c r="D722" s="3"/>
      <c r="E722" s="2"/>
      <c r="F722" s="2"/>
      <c r="G722" s="3"/>
      <c r="H722" s="2"/>
      <c r="I722" s="2"/>
    </row>
    <row r="723" spans="1:9">
      <c r="A723" s="2"/>
      <c r="B723" s="2"/>
      <c r="C723" s="3"/>
      <c r="D723" s="3"/>
      <c r="E723" s="2"/>
      <c r="F723" s="2"/>
      <c r="G723" s="3"/>
      <c r="H723" s="2"/>
      <c r="I723" s="2"/>
    </row>
    <row r="724" spans="1:9">
      <c r="A724" s="2"/>
      <c r="B724" s="2"/>
      <c r="C724" s="3"/>
      <c r="D724" s="3"/>
      <c r="E724" s="2"/>
      <c r="F724" s="2"/>
      <c r="G724" s="3"/>
      <c r="H724" s="2"/>
      <c r="I724" s="2"/>
    </row>
    <row r="725" spans="1:9">
      <c r="A725" s="2"/>
      <c r="B725" s="2"/>
      <c r="C725" s="3"/>
      <c r="D725" s="3"/>
      <c r="E725" s="2"/>
      <c r="F725" s="2"/>
      <c r="G725" s="3"/>
      <c r="H725" s="2"/>
      <c r="I725" s="2"/>
    </row>
    <row r="726" spans="1:9">
      <c r="A726" s="2"/>
      <c r="B726" s="2"/>
      <c r="C726" s="3"/>
      <c r="D726" s="3"/>
      <c r="E726" s="2"/>
      <c r="F726" s="2"/>
      <c r="G726" s="3"/>
      <c r="H726" s="2"/>
      <c r="I726" s="2"/>
    </row>
    <row r="727" spans="1:9">
      <c r="A727" s="2"/>
      <c r="B727" s="2"/>
      <c r="C727" s="3"/>
      <c r="D727" s="3"/>
      <c r="E727" s="2"/>
      <c r="F727" s="2"/>
      <c r="G727" s="3"/>
      <c r="H727" s="2"/>
      <c r="I727" s="2"/>
    </row>
    <row r="728" spans="1:9">
      <c r="A728" s="2"/>
      <c r="B728" s="2"/>
      <c r="C728" s="3"/>
      <c r="D728" s="3"/>
      <c r="E728" s="2"/>
      <c r="F728" s="2"/>
      <c r="G728" s="3"/>
      <c r="H728" s="2"/>
      <c r="I728" s="2"/>
    </row>
    <row r="729" spans="1:9">
      <c r="A729" s="2"/>
      <c r="B729" s="2"/>
      <c r="C729" s="3"/>
      <c r="D729" s="3"/>
      <c r="E729" s="2"/>
      <c r="F729" s="2"/>
      <c r="G729" s="3"/>
      <c r="H729" s="2"/>
      <c r="I729" s="2"/>
    </row>
    <row r="730" spans="1:9">
      <c r="A730" s="2"/>
      <c r="B730" s="2"/>
      <c r="C730" s="3"/>
      <c r="D730" s="3"/>
      <c r="E730" s="2"/>
      <c r="F730" s="2"/>
      <c r="G730" s="3"/>
      <c r="H730" s="2"/>
      <c r="I730" s="2"/>
    </row>
    <row r="731" spans="1:9">
      <c r="A731" s="2"/>
      <c r="B731" s="2"/>
      <c r="C731" s="3"/>
      <c r="D731" s="3"/>
      <c r="E731" s="2"/>
      <c r="F731" s="2"/>
      <c r="G731" s="3"/>
      <c r="H731" s="2"/>
      <c r="I731" s="2"/>
    </row>
    <row r="732" spans="1:9">
      <c r="A732" s="2"/>
      <c r="B732" s="2"/>
      <c r="C732" s="3"/>
      <c r="D732" s="3"/>
      <c r="E732" s="2"/>
      <c r="F732" s="2"/>
      <c r="G732" s="3"/>
      <c r="H732" s="2"/>
      <c r="I732" s="2"/>
    </row>
    <row r="733" spans="1:9">
      <c r="A733" s="2"/>
      <c r="B733" s="2"/>
      <c r="C733" s="3"/>
      <c r="D733" s="3"/>
      <c r="E733" s="2"/>
      <c r="F733" s="2"/>
      <c r="G733" s="3"/>
      <c r="H733" s="2"/>
      <c r="I733" s="2"/>
    </row>
    <row r="734" spans="1:9">
      <c r="A734" s="2"/>
      <c r="B734" s="2"/>
      <c r="C734" s="3"/>
      <c r="D734" s="3"/>
      <c r="E734" s="2"/>
      <c r="F734" s="2"/>
      <c r="G734" s="3"/>
      <c r="H734" s="2"/>
      <c r="I734" s="2"/>
    </row>
    <row r="735" spans="1:9">
      <c r="A735" s="2"/>
      <c r="B735" s="2"/>
      <c r="C735" s="3"/>
      <c r="D735" s="3"/>
      <c r="E735" s="2"/>
      <c r="F735" s="2"/>
      <c r="G735" s="3"/>
      <c r="H735" s="2"/>
      <c r="I735" s="2"/>
    </row>
    <row r="736" spans="1:9">
      <c r="A736" s="2"/>
      <c r="B736" s="2"/>
      <c r="C736" s="3"/>
      <c r="D736" s="3"/>
      <c r="E736" s="2"/>
      <c r="F736" s="2"/>
      <c r="G736" s="3"/>
      <c r="H736" s="2"/>
      <c r="I736" s="2"/>
    </row>
    <row r="737" spans="1:9">
      <c r="A737" s="2"/>
      <c r="B737" s="2"/>
      <c r="C737" s="3"/>
      <c r="D737" s="3"/>
      <c r="E737" s="2"/>
      <c r="F737" s="2"/>
      <c r="G737" s="3"/>
      <c r="H737" s="2"/>
      <c r="I737" s="2"/>
    </row>
    <row r="738" spans="1:9">
      <c r="A738" s="2"/>
      <c r="B738" s="2"/>
      <c r="C738" s="3"/>
      <c r="D738" s="3"/>
      <c r="E738" s="2"/>
      <c r="F738" s="2"/>
      <c r="G738" s="3"/>
      <c r="H738" s="2"/>
      <c r="I738" s="2"/>
    </row>
    <row r="739" spans="1:9">
      <c r="A739" s="2"/>
      <c r="B739" s="2"/>
      <c r="C739" s="3"/>
      <c r="D739" s="3"/>
      <c r="E739" s="2"/>
      <c r="F739" s="2"/>
      <c r="G739" s="3"/>
      <c r="H739" s="2"/>
      <c r="I739" s="2"/>
    </row>
    <row r="740" spans="1:9">
      <c r="A740" s="2"/>
      <c r="B740" s="2"/>
      <c r="C740" s="3"/>
      <c r="D740" s="3"/>
      <c r="E740" s="2"/>
      <c r="F740" s="2"/>
      <c r="G740" s="3"/>
      <c r="H740" s="2"/>
      <c r="I740" s="2"/>
    </row>
    <row r="741" spans="1:9">
      <c r="A741" s="2"/>
      <c r="B741" s="2"/>
      <c r="C741" s="3"/>
      <c r="D741" s="3"/>
      <c r="E741" s="2"/>
      <c r="F741" s="2"/>
      <c r="G741" s="3"/>
      <c r="H741" s="2"/>
      <c r="I741" s="2"/>
    </row>
    <row r="742" spans="1:9">
      <c r="A742" s="2"/>
      <c r="B742" s="2"/>
      <c r="C742" s="3"/>
      <c r="D742" s="3"/>
      <c r="E742" s="2"/>
      <c r="F742" s="2"/>
      <c r="G742" s="3"/>
      <c r="H742" s="2"/>
      <c r="I742" s="2"/>
    </row>
    <row r="743" spans="1:9">
      <c r="A743" s="2"/>
      <c r="B743" s="2"/>
      <c r="C743" s="3"/>
      <c r="D743" s="3"/>
      <c r="E743" s="2"/>
      <c r="F743" s="2"/>
      <c r="G743" s="3"/>
      <c r="H743" s="2"/>
      <c r="I743" s="2"/>
    </row>
    <row r="744" spans="1:9">
      <c r="A744" s="2"/>
      <c r="B744" s="2"/>
      <c r="C744" s="3"/>
      <c r="D744" s="3"/>
      <c r="E744" s="2"/>
      <c r="F744" s="2"/>
      <c r="G744" s="3"/>
      <c r="H744" s="2"/>
      <c r="I744" s="2"/>
    </row>
    <row r="745" spans="1:9">
      <c r="A745" s="2"/>
      <c r="B745" s="2"/>
      <c r="C745" s="3"/>
      <c r="D745" s="3"/>
      <c r="E745" s="2"/>
      <c r="F745" s="2"/>
      <c r="G745" s="3"/>
      <c r="H745" s="2"/>
      <c r="I745" s="2"/>
    </row>
    <row r="746" spans="1:9">
      <c r="A746" s="2"/>
      <c r="B746" s="2"/>
      <c r="C746" s="3"/>
      <c r="D746" s="3"/>
      <c r="E746" s="2"/>
      <c r="F746" s="2"/>
      <c r="G746" s="3"/>
      <c r="H746" s="2"/>
      <c r="I746" s="2"/>
    </row>
    <row r="747" spans="1:9">
      <c r="A747" s="2"/>
      <c r="B747" s="2"/>
      <c r="C747" s="3"/>
      <c r="D747" s="3"/>
      <c r="E747" s="2"/>
      <c r="F747" s="2"/>
      <c r="G747" s="3"/>
      <c r="H747" s="2"/>
      <c r="I747" s="2"/>
    </row>
    <row r="748" spans="1:9">
      <c r="A748" s="2"/>
      <c r="B748" s="2"/>
      <c r="C748" s="3"/>
      <c r="D748" s="3"/>
      <c r="E748" s="2"/>
      <c r="F748" s="2"/>
      <c r="G748" s="3"/>
      <c r="H748" s="2"/>
      <c r="I748" s="2"/>
    </row>
    <row r="749" spans="1:9">
      <c r="A749" s="2"/>
      <c r="B749" s="2"/>
      <c r="C749" s="3"/>
      <c r="D749" s="3"/>
      <c r="E749" s="2"/>
      <c r="F749" s="2"/>
      <c r="G749" s="3"/>
      <c r="H749" s="2"/>
      <c r="I749" s="2"/>
    </row>
    <row r="750" spans="1:9">
      <c r="A750" s="2"/>
      <c r="B750" s="2"/>
      <c r="C750" s="3"/>
      <c r="D750" s="3"/>
      <c r="E750" s="2"/>
      <c r="F750" s="2"/>
      <c r="G750" s="3"/>
      <c r="H750" s="2"/>
      <c r="I750" s="2"/>
    </row>
    <row r="751" spans="1:9">
      <c r="A751" s="2"/>
      <c r="B751" s="2"/>
      <c r="C751" s="3"/>
      <c r="D751" s="3"/>
      <c r="E751" s="2"/>
      <c r="F751" s="2"/>
      <c r="G751" s="3"/>
      <c r="H751" s="2"/>
      <c r="I751" s="2"/>
    </row>
    <row r="752" spans="1:9">
      <c r="A752" s="2"/>
      <c r="B752" s="2"/>
      <c r="C752" s="3"/>
      <c r="D752" s="3"/>
      <c r="E752" s="2"/>
      <c r="F752" s="2"/>
      <c r="G752" s="3"/>
      <c r="H752" s="2"/>
      <c r="I752" s="2"/>
    </row>
    <row r="753" spans="1:9">
      <c r="A753" s="2"/>
      <c r="B753" s="2"/>
      <c r="C753" s="3"/>
      <c r="D753" s="3"/>
      <c r="E753" s="2"/>
      <c r="F753" s="2"/>
      <c r="G753" s="3"/>
      <c r="H753" s="2"/>
      <c r="I753" s="2"/>
    </row>
    <row r="754" spans="1:9">
      <c r="A754" s="2"/>
      <c r="B754" s="2"/>
      <c r="C754" s="3"/>
      <c r="D754" s="3"/>
      <c r="E754" s="2"/>
      <c r="F754" s="2"/>
      <c r="G754" s="3"/>
      <c r="H754" s="2"/>
      <c r="I754" s="2"/>
    </row>
    <row r="755" spans="1:9">
      <c r="A755" s="2"/>
      <c r="B755" s="2"/>
      <c r="C755" s="3"/>
      <c r="D755" s="3"/>
      <c r="E755" s="2"/>
      <c r="F755" s="2"/>
      <c r="G755" s="3"/>
      <c r="H755" s="2"/>
      <c r="I755" s="2"/>
    </row>
    <row r="756" spans="1:9">
      <c r="A756" s="2"/>
      <c r="B756" s="2"/>
      <c r="C756" s="3"/>
      <c r="D756" s="3"/>
      <c r="E756" s="2"/>
      <c r="F756" s="2"/>
      <c r="G756" s="3"/>
      <c r="H756" s="2"/>
      <c r="I756" s="2"/>
    </row>
    <row r="757" spans="1:9">
      <c r="A757" s="2"/>
      <c r="B757" s="2"/>
      <c r="C757" s="3"/>
      <c r="D757" s="3"/>
      <c r="E757" s="2"/>
      <c r="F757" s="2"/>
      <c r="G757" s="3"/>
      <c r="H757" s="2"/>
      <c r="I757" s="2"/>
    </row>
    <row r="758" spans="1:9">
      <c r="A758" s="2"/>
      <c r="B758" s="2"/>
      <c r="C758" s="3"/>
      <c r="D758" s="3"/>
      <c r="E758" s="2"/>
      <c r="F758" s="2"/>
      <c r="G758" s="3"/>
      <c r="H758" s="2"/>
      <c r="I758" s="2"/>
    </row>
    <row r="759" spans="1:9">
      <c r="A759" s="2"/>
      <c r="B759" s="2"/>
      <c r="C759" s="3"/>
      <c r="D759" s="3"/>
      <c r="E759" s="2"/>
      <c r="F759" s="2"/>
      <c r="G759" s="3"/>
      <c r="H759" s="2"/>
      <c r="I759" s="2"/>
    </row>
    <row r="760" spans="1:9">
      <c r="A760" s="2"/>
      <c r="B760" s="2"/>
      <c r="C760" s="3"/>
      <c r="D760" s="3"/>
      <c r="E760" s="2"/>
      <c r="F760" s="2"/>
      <c r="G760" s="3"/>
      <c r="H760" s="2"/>
      <c r="I760" s="2"/>
    </row>
    <row r="761" spans="1:9">
      <c r="A761" s="2"/>
      <c r="B761" s="2"/>
      <c r="C761" s="3"/>
      <c r="D761" s="3"/>
      <c r="E761" s="2"/>
      <c r="F761" s="2"/>
      <c r="G761" s="3"/>
      <c r="H761" s="2"/>
      <c r="I761" s="2"/>
    </row>
    <row r="762" spans="1:9">
      <c r="A762" s="2"/>
      <c r="B762" s="2"/>
      <c r="C762" s="3"/>
      <c r="D762" s="3"/>
      <c r="E762" s="2"/>
      <c r="F762" s="2"/>
      <c r="G762" s="3"/>
      <c r="H762" s="2"/>
      <c r="I762" s="2"/>
    </row>
    <row r="763" spans="1:9">
      <c r="A763" s="2"/>
      <c r="B763" s="2"/>
      <c r="C763" s="3"/>
      <c r="D763" s="3"/>
      <c r="E763" s="2"/>
      <c r="F763" s="2"/>
      <c r="G763" s="3"/>
      <c r="H763" s="2"/>
      <c r="I763" s="2"/>
    </row>
    <row r="764" spans="1:9">
      <c r="A764" s="2"/>
      <c r="B764" s="2"/>
      <c r="C764" s="3"/>
      <c r="D764" s="3"/>
      <c r="E764" s="2"/>
      <c r="F764" s="2"/>
      <c r="G764" s="3"/>
      <c r="H764" s="2"/>
      <c r="I764" s="2"/>
    </row>
    <row r="765" spans="1:9">
      <c r="A765" s="2"/>
      <c r="B765" s="2"/>
      <c r="C765" s="3"/>
      <c r="D765" s="3"/>
      <c r="E765" s="2"/>
      <c r="F765" s="2"/>
      <c r="G765" s="3"/>
      <c r="H765" s="2"/>
      <c r="I765" s="2"/>
    </row>
    <row r="766" spans="1:9">
      <c r="A766" s="2"/>
      <c r="B766" s="2"/>
      <c r="C766" s="3"/>
      <c r="D766" s="3"/>
      <c r="E766" s="2"/>
      <c r="F766" s="2"/>
      <c r="G766" s="3"/>
      <c r="H766" s="2"/>
      <c r="I766" s="2"/>
    </row>
    <row r="767" spans="1:9">
      <c r="A767" s="2"/>
      <c r="B767" s="2"/>
      <c r="C767" s="3"/>
      <c r="D767" s="3"/>
      <c r="E767" s="2"/>
      <c r="F767" s="2"/>
      <c r="G767" s="3"/>
      <c r="H767" s="2"/>
      <c r="I767" s="2"/>
    </row>
    <row r="768" spans="1:9">
      <c r="A768" s="2"/>
      <c r="B768" s="2"/>
      <c r="C768" s="3"/>
      <c r="D768" s="3"/>
      <c r="E768" s="2"/>
      <c r="F768" s="2"/>
      <c r="G768" s="3"/>
      <c r="H768" s="2"/>
      <c r="I768" s="2"/>
    </row>
    <row r="769" spans="1:9">
      <c r="A769" s="2"/>
      <c r="B769" s="2"/>
      <c r="C769" s="3"/>
      <c r="D769" s="3"/>
      <c r="E769" s="2"/>
      <c r="F769" s="2"/>
      <c r="G769" s="3"/>
      <c r="H769" s="2"/>
      <c r="I769" s="2"/>
    </row>
    <row r="770" spans="1:9">
      <c r="A770" s="2"/>
      <c r="B770" s="2"/>
      <c r="C770" s="3"/>
      <c r="D770" s="3"/>
      <c r="E770" s="2"/>
      <c r="F770" s="2"/>
      <c r="G770" s="3"/>
      <c r="H770" s="2"/>
      <c r="I770" s="2"/>
    </row>
    <row r="771" spans="1:9">
      <c r="A771" s="2"/>
      <c r="B771" s="2"/>
      <c r="C771" s="3"/>
      <c r="D771" s="3"/>
      <c r="E771" s="2"/>
      <c r="F771" s="2"/>
      <c r="G771" s="3"/>
      <c r="H771" s="2"/>
      <c r="I771" s="2"/>
    </row>
    <row r="772" spans="1:9">
      <c r="A772" s="2"/>
      <c r="B772" s="2"/>
      <c r="C772" s="3"/>
      <c r="D772" s="3"/>
      <c r="E772" s="2"/>
      <c r="F772" s="2"/>
      <c r="G772" s="3"/>
      <c r="H772" s="2"/>
      <c r="I772" s="2"/>
    </row>
    <row r="773" spans="1:9">
      <c r="A773" s="2"/>
      <c r="B773" s="2"/>
      <c r="C773" s="3"/>
      <c r="D773" s="3"/>
      <c r="E773" s="2"/>
      <c r="F773" s="2"/>
      <c r="G773" s="3"/>
      <c r="H773" s="2"/>
      <c r="I773" s="2"/>
    </row>
    <row r="774" spans="1:9">
      <c r="A774" s="2"/>
      <c r="B774" s="2"/>
      <c r="C774" s="3"/>
      <c r="D774" s="3"/>
      <c r="E774" s="2"/>
      <c r="F774" s="2"/>
      <c r="G774" s="3"/>
      <c r="H774" s="2"/>
      <c r="I774" s="2"/>
    </row>
    <row r="775" spans="1:9">
      <c r="A775" s="2"/>
      <c r="B775" s="2"/>
      <c r="C775" s="3"/>
      <c r="D775" s="3"/>
      <c r="E775" s="2"/>
      <c r="F775" s="2"/>
      <c r="G775" s="3"/>
      <c r="H775" s="2"/>
      <c r="I775" s="2"/>
    </row>
    <row r="776" spans="1:9">
      <c r="A776" s="2"/>
      <c r="B776" s="2"/>
      <c r="C776" s="3"/>
      <c r="D776" s="3"/>
      <c r="E776" s="2"/>
      <c r="F776" s="2"/>
      <c r="G776" s="3"/>
      <c r="H776" s="2"/>
      <c r="I776" s="2"/>
    </row>
    <row r="777" spans="1:9">
      <c r="A777" s="2"/>
      <c r="B777" s="2"/>
      <c r="C777" s="3"/>
      <c r="D777" s="3"/>
      <c r="E777" s="2"/>
      <c r="F777" s="2"/>
      <c r="G777" s="3"/>
      <c r="H777" s="2"/>
      <c r="I777" s="2"/>
    </row>
    <row r="778" spans="1:9">
      <c r="A778" s="2"/>
      <c r="B778" s="2"/>
      <c r="C778" s="3"/>
      <c r="D778" s="3"/>
      <c r="E778" s="2"/>
      <c r="F778" s="2"/>
      <c r="G778" s="3"/>
      <c r="H778" s="2"/>
      <c r="I778" s="2"/>
    </row>
    <row r="779" spans="1:9">
      <c r="A779" s="2"/>
      <c r="B779" s="2"/>
      <c r="C779" s="3"/>
      <c r="D779" s="3"/>
      <c r="E779" s="2"/>
      <c r="F779" s="2"/>
      <c r="G779" s="3"/>
      <c r="H779" s="2"/>
      <c r="I779" s="2"/>
    </row>
    <row r="780" spans="1:9">
      <c r="A780" s="2"/>
      <c r="B780" s="2"/>
      <c r="C780" s="3"/>
      <c r="D780" s="3"/>
      <c r="E780" s="2"/>
      <c r="F780" s="2"/>
      <c r="G780" s="3"/>
      <c r="H780" s="2"/>
      <c r="I780" s="2"/>
    </row>
    <row r="781" spans="1:9">
      <c r="A781" s="2"/>
      <c r="B781" s="2"/>
      <c r="C781" s="3"/>
      <c r="D781" s="3"/>
      <c r="E781" s="2"/>
      <c r="F781" s="2"/>
      <c r="G781" s="3"/>
      <c r="H781" s="2"/>
      <c r="I781" s="2"/>
    </row>
    <row r="782" spans="1:9">
      <c r="A782" s="2"/>
      <c r="B782" s="2"/>
      <c r="C782" s="3"/>
      <c r="D782" s="3"/>
      <c r="E782" s="2"/>
      <c r="F782" s="2"/>
      <c r="G782" s="3"/>
      <c r="H782" s="2"/>
      <c r="I782" s="2"/>
    </row>
    <row r="783" spans="1:9">
      <c r="A783" s="2"/>
      <c r="B783" s="2"/>
      <c r="C783" s="3"/>
      <c r="D783" s="3"/>
      <c r="E783" s="2"/>
      <c r="F783" s="2"/>
      <c r="G783" s="3"/>
      <c r="H783" s="2"/>
      <c r="I783" s="2"/>
    </row>
    <row r="784" spans="1:9">
      <c r="A784" s="2"/>
      <c r="B784" s="2"/>
      <c r="C784" s="3"/>
      <c r="D784" s="3"/>
      <c r="E784" s="2"/>
      <c r="F784" s="2"/>
      <c r="G784" s="3"/>
      <c r="H784" s="2"/>
      <c r="I784" s="2"/>
    </row>
    <row r="785" spans="1:9">
      <c r="A785" s="2"/>
      <c r="B785" s="2"/>
      <c r="C785" s="3"/>
      <c r="D785" s="3"/>
      <c r="E785" s="2"/>
      <c r="F785" s="2"/>
      <c r="G785" s="3"/>
      <c r="H785" s="2"/>
      <c r="I785" s="2"/>
    </row>
    <row r="786" spans="1:9">
      <c r="A786" s="2"/>
      <c r="B786" s="2"/>
      <c r="C786" s="3"/>
      <c r="D786" s="3"/>
      <c r="E786" s="2"/>
      <c r="F786" s="2"/>
      <c r="G786" s="3"/>
      <c r="H786" s="2"/>
      <c r="I786" s="2"/>
    </row>
    <row r="787" spans="1:9">
      <c r="A787" s="2"/>
      <c r="B787" s="2"/>
      <c r="C787" s="3"/>
      <c r="D787" s="3"/>
      <c r="E787" s="2"/>
      <c r="F787" s="2"/>
      <c r="G787" s="3"/>
      <c r="H787" s="2"/>
      <c r="I787" s="2"/>
    </row>
    <row r="788" spans="1:9">
      <c r="A788" s="2"/>
      <c r="B788" s="2"/>
      <c r="C788" s="3"/>
      <c r="D788" s="3"/>
      <c r="E788" s="2"/>
      <c r="F788" s="2"/>
      <c r="G788" s="3"/>
      <c r="H788" s="2"/>
      <c r="I788" s="2"/>
    </row>
    <row r="789" spans="1:9">
      <c r="A789" s="2"/>
      <c r="B789" s="2"/>
      <c r="C789" s="3"/>
      <c r="D789" s="3"/>
      <c r="E789" s="2"/>
      <c r="F789" s="2"/>
      <c r="G789" s="3"/>
      <c r="H789" s="2"/>
      <c r="I789" s="2"/>
    </row>
    <row r="790" spans="1:9">
      <c r="A790" s="2"/>
      <c r="B790" s="2"/>
      <c r="C790" s="3"/>
      <c r="D790" s="3"/>
      <c r="E790" s="2"/>
      <c r="F790" s="2"/>
      <c r="G790" s="3"/>
      <c r="H790" s="2"/>
      <c r="I790" s="2"/>
    </row>
    <row r="791" spans="1:9">
      <c r="A791" s="2"/>
      <c r="B791" s="2"/>
      <c r="C791" s="3"/>
      <c r="D791" s="3"/>
      <c r="E791" s="2"/>
      <c r="F791" s="2"/>
      <c r="G791" s="3"/>
      <c r="H791" s="2"/>
      <c r="I791" s="2"/>
    </row>
    <row r="792" spans="1:9">
      <c r="A792" s="2"/>
      <c r="B792" s="2"/>
      <c r="C792" s="3"/>
      <c r="D792" s="3"/>
      <c r="E792" s="2"/>
      <c r="F792" s="2"/>
      <c r="G792" s="3"/>
      <c r="H792" s="2"/>
      <c r="I792" s="2"/>
    </row>
    <row r="793" spans="1:9">
      <c r="A793" s="2"/>
      <c r="B793" s="2"/>
      <c r="C793" s="3"/>
      <c r="D793" s="3"/>
      <c r="E793" s="2"/>
      <c r="F793" s="2"/>
      <c r="G793" s="3"/>
      <c r="H793" s="2"/>
      <c r="I793" s="2"/>
    </row>
    <row r="794" spans="1:9">
      <c r="A794" s="2"/>
      <c r="B794" s="2"/>
      <c r="C794" s="3"/>
      <c r="D794" s="3"/>
      <c r="E794" s="2"/>
      <c r="F794" s="2"/>
      <c r="G794" s="3"/>
      <c r="H794" s="2"/>
      <c r="I794" s="2"/>
    </row>
    <row r="795" spans="1:9">
      <c r="A795" s="2"/>
      <c r="B795" s="2"/>
      <c r="C795" s="3"/>
      <c r="D795" s="3"/>
      <c r="E795" s="2"/>
      <c r="F795" s="2"/>
      <c r="G795" s="3"/>
      <c r="H795" s="2"/>
      <c r="I795" s="2"/>
    </row>
    <row r="796" spans="1:9">
      <c r="A796" s="2"/>
      <c r="B796" s="2"/>
      <c r="C796" s="3"/>
      <c r="D796" s="3"/>
      <c r="E796" s="2"/>
      <c r="F796" s="2"/>
      <c r="G796" s="3"/>
      <c r="H796" s="2"/>
      <c r="I796" s="2"/>
    </row>
    <row r="797" spans="1:9">
      <c r="A797" s="2"/>
      <c r="B797" s="2"/>
      <c r="C797" s="3"/>
      <c r="D797" s="3"/>
      <c r="E797" s="2"/>
      <c r="F797" s="2"/>
      <c r="G797" s="3"/>
      <c r="H797" s="2"/>
      <c r="I797" s="2"/>
    </row>
    <row r="798" spans="1:9">
      <c r="A798" s="2"/>
      <c r="B798" s="2"/>
      <c r="C798" s="3"/>
      <c r="D798" s="3"/>
      <c r="E798" s="2"/>
      <c r="F798" s="2"/>
      <c r="G798" s="3"/>
      <c r="H798" s="2"/>
      <c r="I798" s="2"/>
    </row>
    <row r="799" spans="1:9">
      <c r="A799" s="2"/>
      <c r="B799" s="2"/>
      <c r="C799" s="3"/>
      <c r="D799" s="3"/>
      <c r="E799" s="2"/>
      <c r="F799" s="2"/>
      <c r="G799" s="3"/>
      <c r="H799" s="2"/>
      <c r="I799" s="2"/>
    </row>
    <row r="800" spans="1:9">
      <c r="A800" s="2"/>
      <c r="B800" s="2"/>
      <c r="C800" s="3"/>
      <c r="D800" s="3"/>
      <c r="E800" s="2"/>
      <c r="F800" s="2"/>
      <c r="G800" s="3"/>
      <c r="H800" s="2"/>
      <c r="I800" s="2"/>
    </row>
    <row r="801" spans="1:9">
      <c r="A801" s="2"/>
      <c r="B801" s="2"/>
      <c r="C801" s="3"/>
      <c r="D801" s="3"/>
      <c r="E801" s="2"/>
      <c r="F801" s="2"/>
      <c r="G801" s="3"/>
      <c r="H801" s="2"/>
      <c r="I801" s="2"/>
    </row>
    <row r="802" spans="1:9">
      <c r="A802" s="2"/>
      <c r="B802" s="2"/>
      <c r="C802" s="3"/>
      <c r="D802" s="3"/>
      <c r="E802" s="2"/>
      <c r="F802" s="2"/>
      <c r="G802" s="3"/>
      <c r="H802" s="2"/>
      <c r="I802" s="2"/>
    </row>
    <row r="803" spans="1:9">
      <c r="A803" s="2"/>
      <c r="B803" s="2"/>
      <c r="C803" s="3"/>
      <c r="D803" s="3"/>
      <c r="E803" s="2"/>
      <c r="F803" s="2"/>
      <c r="G803" s="3"/>
      <c r="H803" s="2"/>
      <c r="I803" s="2"/>
    </row>
    <row r="804" spans="1:9">
      <c r="A804" s="2"/>
      <c r="B804" s="2"/>
      <c r="C804" s="3"/>
      <c r="D804" s="3"/>
      <c r="E804" s="2"/>
      <c r="F804" s="2"/>
      <c r="G804" s="3"/>
      <c r="H804" s="2"/>
      <c r="I804" s="2"/>
    </row>
    <row r="805" spans="1:9">
      <c r="A805" s="2"/>
      <c r="B805" s="2"/>
      <c r="C805" s="3"/>
      <c r="D805" s="3"/>
      <c r="E805" s="2"/>
      <c r="F805" s="2"/>
      <c r="G805" s="3"/>
      <c r="H805" s="2"/>
      <c r="I805" s="2"/>
    </row>
    <row r="806" spans="1:9">
      <c r="A806" s="2"/>
      <c r="B806" s="2"/>
      <c r="C806" s="3"/>
      <c r="D806" s="3"/>
      <c r="E806" s="2"/>
      <c r="F806" s="2"/>
      <c r="G806" s="3"/>
      <c r="H806" s="2"/>
      <c r="I806" s="2"/>
    </row>
    <row r="807" spans="1:9">
      <c r="A807" s="2"/>
      <c r="B807" s="2"/>
      <c r="C807" s="3"/>
      <c r="D807" s="3"/>
      <c r="E807" s="2"/>
      <c r="F807" s="2"/>
      <c r="G807" s="3"/>
      <c r="H807" s="2"/>
      <c r="I807" s="2"/>
    </row>
    <row r="808" spans="1:9">
      <c r="A808" s="2"/>
      <c r="B808" s="2"/>
      <c r="C808" s="3"/>
      <c r="D808" s="3"/>
      <c r="E808" s="2"/>
      <c r="F808" s="2"/>
      <c r="G808" s="3"/>
      <c r="H808" s="2"/>
      <c r="I808" s="2"/>
    </row>
    <row r="809" spans="1:9">
      <c r="A809" s="2"/>
      <c r="B809" s="2"/>
      <c r="C809" s="3"/>
      <c r="D809" s="3"/>
      <c r="E809" s="2"/>
      <c r="F809" s="2"/>
      <c r="G809" s="3"/>
      <c r="H809" s="2"/>
      <c r="I809" s="2"/>
    </row>
    <row r="810" spans="1:9">
      <c r="A810" s="2"/>
      <c r="B810" s="2"/>
      <c r="C810" s="3"/>
      <c r="D810" s="3"/>
      <c r="E810" s="2"/>
      <c r="F810" s="2"/>
      <c r="G810" s="3"/>
      <c r="H810" s="2"/>
      <c r="I810" s="2"/>
    </row>
    <row r="811" spans="1:9">
      <c r="A811" s="2"/>
      <c r="B811" s="2"/>
      <c r="C811" s="3"/>
      <c r="D811" s="3"/>
      <c r="E811" s="2"/>
      <c r="F811" s="2"/>
      <c r="G811" s="3"/>
      <c r="H811" s="2"/>
      <c r="I811" s="2"/>
    </row>
    <row r="812" spans="1:9">
      <c r="A812" s="2"/>
      <c r="B812" s="2"/>
      <c r="C812" s="3"/>
      <c r="D812" s="3"/>
      <c r="E812" s="2"/>
      <c r="F812" s="2"/>
      <c r="G812" s="3"/>
      <c r="H812" s="2"/>
      <c r="I812" s="2"/>
    </row>
    <row r="813" spans="1:9">
      <c r="A813" s="2"/>
      <c r="B813" s="2"/>
      <c r="C813" s="3"/>
      <c r="D813" s="3"/>
      <c r="E813" s="2"/>
      <c r="F813" s="2"/>
      <c r="G813" s="3"/>
      <c r="H813" s="2"/>
      <c r="I813" s="2"/>
    </row>
    <row r="814" spans="1:9">
      <c r="A814" s="2"/>
      <c r="B814" s="2"/>
      <c r="C814" s="3"/>
      <c r="D814" s="3"/>
      <c r="E814" s="2"/>
      <c r="F814" s="2"/>
      <c r="G814" s="3"/>
      <c r="H814" s="2"/>
      <c r="I814" s="2"/>
    </row>
    <row r="815" spans="1:9">
      <c r="A815" s="2"/>
      <c r="B815" s="2"/>
      <c r="C815" s="3"/>
      <c r="D815" s="3"/>
      <c r="E815" s="2"/>
      <c r="F815" s="2"/>
      <c r="G815" s="3"/>
      <c r="H815" s="2"/>
      <c r="I815" s="2"/>
    </row>
    <row r="816" spans="1:9">
      <c r="A816" s="2"/>
      <c r="B816" s="2"/>
      <c r="C816" s="3"/>
      <c r="D816" s="3"/>
      <c r="E816" s="2"/>
      <c r="F816" s="2"/>
      <c r="G816" s="3"/>
      <c r="H816" s="2"/>
      <c r="I816" s="2"/>
    </row>
    <row r="817" spans="1:9">
      <c r="A817" s="2"/>
      <c r="B817" s="2"/>
      <c r="C817" s="3"/>
      <c r="D817" s="3"/>
      <c r="E817" s="2"/>
      <c r="F817" s="2"/>
      <c r="G817" s="3"/>
      <c r="H817" s="2"/>
      <c r="I817" s="2"/>
    </row>
    <row r="818" spans="1:9">
      <c r="A818" s="2"/>
      <c r="B818" s="2"/>
      <c r="C818" s="3"/>
      <c r="D818" s="3"/>
      <c r="E818" s="2"/>
      <c r="F818" s="2"/>
      <c r="G818" s="3"/>
      <c r="H818" s="2"/>
      <c r="I818" s="2"/>
    </row>
    <row r="819" spans="1:9">
      <c r="A819" s="2"/>
      <c r="B819" s="2"/>
      <c r="C819" s="3"/>
      <c r="D819" s="3"/>
      <c r="E819" s="2"/>
      <c r="F819" s="2"/>
      <c r="G819" s="3"/>
      <c r="H819" s="2"/>
      <c r="I819" s="2"/>
    </row>
    <row r="820" spans="1:9">
      <c r="A820" s="2"/>
      <c r="B820" s="2"/>
      <c r="C820" s="3"/>
      <c r="D820" s="3"/>
      <c r="E820" s="2"/>
      <c r="F820" s="2"/>
      <c r="G820" s="3"/>
      <c r="H820" s="2"/>
      <c r="I820" s="2"/>
    </row>
    <row r="821" spans="1:9">
      <c r="A821" s="2"/>
      <c r="B821" s="2"/>
      <c r="C821" s="3"/>
      <c r="D821" s="3"/>
      <c r="E821" s="2"/>
      <c r="F821" s="2"/>
      <c r="G821" s="3"/>
      <c r="H821" s="2"/>
      <c r="I821" s="2"/>
    </row>
    <row r="822" spans="1:9">
      <c r="A822" s="2"/>
      <c r="B822" s="2"/>
      <c r="C822" s="3"/>
      <c r="D822" s="3"/>
      <c r="E822" s="2"/>
      <c r="F822" s="2"/>
      <c r="G822" s="3"/>
      <c r="H822" s="2"/>
      <c r="I822" s="2"/>
    </row>
    <row r="823" spans="1:9">
      <c r="A823" s="2"/>
      <c r="B823" s="2"/>
      <c r="C823" s="3"/>
      <c r="D823" s="3"/>
      <c r="E823" s="2"/>
      <c r="F823" s="2"/>
      <c r="G823" s="3"/>
      <c r="H823" s="2"/>
      <c r="I823" s="2"/>
    </row>
    <row r="824" spans="1:9">
      <c r="A824" s="2"/>
      <c r="B824" s="2"/>
      <c r="C824" s="3"/>
      <c r="D824" s="3"/>
      <c r="E824" s="2"/>
      <c r="F824" s="2"/>
      <c r="G824" s="3"/>
      <c r="H824" s="2"/>
      <c r="I824" s="2"/>
    </row>
    <row r="825" spans="1:9">
      <c r="A825" s="2"/>
      <c r="B825" s="2"/>
      <c r="C825" s="3"/>
      <c r="D825" s="3"/>
      <c r="E825" s="2"/>
      <c r="F825" s="2"/>
      <c r="G825" s="3"/>
      <c r="H825" s="2"/>
      <c r="I825" s="2"/>
    </row>
    <row r="826" spans="1:9">
      <c r="A826" s="2"/>
      <c r="B826" s="2"/>
      <c r="C826" s="3"/>
      <c r="D826" s="3"/>
      <c r="E826" s="2"/>
      <c r="F826" s="2"/>
      <c r="G826" s="3"/>
      <c r="H826" s="2"/>
      <c r="I826" s="2"/>
    </row>
    <row r="827" spans="1:9">
      <c r="A827" s="2"/>
      <c r="B827" s="2"/>
      <c r="C827" s="3"/>
      <c r="D827" s="3"/>
      <c r="E827" s="2"/>
      <c r="F827" s="2"/>
      <c r="G827" s="3"/>
      <c r="H827" s="2"/>
      <c r="I827" s="2"/>
    </row>
    <row r="828" spans="1:9">
      <c r="A828" s="2"/>
      <c r="B828" s="2"/>
      <c r="C828" s="3"/>
      <c r="D828" s="3"/>
      <c r="E828" s="2"/>
      <c r="F828" s="2"/>
      <c r="G828" s="3"/>
      <c r="H828" s="2"/>
      <c r="I828" s="2"/>
    </row>
    <row r="829" spans="1:9">
      <c r="A829" s="2"/>
      <c r="B829" s="2"/>
      <c r="C829" s="3"/>
      <c r="D829" s="3"/>
      <c r="E829" s="2"/>
      <c r="F829" s="2"/>
      <c r="G829" s="3"/>
      <c r="H829" s="2"/>
      <c r="I829" s="2"/>
    </row>
    <row r="830" spans="1:9">
      <c r="A830" s="2"/>
      <c r="B830" s="2"/>
      <c r="C830" s="3"/>
      <c r="D830" s="3"/>
      <c r="E830" s="2"/>
      <c r="F830" s="2"/>
      <c r="G830" s="3"/>
      <c r="H830" s="2"/>
      <c r="I830" s="2"/>
    </row>
    <row r="831" spans="1:9">
      <c r="A831" s="2"/>
      <c r="B831" s="2"/>
      <c r="C831" s="3"/>
      <c r="D831" s="3"/>
      <c r="E831" s="2"/>
      <c r="F831" s="2"/>
      <c r="G831" s="3"/>
      <c r="H831" s="2"/>
      <c r="I831" s="2"/>
    </row>
    <row r="832" spans="1:9">
      <c r="A832" s="2"/>
      <c r="B832" s="2"/>
      <c r="C832" s="3"/>
      <c r="D832" s="3"/>
      <c r="E832" s="2"/>
      <c r="F832" s="2"/>
      <c r="G832" s="3"/>
      <c r="H832" s="2"/>
      <c r="I832" s="2"/>
    </row>
    <row r="833" spans="1:9">
      <c r="A833" s="2"/>
      <c r="B833" s="2"/>
      <c r="C833" s="3"/>
      <c r="D833" s="3"/>
      <c r="E833" s="2"/>
      <c r="F833" s="2"/>
      <c r="G833" s="3"/>
      <c r="H833" s="2"/>
      <c r="I833" s="2"/>
    </row>
    <row r="834" spans="1:9">
      <c r="A834" s="2"/>
      <c r="B834" s="2"/>
      <c r="C834" s="3"/>
      <c r="D834" s="3"/>
      <c r="E834" s="2"/>
      <c r="F834" s="2"/>
      <c r="G834" s="3"/>
      <c r="H834" s="2"/>
      <c r="I834" s="2"/>
    </row>
    <row r="835" spans="1:9">
      <c r="A835" s="2"/>
      <c r="B835" s="2"/>
      <c r="C835" s="3"/>
      <c r="D835" s="3"/>
      <c r="E835" s="2"/>
      <c r="F835" s="2"/>
      <c r="G835" s="3"/>
      <c r="H835" s="2"/>
      <c r="I835" s="2"/>
    </row>
    <row r="836" spans="1:9">
      <c r="A836" s="2"/>
      <c r="B836" s="2"/>
      <c r="C836" s="3"/>
      <c r="D836" s="3"/>
      <c r="E836" s="2"/>
      <c r="F836" s="2"/>
      <c r="G836" s="3"/>
      <c r="H836" s="2"/>
      <c r="I836" s="2"/>
    </row>
    <row r="837" spans="1:9">
      <c r="A837" s="2"/>
      <c r="B837" s="2"/>
      <c r="C837" s="3"/>
      <c r="D837" s="3"/>
      <c r="E837" s="2"/>
      <c r="F837" s="2"/>
      <c r="G837" s="3"/>
      <c r="H837" s="2"/>
      <c r="I837" s="2"/>
    </row>
    <row r="838" spans="1:9">
      <c r="A838" s="2"/>
      <c r="B838" s="2"/>
      <c r="C838" s="3"/>
      <c r="D838" s="3"/>
      <c r="E838" s="2"/>
      <c r="F838" s="2"/>
      <c r="G838" s="3"/>
      <c r="H838" s="2"/>
      <c r="I838" s="2"/>
    </row>
    <row r="839" spans="1:9">
      <c r="A839" s="2"/>
      <c r="B839" s="2"/>
      <c r="C839" s="3"/>
      <c r="D839" s="3"/>
      <c r="E839" s="2"/>
      <c r="F839" s="2"/>
      <c r="G839" s="3"/>
      <c r="H839" s="2"/>
      <c r="I839" s="2"/>
    </row>
    <row r="840" spans="1:9">
      <c r="A840" s="2"/>
      <c r="B840" s="2"/>
      <c r="C840" s="3"/>
      <c r="D840" s="3"/>
      <c r="E840" s="2"/>
      <c r="F840" s="2"/>
      <c r="G840" s="3"/>
      <c r="H840" s="2"/>
      <c r="I840" s="2"/>
    </row>
    <row r="841" spans="1:9">
      <c r="A841" s="2"/>
      <c r="B841" s="2"/>
      <c r="C841" s="3"/>
      <c r="D841" s="3"/>
      <c r="E841" s="2"/>
      <c r="F841" s="2"/>
      <c r="G841" s="3"/>
      <c r="H841" s="2"/>
      <c r="I841" s="2"/>
    </row>
    <row r="842" spans="1:9">
      <c r="A842" s="2"/>
      <c r="B842" s="2"/>
      <c r="C842" s="3"/>
      <c r="D842" s="3"/>
      <c r="E842" s="2"/>
      <c r="F842" s="2"/>
      <c r="G842" s="3"/>
      <c r="H842" s="2"/>
      <c r="I842" s="2"/>
    </row>
    <row r="843" spans="1:9">
      <c r="A843" s="2"/>
      <c r="B843" s="2"/>
      <c r="C843" s="3"/>
      <c r="D843" s="3"/>
      <c r="E843" s="2"/>
      <c r="F843" s="2"/>
      <c r="G843" s="3"/>
      <c r="H843" s="2"/>
      <c r="I843" s="2"/>
    </row>
    <row r="844" spans="1:9">
      <c r="A844" s="2"/>
      <c r="B844" s="2"/>
      <c r="C844" s="3"/>
      <c r="D844" s="3"/>
      <c r="E844" s="2"/>
      <c r="F844" s="2"/>
      <c r="G844" s="3"/>
      <c r="H844" s="2"/>
      <c r="I844" s="2"/>
    </row>
    <row r="845" spans="1:9">
      <c r="A845" s="2"/>
      <c r="B845" s="2"/>
      <c r="C845" s="3"/>
      <c r="D845" s="3"/>
      <c r="E845" s="2"/>
      <c r="F845" s="2"/>
      <c r="G845" s="3"/>
      <c r="H845" s="2"/>
      <c r="I845" s="2"/>
    </row>
    <row r="846" spans="1:9">
      <c r="A846" s="2"/>
      <c r="B846" s="2"/>
      <c r="C846" s="3"/>
      <c r="D846" s="3"/>
      <c r="E846" s="2"/>
      <c r="F846" s="2"/>
      <c r="G846" s="3"/>
      <c r="H846" s="2"/>
      <c r="I846" s="2"/>
    </row>
    <row r="847" spans="1:9">
      <c r="A847" s="2"/>
      <c r="B847" s="2"/>
      <c r="C847" s="3"/>
      <c r="D847" s="3"/>
      <c r="E847" s="2"/>
      <c r="F847" s="2"/>
      <c r="G847" s="3"/>
      <c r="H847" s="2"/>
      <c r="I847" s="2"/>
    </row>
    <row r="848" spans="1:9">
      <c r="A848" s="2"/>
      <c r="B848" s="2"/>
      <c r="C848" s="3"/>
      <c r="D848" s="3"/>
      <c r="E848" s="2"/>
      <c r="F848" s="2"/>
      <c r="G848" s="3"/>
      <c r="H848" s="2"/>
      <c r="I848" s="2"/>
    </row>
    <row r="849" spans="1:9">
      <c r="A849" s="2"/>
      <c r="B849" s="2"/>
      <c r="C849" s="3"/>
      <c r="D849" s="3"/>
      <c r="E849" s="2"/>
      <c r="F849" s="2"/>
      <c r="G849" s="3"/>
      <c r="H849" s="2"/>
      <c r="I849" s="2"/>
    </row>
    <row r="850" spans="1:9">
      <c r="A850" s="2"/>
      <c r="B850" s="2"/>
      <c r="C850" s="3"/>
      <c r="D850" s="3"/>
      <c r="E850" s="2"/>
      <c r="F850" s="2"/>
      <c r="G850" s="3"/>
      <c r="H850" s="2"/>
      <c r="I850" s="2"/>
    </row>
    <row r="851" spans="1:9">
      <c r="A851" s="2"/>
      <c r="B851" s="2"/>
      <c r="C851" s="3"/>
      <c r="D851" s="3"/>
      <c r="E851" s="2"/>
      <c r="F851" s="2"/>
      <c r="G851" s="3"/>
      <c r="H851" s="2"/>
      <c r="I851" s="2"/>
    </row>
    <row r="852" spans="1:9">
      <c r="A852" s="2"/>
      <c r="B852" s="2"/>
      <c r="C852" s="3"/>
      <c r="D852" s="3"/>
      <c r="E852" s="2"/>
      <c r="F852" s="2"/>
      <c r="G852" s="3"/>
      <c r="H852" s="2"/>
      <c r="I852" s="2"/>
    </row>
    <row r="853" spans="1:9">
      <c r="A853" s="2"/>
      <c r="B853" s="2"/>
      <c r="C853" s="3"/>
      <c r="D853" s="3"/>
      <c r="E853" s="2"/>
      <c r="F853" s="2"/>
      <c r="G853" s="3"/>
      <c r="H853" s="2"/>
      <c r="I853" s="2"/>
    </row>
    <row r="854" spans="1:9">
      <c r="A854" s="2"/>
      <c r="B854" s="2"/>
      <c r="C854" s="3"/>
      <c r="D854" s="3"/>
      <c r="E854" s="2"/>
      <c r="F854" s="2"/>
      <c r="G854" s="3"/>
      <c r="H854" s="2"/>
      <c r="I854" s="2"/>
    </row>
    <row r="855" spans="1:9">
      <c r="A855" s="2"/>
      <c r="B855" s="2"/>
      <c r="C855" s="3"/>
      <c r="D855" s="3"/>
      <c r="E855" s="2"/>
      <c r="F855" s="2"/>
      <c r="G855" s="3"/>
      <c r="H855" s="2"/>
      <c r="I855" s="2"/>
    </row>
    <row r="856" spans="1:9">
      <c r="A856" s="2"/>
      <c r="B856" s="2"/>
      <c r="C856" s="3"/>
      <c r="D856" s="3"/>
      <c r="E856" s="2"/>
      <c r="F856" s="2"/>
      <c r="G856" s="3"/>
      <c r="H856" s="2"/>
      <c r="I856" s="2"/>
    </row>
    <row r="857" spans="1:9">
      <c r="A857" s="2"/>
      <c r="B857" s="2"/>
      <c r="C857" s="3"/>
      <c r="D857" s="3"/>
      <c r="E857" s="2"/>
      <c r="F857" s="2"/>
      <c r="G857" s="3"/>
      <c r="H857" s="2"/>
      <c r="I857" s="2"/>
    </row>
    <row r="858" spans="1:9">
      <c r="A858" s="2"/>
      <c r="B858" s="2"/>
      <c r="C858" s="3"/>
      <c r="D858" s="3"/>
      <c r="E858" s="2"/>
      <c r="F858" s="2"/>
      <c r="G858" s="3"/>
      <c r="H858" s="2"/>
      <c r="I858" s="2"/>
    </row>
    <row r="859" spans="1:9">
      <c r="A859" s="2"/>
      <c r="B859" s="2"/>
      <c r="C859" s="3"/>
      <c r="D859" s="3"/>
      <c r="E859" s="2"/>
      <c r="F859" s="2"/>
      <c r="G859" s="3"/>
      <c r="H859" s="2"/>
      <c r="I859" s="2"/>
    </row>
    <row r="860" spans="1:9">
      <c r="A860" s="2"/>
      <c r="B860" s="2"/>
      <c r="C860" s="3"/>
      <c r="D860" s="3"/>
      <c r="E860" s="2"/>
      <c r="F860" s="2"/>
      <c r="G860" s="3"/>
      <c r="H860" s="2"/>
      <c r="I860" s="2"/>
    </row>
    <row r="861" spans="1:9">
      <c r="A861" s="2"/>
      <c r="B861" s="2"/>
      <c r="C861" s="3"/>
      <c r="D861" s="3"/>
      <c r="E861" s="2"/>
      <c r="F861" s="2"/>
      <c r="G861" s="3"/>
      <c r="H861" s="2"/>
      <c r="I861" s="2"/>
    </row>
    <row r="862" spans="1:9">
      <c r="A862" s="2"/>
      <c r="B862" s="2"/>
      <c r="C862" s="3"/>
      <c r="D862" s="3"/>
      <c r="E862" s="2"/>
      <c r="F862" s="2"/>
      <c r="G862" s="3"/>
      <c r="H862" s="2"/>
      <c r="I862" s="2"/>
    </row>
    <row r="863" spans="1:9">
      <c r="A863" s="2"/>
      <c r="B863" s="2"/>
      <c r="C863" s="3"/>
      <c r="D863" s="3"/>
      <c r="E863" s="2"/>
      <c r="F863" s="2"/>
      <c r="G863" s="3"/>
      <c r="H863" s="2"/>
      <c r="I863" s="2"/>
    </row>
    <row r="864" spans="1:9">
      <c r="A864" s="2"/>
      <c r="B864" s="2"/>
      <c r="C864" s="3"/>
      <c r="D864" s="3"/>
      <c r="E864" s="2"/>
      <c r="F864" s="2"/>
      <c r="G864" s="3"/>
      <c r="H864" s="2"/>
      <c r="I864" s="2"/>
    </row>
    <row r="865" spans="1:9">
      <c r="A865" s="2"/>
      <c r="B865" s="2"/>
      <c r="C865" s="3"/>
      <c r="D865" s="3"/>
      <c r="E865" s="2"/>
      <c r="F865" s="2"/>
      <c r="G865" s="3"/>
      <c r="H865" s="2"/>
      <c r="I865" s="2"/>
    </row>
    <row r="866" spans="1:9">
      <c r="A866" s="2"/>
      <c r="B866" s="2"/>
      <c r="C866" s="3"/>
      <c r="D866" s="3"/>
      <c r="E866" s="2"/>
      <c r="F866" s="2"/>
      <c r="G866" s="3"/>
      <c r="H866" s="2"/>
      <c r="I866" s="2"/>
    </row>
    <row r="867" spans="1:9">
      <c r="A867" s="2"/>
      <c r="B867" s="2"/>
      <c r="C867" s="3"/>
      <c r="D867" s="3"/>
      <c r="E867" s="2"/>
      <c r="F867" s="2"/>
      <c r="G867" s="3"/>
      <c r="H867" s="2"/>
      <c r="I867" s="2"/>
    </row>
    <row r="868" spans="1:9">
      <c r="A868" s="2"/>
      <c r="B868" s="2"/>
      <c r="C868" s="3"/>
      <c r="D868" s="3"/>
      <c r="E868" s="2"/>
      <c r="F868" s="2"/>
      <c r="G868" s="3"/>
      <c r="H868" s="2"/>
      <c r="I868" s="2"/>
    </row>
    <row r="869" spans="1:9">
      <c r="A869" s="2"/>
      <c r="B869" s="2"/>
      <c r="C869" s="3"/>
      <c r="D869" s="3"/>
      <c r="E869" s="2"/>
      <c r="F869" s="2"/>
      <c r="G869" s="3"/>
      <c r="H869" s="2"/>
      <c r="I869" s="2"/>
    </row>
    <row r="870" spans="1:9">
      <c r="A870" s="2"/>
      <c r="B870" s="2"/>
      <c r="C870" s="3"/>
      <c r="D870" s="3"/>
      <c r="E870" s="2"/>
      <c r="F870" s="2"/>
      <c r="G870" s="3"/>
      <c r="H870" s="2"/>
      <c r="I870" s="2"/>
    </row>
    <row r="871" spans="1:9">
      <c r="A871" s="2"/>
      <c r="B871" s="2"/>
      <c r="C871" s="3"/>
      <c r="D871" s="3"/>
      <c r="E871" s="2"/>
      <c r="F871" s="2"/>
      <c r="G871" s="3"/>
      <c r="H871" s="2"/>
      <c r="I871" s="2"/>
    </row>
    <row r="872" spans="1:9">
      <c r="A872" s="2"/>
      <c r="B872" s="2"/>
      <c r="C872" s="3"/>
      <c r="D872" s="3"/>
      <c r="E872" s="2"/>
      <c r="F872" s="2"/>
      <c r="G872" s="3"/>
      <c r="H872" s="2"/>
      <c r="I872" s="2"/>
    </row>
    <row r="873" spans="1:9">
      <c r="A873" s="2"/>
      <c r="B873" s="2"/>
      <c r="C873" s="3"/>
      <c r="D873" s="3"/>
      <c r="E873" s="2"/>
      <c r="F873" s="2"/>
      <c r="G873" s="3"/>
      <c r="H873" s="2"/>
      <c r="I873" s="2"/>
    </row>
    <row r="874" spans="1:9">
      <c r="A874" s="2"/>
      <c r="B874" s="2"/>
      <c r="C874" s="3"/>
      <c r="D874" s="3"/>
      <c r="E874" s="2"/>
      <c r="F874" s="2"/>
      <c r="G874" s="3"/>
      <c r="H874" s="2"/>
      <c r="I874" s="2"/>
    </row>
    <row r="875" spans="1:9">
      <c r="A875" s="2"/>
      <c r="B875" s="2"/>
      <c r="C875" s="3"/>
      <c r="D875" s="3"/>
      <c r="E875" s="2"/>
      <c r="F875" s="2"/>
      <c r="G875" s="3"/>
      <c r="H875" s="2"/>
      <c r="I875" s="2"/>
    </row>
    <row r="876" spans="1:9">
      <c r="A876" s="2"/>
      <c r="B876" s="2"/>
      <c r="C876" s="3"/>
      <c r="D876" s="3"/>
      <c r="E876" s="2"/>
      <c r="F876" s="2"/>
      <c r="G876" s="3"/>
      <c r="H876" s="2"/>
      <c r="I876" s="2"/>
    </row>
    <row r="877" spans="1:9">
      <c r="A877" s="2"/>
      <c r="B877" s="2"/>
      <c r="C877" s="3"/>
      <c r="D877" s="3"/>
      <c r="E877" s="2"/>
      <c r="F877" s="2"/>
      <c r="G877" s="3"/>
      <c r="H877" s="2"/>
      <c r="I877" s="2"/>
    </row>
    <row r="878" spans="1:9">
      <c r="A878" s="2"/>
      <c r="B878" s="2"/>
      <c r="C878" s="3"/>
      <c r="D878" s="3"/>
      <c r="E878" s="2"/>
      <c r="F878" s="2"/>
      <c r="G878" s="3"/>
      <c r="H878" s="2"/>
      <c r="I878" s="2"/>
    </row>
    <row r="879" spans="1:9">
      <c r="A879" s="2"/>
      <c r="B879" s="2"/>
      <c r="C879" s="3"/>
      <c r="D879" s="3"/>
      <c r="E879" s="2"/>
      <c r="F879" s="2"/>
      <c r="G879" s="3"/>
      <c r="H879" s="2"/>
      <c r="I879" s="2"/>
    </row>
    <row r="880" spans="1:9">
      <c r="A880" s="2"/>
      <c r="B880" s="2"/>
      <c r="C880" s="3"/>
      <c r="D880" s="3"/>
      <c r="E880" s="2"/>
      <c r="F880" s="2"/>
      <c r="G880" s="3"/>
      <c r="H880" s="2"/>
      <c r="I880" s="2"/>
    </row>
    <row r="881" spans="1:9">
      <c r="A881" s="2"/>
      <c r="B881" s="2"/>
      <c r="C881" s="3"/>
      <c r="D881" s="3"/>
      <c r="E881" s="2"/>
      <c r="F881" s="2"/>
      <c r="G881" s="3"/>
      <c r="H881" s="2"/>
      <c r="I881" s="2"/>
    </row>
    <row r="882" spans="1:9">
      <c r="A882" s="2"/>
      <c r="B882" s="2"/>
      <c r="C882" s="3"/>
      <c r="D882" s="3"/>
      <c r="E882" s="2"/>
      <c r="F882" s="2"/>
      <c r="G882" s="3"/>
      <c r="H882" s="2"/>
      <c r="I882" s="2"/>
    </row>
    <row r="883" spans="1:9">
      <c r="A883" s="2"/>
      <c r="B883" s="2"/>
      <c r="C883" s="3"/>
      <c r="D883" s="3"/>
      <c r="E883" s="2"/>
      <c r="F883" s="2"/>
      <c r="G883" s="3"/>
      <c r="H883" s="2"/>
      <c r="I883" s="2"/>
    </row>
    <row r="884" spans="1:9">
      <c r="A884" s="2"/>
      <c r="B884" s="2"/>
      <c r="C884" s="3"/>
      <c r="D884" s="3"/>
      <c r="E884" s="2"/>
      <c r="F884" s="2"/>
      <c r="G884" s="3"/>
      <c r="H884" s="2"/>
      <c r="I884" s="2"/>
    </row>
    <row r="885" spans="1:9">
      <c r="A885" s="2"/>
      <c r="B885" s="2"/>
      <c r="C885" s="3"/>
      <c r="D885" s="3"/>
      <c r="E885" s="2"/>
      <c r="F885" s="2"/>
      <c r="G885" s="3"/>
      <c r="H885" s="2"/>
      <c r="I885" s="2"/>
    </row>
    <row r="886" spans="1:9">
      <c r="A886" s="2"/>
      <c r="B886" s="2"/>
      <c r="C886" s="3"/>
      <c r="D886" s="3"/>
      <c r="E886" s="2"/>
      <c r="F886" s="2"/>
      <c r="G886" s="3"/>
      <c r="H886" s="2"/>
      <c r="I886" s="2"/>
    </row>
    <row r="887" spans="1:9">
      <c r="A887" s="2"/>
      <c r="B887" s="2"/>
      <c r="C887" s="3"/>
      <c r="D887" s="3"/>
      <c r="E887" s="2"/>
      <c r="F887" s="2"/>
      <c r="G887" s="3"/>
      <c r="H887" s="2"/>
      <c r="I887" s="2"/>
    </row>
    <row r="888" spans="1:9">
      <c r="A888" s="2"/>
      <c r="B888" s="2"/>
      <c r="C888" s="3"/>
      <c r="D888" s="3"/>
      <c r="E888" s="2"/>
      <c r="F888" s="2"/>
      <c r="G888" s="3"/>
      <c r="H888" s="2"/>
      <c r="I888" s="2"/>
    </row>
    <row r="889" spans="1:9">
      <c r="A889" s="2"/>
      <c r="B889" s="2"/>
      <c r="C889" s="3"/>
      <c r="D889" s="3"/>
      <c r="E889" s="2"/>
      <c r="F889" s="2"/>
      <c r="G889" s="3"/>
      <c r="H889" s="2"/>
      <c r="I889" s="2"/>
    </row>
    <row r="890" spans="1:9">
      <c r="A890" s="2"/>
      <c r="B890" s="2"/>
      <c r="C890" s="3"/>
      <c r="D890" s="3"/>
      <c r="E890" s="2"/>
      <c r="F890" s="2"/>
      <c r="G890" s="3"/>
      <c r="H890" s="2"/>
      <c r="I890" s="2"/>
    </row>
    <row r="891" spans="1:9">
      <c r="A891" s="2"/>
      <c r="B891" s="2"/>
      <c r="C891" s="3"/>
      <c r="D891" s="3"/>
      <c r="E891" s="2"/>
      <c r="F891" s="2"/>
      <c r="G891" s="3"/>
      <c r="H891" s="2"/>
      <c r="I891" s="2"/>
    </row>
    <row r="892" spans="1:9">
      <c r="A892" s="2"/>
      <c r="B892" s="2"/>
      <c r="C892" s="3"/>
      <c r="D892" s="3"/>
      <c r="E892" s="2"/>
      <c r="F892" s="2"/>
      <c r="G892" s="3"/>
      <c r="H892" s="2"/>
      <c r="I892" s="2"/>
    </row>
    <row r="893" spans="1:9">
      <c r="A893" s="2"/>
      <c r="B893" s="2"/>
      <c r="C893" s="3"/>
      <c r="D893" s="3"/>
      <c r="E893" s="2"/>
      <c r="F893" s="2"/>
      <c r="G893" s="3"/>
      <c r="H893" s="2"/>
      <c r="I893" s="2"/>
    </row>
    <row r="894" spans="1:9">
      <c r="A894" s="2"/>
      <c r="B894" s="2"/>
      <c r="C894" s="3"/>
      <c r="D894" s="3"/>
      <c r="E894" s="2"/>
      <c r="F894" s="2"/>
      <c r="G894" s="3"/>
      <c r="H894" s="2"/>
      <c r="I894" s="2"/>
    </row>
    <row r="895" spans="1:9">
      <c r="A895" s="2"/>
      <c r="B895" s="2"/>
      <c r="C895" s="3"/>
      <c r="D895" s="3"/>
      <c r="E895" s="2"/>
      <c r="F895" s="2"/>
      <c r="G895" s="3"/>
      <c r="H895" s="2"/>
      <c r="I895" s="2"/>
    </row>
    <row r="896" spans="1:9">
      <c r="A896" s="2"/>
      <c r="B896" s="2"/>
      <c r="C896" s="3"/>
      <c r="D896" s="3"/>
      <c r="E896" s="2"/>
      <c r="F896" s="2"/>
      <c r="G896" s="3"/>
      <c r="H896" s="2"/>
      <c r="I896" s="2"/>
    </row>
    <row r="897" spans="1:9">
      <c r="A897" s="2"/>
      <c r="B897" s="2"/>
      <c r="C897" s="3"/>
      <c r="D897" s="3"/>
      <c r="E897" s="2"/>
      <c r="F897" s="2"/>
      <c r="G897" s="3"/>
      <c r="H897" s="2"/>
      <c r="I897" s="2"/>
    </row>
    <row r="898" spans="1:9">
      <c r="A898" s="2"/>
      <c r="B898" s="2"/>
      <c r="C898" s="3"/>
      <c r="D898" s="3"/>
      <c r="E898" s="2"/>
      <c r="F898" s="2"/>
      <c r="G898" s="3"/>
      <c r="H898" s="2"/>
      <c r="I898" s="2"/>
    </row>
    <row r="899" spans="1:9">
      <c r="A899" s="2"/>
      <c r="B899" s="2"/>
      <c r="C899" s="3"/>
      <c r="D899" s="3"/>
      <c r="E899" s="2"/>
      <c r="F899" s="2"/>
      <c r="G899" s="3"/>
      <c r="H899" s="2"/>
      <c r="I899" s="2"/>
    </row>
    <row r="900" spans="1:9">
      <c r="A900" s="2"/>
      <c r="B900" s="2"/>
      <c r="C900" s="3"/>
      <c r="D900" s="3"/>
      <c r="E900" s="2"/>
      <c r="F900" s="2"/>
      <c r="G900" s="3"/>
      <c r="H900" s="2"/>
      <c r="I900" s="2"/>
    </row>
    <row r="901" spans="1:9">
      <c r="A901" s="2"/>
      <c r="B901" s="2"/>
      <c r="C901" s="3"/>
      <c r="D901" s="3"/>
      <c r="E901" s="2"/>
      <c r="F901" s="2"/>
      <c r="G901" s="3"/>
      <c r="H901" s="2"/>
      <c r="I901" s="2"/>
    </row>
    <row r="902" spans="1:9">
      <c r="A902" s="2"/>
      <c r="B902" s="2"/>
      <c r="C902" s="3"/>
      <c r="D902" s="3"/>
      <c r="E902" s="2"/>
      <c r="F902" s="2"/>
      <c r="G902" s="3"/>
      <c r="H902" s="2"/>
      <c r="I902" s="2"/>
    </row>
    <row r="903" spans="1:9">
      <c r="A903" s="2"/>
      <c r="B903" s="2"/>
      <c r="C903" s="3"/>
      <c r="D903" s="3"/>
      <c r="E903" s="2"/>
      <c r="F903" s="2"/>
      <c r="G903" s="3"/>
      <c r="H903" s="2"/>
      <c r="I903" s="2"/>
    </row>
    <row r="904" spans="1:9">
      <c r="A904" s="2"/>
      <c r="B904" s="2"/>
      <c r="C904" s="3"/>
      <c r="D904" s="3"/>
      <c r="E904" s="2"/>
      <c r="F904" s="2"/>
      <c r="G904" s="3"/>
      <c r="H904" s="2"/>
      <c r="I904" s="2"/>
    </row>
    <row r="905" spans="1:9">
      <c r="A905" s="2"/>
      <c r="B905" s="2"/>
      <c r="C905" s="3"/>
      <c r="D905" s="3"/>
      <c r="E905" s="2"/>
      <c r="F905" s="2"/>
      <c r="G905" s="3"/>
      <c r="H905" s="2"/>
      <c r="I905" s="2"/>
    </row>
    <row r="906" spans="1:9">
      <c r="A906" s="2"/>
      <c r="B906" s="2"/>
      <c r="C906" s="3"/>
      <c r="D906" s="3"/>
      <c r="E906" s="2"/>
      <c r="F906" s="2"/>
      <c r="G906" s="3"/>
      <c r="H906" s="2"/>
      <c r="I906" s="2"/>
    </row>
    <row r="907" spans="1:9">
      <c r="A907" s="2"/>
      <c r="B907" s="2"/>
      <c r="C907" s="3"/>
      <c r="D907" s="3"/>
      <c r="E907" s="2"/>
      <c r="F907" s="2"/>
      <c r="G907" s="3"/>
      <c r="H907" s="2"/>
      <c r="I907" s="2"/>
    </row>
    <row r="908" spans="1:9">
      <c r="A908" s="2"/>
      <c r="B908" s="2"/>
      <c r="C908" s="3"/>
      <c r="D908" s="3"/>
      <c r="E908" s="2"/>
      <c r="F908" s="2"/>
      <c r="G908" s="3"/>
      <c r="H908" s="2"/>
      <c r="I908" s="2"/>
    </row>
    <row r="909" spans="1:9">
      <c r="A909" s="2"/>
      <c r="B909" s="2"/>
      <c r="C909" s="3"/>
      <c r="D909" s="3"/>
      <c r="E909" s="2"/>
      <c r="F909" s="2"/>
      <c r="G909" s="3"/>
      <c r="H909" s="2"/>
      <c r="I909" s="2"/>
    </row>
    <row r="910" spans="1:9">
      <c r="A910" s="2"/>
      <c r="B910" s="2"/>
      <c r="C910" s="3"/>
      <c r="D910" s="3"/>
      <c r="E910" s="2"/>
      <c r="F910" s="2"/>
      <c r="G910" s="3"/>
      <c r="H910" s="2"/>
      <c r="I910" s="2"/>
    </row>
    <row r="911" spans="1:9">
      <c r="A911" s="2"/>
      <c r="B911" s="2"/>
      <c r="C911" s="3"/>
      <c r="D911" s="3"/>
      <c r="E911" s="2"/>
      <c r="F911" s="2"/>
      <c r="G911" s="3"/>
      <c r="H911" s="2"/>
      <c r="I911" s="2"/>
    </row>
    <row r="912" spans="1:9">
      <c r="A912" s="2"/>
      <c r="B912" s="2"/>
      <c r="C912" s="3"/>
      <c r="D912" s="3"/>
      <c r="E912" s="2"/>
      <c r="F912" s="2"/>
      <c r="G912" s="3"/>
      <c r="H912" s="2"/>
      <c r="I912" s="2"/>
    </row>
    <row r="913" spans="1:9">
      <c r="A913" s="2"/>
      <c r="B913" s="2"/>
      <c r="C913" s="3"/>
      <c r="D913" s="3"/>
      <c r="E913" s="2"/>
      <c r="F913" s="2"/>
      <c r="G913" s="3"/>
      <c r="H913" s="2"/>
      <c r="I913" s="2"/>
    </row>
    <row r="914" spans="1:9">
      <c r="A914" s="2"/>
      <c r="B914" s="2"/>
      <c r="C914" s="3"/>
      <c r="D914" s="3"/>
      <c r="E914" s="2"/>
      <c r="F914" s="2"/>
      <c r="G914" s="3"/>
      <c r="H914" s="2"/>
      <c r="I914" s="2"/>
    </row>
    <row r="915" spans="1:9">
      <c r="A915" s="2"/>
      <c r="B915" s="2"/>
      <c r="C915" s="3"/>
      <c r="D915" s="3"/>
      <c r="E915" s="2"/>
      <c r="F915" s="2"/>
      <c r="G915" s="3"/>
      <c r="H915" s="2"/>
      <c r="I915" s="2"/>
    </row>
    <row r="916" spans="1:9">
      <c r="A916" s="2"/>
      <c r="B916" s="2"/>
      <c r="C916" s="3"/>
      <c r="D916" s="3"/>
      <c r="E916" s="2"/>
      <c r="F916" s="2"/>
      <c r="G916" s="3"/>
      <c r="H916" s="2"/>
      <c r="I916" s="2"/>
    </row>
    <row r="917" spans="1:9">
      <c r="A917" s="2"/>
      <c r="B917" s="2"/>
      <c r="C917" s="3"/>
      <c r="D917" s="3"/>
      <c r="E917" s="2"/>
      <c r="F917" s="2"/>
      <c r="G917" s="3"/>
      <c r="H917" s="2"/>
      <c r="I917" s="2"/>
    </row>
    <row r="918" spans="1:9">
      <c r="A918" s="2"/>
      <c r="B918" s="2"/>
      <c r="C918" s="3"/>
      <c r="D918" s="3"/>
      <c r="E918" s="2"/>
      <c r="F918" s="2"/>
      <c r="G918" s="3"/>
      <c r="H918" s="2"/>
      <c r="I918" s="2"/>
    </row>
    <row r="919" spans="1:9">
      <c r="A919" s="2"/>
      <c r="B919" s="2"/>
      <c r="C919" s="3"/>
      <c r="D919" s="3"/>
      <c r="E919" s="2"/>
      <c r="F919" s="2"/>
      <c r="G919" s="3"/>
      <c r="H919" s="2"/>
      <c r="I919" s="2"/>
    </row>
    <row r="920" spans="1:9">
      <c r="A920" s="2"/>
      <c r="B920" s="2"/>
      <c r="C920" s="3"/>
      <c r="D920" s="3"/>
      <c r="E920" s="2"/>
      <c r="F920" s="2"/>
      <c r="G920" s="3"/>
      <c r="H920" s="2"/>
      <c r="I920" s="2"/>
    </row>
    <row r="921" spans="1:9">
      <c r="A921" s="2"/>
      <c r="B921" s="2"/>
      <c r="C921" s="3"/>
      <c r="D921" s="3"/>
      <c r="E921" s="2"/>
      <c r="F921" s="2"/>
      <c r="G921" s="3"/>
      <c r="H921" s="2"/>
      <c r="I921" s="2"/>
    </row>
    <row r="922" spans="1:9">
      <c r="A922" s="2"/>
      <c r="B922" s="2"/>
      <c r="C922" s="3"/>
      <c r="D922" s="3"/>
      <c r="E922" s="2"/>
      <c r="F922" s="2"/>
      <c r="G922" s="3"/>
      <c r="H922" s="2"/>
      <c r="I922" s="2"/>
    </row>
    <row r="923" spans="1:9">
      <c r="A923" s="2"/>
      <c r="B923" s="2"/>
      <c r="C923" s="3"/>
      <c r="D923" s="3"/>
      <c r="E923" s="2"/>
      <c r="F923" s="2"/>
      <c r="G923" s="3"/>
      <c r="H923" s="2"/>
      <c r="I923" s="2"/>
    </row>
    <row r="924" spans="1:9">
      <c r="A924" s="2"/>
      <c r="B924" s="2"/>
      <c r="C924" s="3"/>
      <c r="D924" s="3"/>
      <c r="E924" s="2"/>
      <c r="F924" s="2"/>
      <c r="G924" s="3"/>
      <c r="H924" s="2"/>
      <c r="I924" s="2"/>
    </row>
    <row r="925" spans="1:9">
      <c r="A925" s="2"/>
      <c r="B925" s="2"/>
      <c r="C925" s="3"/>
      <c r="D925" s="3"/>
      <c r="E925" s="2"/>
      <c r="F925" s="2"/>
      <c r="G925" s="3"/>
      <c r="H925" s="2"/>
      <c r="I925" s="2"/>
    </row>
    <row r="926" spans="1:9">
      <c r="A926" s="2"/>
      <c r="B926" s="2"/>
      <c r="C926" s="3"/>
      <c r="D926" s="3"/>
      <c r="E926" s="2"/>
      <c r="F926" s="2"/>
      <c r="G926" s="3"/>
      <c r="H926" s="2"/>
      <c r="I926" s="2"/>
    </row>
    <row r="927" spans="1:9">
      <c r="A927" s="2"/>
      <c r="B927" s="2"/>
      <c r="C927" s="3"/>
      <c r="D927" s="3"/>
      <c r="E927" s="2"/>
      <c r="F927" s="2"/>
      <c r="G927" s="3"/>
      <c r="H927" s="2"/>
      <c r="I927" s="2"/>
    </row>
    <row r="928" spans="1:9">
      <c r="A928" s="2"/>
      <c r="B928" s="2"/>
      <c r="C928" s="3"/>
      <c r="D928" s="3"/>
      <c r="E928" s="2"/>
      <c r="F928" s="2"/>
      <c r="G928" s="3"/>
      <c r="H928" s="2"/>
      <c r="I928" s="2"/>
    </row>
    <row r="929" spans="1:9">
      <c r="A929" s="2"/>
      <c r="B929" s="2"/>
      <c r="C929" s="3"/>
      <c r="D929" s="3"/>
      <c r="E929" s="2"/>
      <c r="F929" s="2"/>
      <c r="G929" s="3"/>
      <c r="H929" s="2"/>
      <c r="I929" s="2"/>
    </row>
    <row r="930" spans="1:9">
      <c r="A930" s="2"/>
      <c r="B930" s="2"/>
      <c r="C930" s="3"/>
      <c r="D930" s="3"/>
      <c r="E930" s="2"/>
      <c r="F930" s="2"/>
      <c r="G930" s="3"/>
      <c r="H930" s="2"/>
      <c r="I930" s="2"/>
    </row>
    <row r="931" spans="1:9">
      <c r="A931" s="2"/>
      <c r="B931" s="2"/>
      <c r="C931" s="3"/>
      <c r="D931" s="3"/>
      <c r="E931" s="2"/>
      <c r="F931" s="2"/>
      <c r="G931" s="3"/>
      <c r="H931" s="2"/>
      <c r="I931" s="2"/>
    </row>
    <row r="932" spans="1:9">
      <c r="A932" s="2"/>
      <c r="B932" s="2"/>
      <c r="C932" s="3"/>
      <c r="D932" s="3"/>
      <c r="E932" s="2"/>
      <c r="F932" s="2"/>
      <c r="G932" s="3"/>
      <c r="H932" s="2"/>
      <c r="I932" s="2"/>
    </row>
    <row r="933" spans="1:9">
      <c r="A933" s="2"/>
      <c r="B933" s="2"/>
      <c r="C933" s="3"/>
      <c r="D933" s="3"/>
      <c r="E933" s="2"/>
      <c r="F933" s="2"/>
      <c r="G933" s="3"/>
      <c r="H933" s="2"/>
      <c r="I933" s="2"/>
    </row>
    <row r="934" spans="1:9">
      <c r="A934" s="2"/>
      <c r="B934" s="2"/>
      <c r="C934" s="3"/>
      <c r="D934" s="3"/>
      <c r="E934" s="2"/>
      <c r="F934" s="2"/>
      <c r="G934" s="3"/>
      <c r="H934" s="2"/>
      <c r="I934" s="2"/>
    </row>
    <row r="935" spans="1:9">
      <c r="A935" s="2"/>
      <c r="B935" s="2"/>
      <c r="C935" s="3"/>
      <c r="D935" s="3"/>
      <c r="E935" s="2"/>
      <c r="F935" s="2"/>
      <c r="G935" s="3"/>
      <c r="H935" s="2"/>
      <c r="I935" s="2"/>
    </row>
    <row r="936" spans="1:9">
      <c r="A936" s="2"/>
      <c r="B936" s="2"/>
      <c r="C936" s="3"/>
      <c r="D936" s="3"/>
      <c r="E936" s="2"/>
      <c r="F936" s="2"/>
      <c r="G936" s="3"/>
      <c r="H936" s="2"/>
      <c r="I936" s="2"/>
    </row>
    <row r="937" spans="1:9">
      <c r="A937" s="2"/>
      <c r="B937" s="2"/>
      <c r="C937" s="3"/>
      <c r="D937" s="3"/>
      <c r="E937" s="2"/>
      <c r="F937" s="2"/>
      <c r="G937" s="3"/>
      <c r="H937" s="2"/>
      <c r="I937" s="2"/>
    </row>
    <row r="938" spans="1:9">
      <c r="A938" s="2"/>
      <c r="B938" s="2"/>
      <c r="C938" s="3"/>
      <c r="D938" s="3"/>
      <c r="E938" s="2"/>
      <c r="F938" s="2"/>
      <c r="G938" s="3"/>
      <c r="H938" s="2"/>
      <c r="I938" s="2"/>
    </row>
    <row r="939" spans="1:9">
      <c r="A939" s="2"/>
      <c r="B939" s="2"/>
      <c r="C939" s="3"/>
      <c r="D939" s="3"/>
      <c r="E939" s="2"/>
      <c r="F939" s="2"/>
      <c r="G939" s="3"/>
      <c r="H939" s="2"/>
      <c r="I939" s="2"/>
    </row>
    <row r="940" spans="1:9">
      <c r="A940" s="2"/>
      <c r="B940" s="2"/>
      <c r="C940" s="3"/>
      <c r="D940" s="3"/>
      <c r="E940" s="2"/>
      <c r="F940" s="2"/>
      <c r="G940" s="3"/>
      <c r="H940" s="2"/>
      <c r="I940" s="2"/>
    </row>
    <row r="941" spans="1:9">
      <c r="A941" s="2"/>
      <c r="B941" s="2"/>
      <c r="C941" s="3"/>
      <c r="D941" s="3"/>
      <c r="E941" s="2"/>
      <c r="F941" s="2"/>
      <c r="G941" s="3"/>
      <c r="H941" s="2"/>
      <c r="I941" s="2"/>
    </row>
    <row r="942" spans="1:9">
      <c r="A942" s="2"/>
      <c r="B942" s="2"/>
      <c r="C942" s="3"/>
      <c r="D942" s="3"/>
      <c r="E942" s="2"/>
      <c r="F942" s="2"/>
      <c r="G942" s="3"/>
      <c r="H942" s="2"/>
      <c r="I942" s="2"/>
    </row>
    <row r="943" spans="1:9">
      <c r="A943" s="2"/>
      <c r="B943" s="2"/>
      <c r="C943" s="3"/>
      <c r="D943" s="3"/>
      <c r="E943" s="2"/>
      <c r="F943" s="2"/>
      <c r="G943" s="3"/>
      <c r="H943" s="2"/>
      <c r="I943" s="2"/>
    </row>
    <row r="944" spans="1:9">
      <c r="A944" s="2"/>
      <c r="B944" s="2"/>
      <c r="C944" s="3"/>
      <c r="D944" s="3"/>
      <c r="E944" s="2"/>
      <c r="F944" s="2"/>
      <c r="G944" s="3"/>
      <c r="H944" s="2"/>
      <c r="I944" s="2"/>
    </row>
    <row r="945" spans="1:9">
      <c r="A945" s="2"/>
      <c r="B945" s="2"/>
      <c r="C945" s="3"/>
      <c r="D945" s="3"/>
      <c r="E945" s="2"/>
      <c r="F945" s="2"/>
      <c r="G945" s="3"/>
      <c r="H945" s="2"/>
      <c r="I945" s="2"/>
    </row>
    <row r="946" spans="1:9">
      <c r="A946" s="2"/>
      <c r="B946" s="2"/>
      <c r="C946" s="3"/>
      <c r="D946" s="3"/>
      <c r="E946" s="2"/>
      <c r="F946" s="2"/>
      <c r="G946" s="3"/>
      <c r="H946" s="2"/>
      <c r="I946" s="2"/>
    </row>
    <row r="947" spans="1:9">
      <c r="A947" s="2"/>
      <c r="B947" s="2"/>
      <c r="C947" s="3"/>
      <c r="D947" s="3"/>
      <c r="E947" s="2"/>
      <c r="F947" s="2"/>
      <c r="G947" s="3"/>
      <c r="H947" s="2"/>
      <c r="I947" s="2"/>
    </row>
    <row r="948" spans="1:9">
      <c r="A948" s="2"/>
      <c r="B948" s="2"/>
      <c r="C948" s="3"/>
      <c r="D948" s="3"/>
      <c r="E948" s="2"/>
      <c r="F948" s="2"/>
      <c r="G948" s="3"/>
      <c r="H948" s="2"/>
      <c r="I948" s="2"/>
    </row>
    <row r="949" spans="1:9">
      <c r="A949" s="2"/>
      <c r="B949" s="2"/>
      <c r="C949" s="3"/>
      <c r="D949" s="3"/>
      <c r="E949" s="2"/>
      <c r="F949" s="2"/>
      <c r="G949" s="3"/>
      <c r="H949" s="2"/>
      <c r="I949" s="2"/>
    </row>
    <row r="950" spans="1:9">
      <c r="A950" s="2"/>
      <c r="B950" s="2"/>
      <c r="C950" s="3"/>
      <c r="D950" s="3"/>
      <c r="E950" s="2"/>
      <c r="F950" s="2"/>
      <c r="G950" s="3"/>
      <c r="H950" s="2"/>
      <c r="I950" s="2"/>
    </row>
    <row r="951" spans="1:9">
      <c r="A951" s="2"/>
      <c r="B951" s="2"/>
      <c r="C951" s="3"/>
      <c r="D951" s="3"/>
      <c r="E951" s="2"/>
      <c r="F951" s="2"/>
      <c r="G951" s="3"/>
      <c r="H951" s="2"/>
      <c r="I951" s="2"/>
    </row>
    <row r="952" spans="1:9">
      <c r="A952" s="2"/>
      <c r="B952" s="2"/>
      <c r="C952" s="3"/>
      <c r="D952" s="3"/>
      <c r="E952" s="2"/>
      <c r="F952" s="2"/>
      <c r="G952" s="3"/>
      <c r="H952" s="2"/>
      <c r="I952" s="2"/>
    </row>
    <row r="953" spans="1:9">
      <c r="A953" s="2"/>
      <c r="B953" s="2"/>
      <c r="C953" s="3"/>
      <c r="D953" s="3"/>
      <c r="E953" s="2"/>
      <c r="F953" s="2"/>
      <c r="G953" s="3"/>
      <c r="H953" s="2"/>
      <c r="I953" s="2"/>
    </row>
    <row r="954" spans="1:9">
      <c r="A954" s="2"/>
      <c r="B954" s="2"/>
      <c r="C954" s="3"/>
      <c r="D954" s="3"/>
      <c r="E954" s="2"/>
      <c r="F954" s="2"/>
      <c r="G954" s="3"/>
      <c r="H954" s="2"/>
      <c r="I954" s="2"/>
    </row>
    <row r="955" spans="1:9">
      <c r="A955" s="2"/>
      <c r="B955" s="2"/>
      <c r="C955" s="3"/>
      <c r="D955" s="3"/>
      <c r="E955" s="2"/>
      <c r="F955" s="2"/>
      <c r="G955" s="3"/>
      <c r="H955" s="2"/>
      <c r="I955" s="2"/>
    </row>
    <row r="956" spans="1:9">
      <c r="A956" s="2"/>
      <c r="B956" s="2"/>
      <c r="C956" s="3"/>
      <c r="D956" s="3"/>
      <c r="E956" s="2"/>
      <c r="F956" s="2"/>
      <c r="G956" s="3"/>
      <c r="H956" s="2"/>
      <c r="I956" s="2"/>
    </row>
    <row r="957" spans="1:9">
      <c r="A957" s="2"/>
      <c r="B957" s="2"/>
      <c r="C957" s="3"/>
      <c r="D957" s="3"/>
      <c r="E957" s="2"/>
      <c r="F957" s="2"/>
      <c r="G957" s="3"/>
      <c r="H957" s="2"/>
      <c r="I957" s="2"/>
    </row>
    <row r="958" spans="1:9">
      <c r="A958" s="2"/>
      <c r="B958" s="2"/>
      <c r="C958" s="3"/>
      <c r="D958" s="3"/>
      <c r="E958" s="2"/>
      <c r="F958" s="2"/>
      <c r="G958" s="3"/>
      <c r="H958" s="2"/>
      <c r="I958" s="2"/>
    </row>
    <row r="959" spans="1:9">
      <c r="A959" s="2"/>
      <c r="B959" s="2"/>
      <c r="C959" s="3"/>
      <c r="D959" s="3"/>
      <c r="E959" s="2"/>
      <c r="F959" s="2"/>
      <c r="G959" s="3"/>
      <c r="H959" s="2"/>
      <c r="I959" s="2"/>
    </row>
    <row r="960" spans="1:9">
      <c r="A960" s="2"/>
      <c r="B960" s="2"/>
      <c r="C960" s="3"/>
      <c r="D960" s="3"/>
      <c r="E960" s="2"/>
      <c r="F960" s="2"/>
      <c r="G960" s="3"/>
      <c r="H960" s="2"/>
      <c r="I960" s="2"/>
    </row>
    <row r="961" spans="1:9">
      <c r="A961" s="2"/>
      <c r="B961" s="2"/>
      <c r="C961" s="3"/>
      <c r="D961" s="3"/>
      <c r="E961" s="2"/>
      <c r="F961" s="2"/>
      <c r="G961" s="3"/>
      <c r="H961" s="2"/>
      <c r="I961" s="2"/>
    </row>
    <row r="962" spans="1:9">
      <c r="A962" s="2"/>
      <c r="B962" s="2"/>
      <c r="C962" s="3"/>
      <c r="D962" s="3"/>
      <c r="E962" s="2"/>
      <c r="F962" s="2"/>
      <c r="G962" s="3"/>
      <c r="H962" s="2"/>
      <c r="I962" s="2"/>
    </row>
    <row r="963" spans="1:9">
      <c r="A963" s="2"/>
      <c r="B963" s="2"/>
      <c r="C963" s="3"/>
      <c r="D963" s="3"/>
      <c r="E963" s="2"/>
      <c r="F963" s="2"/>
      <c r="G963" s="3"/>
      <c r="H963" s="2"/>
      <c r="I963" s="2"/>
    </row>
    <row r="964" spans="1:9">
      <c r="A964" s="2"/>
      <c r="B964" s="2"/>
      <c r="C964" s="3"/>
      <c r="D964" s="3"/>
      <c r="E964" s="2"/>
      <c r="F964" s="2"/>
      <c r="G964" s="3"/>
      <c r="H964" s="2"/>
      <c r="I964" s="2"/>
    </row>
    <row r="965" spans="1:9">
      <c r="A965" s="2"/>
      <c r="B965" s="2"/>
      <c r="C965" s="3"/>
      <c r="D965" s="3"/>
      <c r="E965" s="2"/>
      <c r="F965" s="2"/>
      <c r="G965" s="3"/>
      <c r="H965" s="2"/>
      <c r="I965" s="2"/>
    </row>
    <row r="966" spans="1:9">
      <c r="A966" s="2"/>
      <c r="B966" s="2"/>
      <c r="C966" s="3"/>
      <c r="D966" s="3"/>
      <c r="E966" s="2"/>
      <c r="F966" s="2"/>
      <c r="G966" s="3"/>
      <c r="H966" s="2"/>
      <c r="I966" s="2"/>
    </row>
    <row r="967" spans="1:9">
      <c r="A967" s="2"/>
      <c r="B967" s="2"/>
      <c r="C967" s="3"/>
      <c r="D967" s="3"/>
      <c r="E967" s="2"/>
      <c r="F967" s="2"/>
      <c r="G967" s="3"/>
      <c r="H967" s="2"/>
      <c r="I967" s="2"/>
    </row>
    <row r="968" spans="1:9">
      <c r="A968" s="2"/>
      <c r="B968" s="2"/>
      <c r="C968" s="3"/>
      <c r="D968" s="3"/>
      <c r="E968" s="2"/>
      <c r="F968" s="2"/>
      <c r="G968" s="3"/>
      <c r="H968" s="2"/>
      <c r="I968" s="2"/>
    </row>
    <row r="969" spans="1:9">
      <c r="A969" s="2"/>
      <c r="B969" s="2"/>
      <c r="C969" s="3"/>
      <c r="D969" s="3"/>
      <c r="E969" s="2"/>
      <c r="F969" s="2"/>
      <c r="G969" s="3"/>
      <c r="H969" s="2"/>
      <c r="I969" s="2"/>
    </row>
    <row r="970" spans="1:9">
      <c r="A970" s="2"/>
      <c r="B970" s="2"/>
      <c r="C970" s="3"/>
      <c r="D970" s="3"/>
      <c r="E970" s="2"/>
      <c r="F970" s="2"/>
      <c r="G970" s="3"/>
      <c r="H970" s="2"/>
      <c r="I970" s="2"/>
    </row>
    <row r="971" spans="1:9">
      <c r="A971" s="2"/>
      <c r="B971" s="2"/>
      <c r="C971" s="3"/>
      <c r="D971" s="3"/>
      <c r="E971" s="2"/>
      <c r="F971" s="2"/>
      <c r="G971" s="3"/>
      <c r="H971" s="2"/>
      <c r="I971" s="2"/>
    </row>
    <row r="972" spans="1:9">
      <c r="A972" s="2"/>
      <c r="B972" s="2"/>
      <c r="C972" s="3"/>
      <c r="D972" s="3"/>
      <c r="E972" s="2"/>
      <c r="F972" s="2"/>
      <c r="G972" s="3"/>
      <c r="H972" s="2"/>
      <c r="I972" s="2"/>
    </row>
    <row r="973" spans="1:9">
      <c r="A973" s="2"/>
      <c r="B973" s="2"/>
      <c r="C973" s="3"/>
      <c r="D973" s="3"/>
      <c r="E973" s="2"/>
      <c r="F973" s="2"/>
      <c r="G973" s="3"/>
      <c r="H973" s="2"/>
      <c r="I973" s="2"/>
    </row>
    <row r="974" spans="1:9">
      <c r="A974" s="2"/>
      <c r="B974" s="2"/>
      <c r="C974" s="3"/>
      <c r="D974" s="3"/>
      <c r="E974" s="2"/>
      <c r="F974" s="2"/>
      <c r="G974" s="3"/>
      <c r="H974" s="2"/>
      <c r="I974" s="2"/>
    </row>
    <row r="975" spans="1:9">
      <c r="A975" s="2"/>
      <c r="B975" s="2"/>
      <c r="C975" s="3"/>
      <c r="D975" s="3"/>
      <c r="E975" s="2"/>
      <c r="F975" s="2"/>
      <c r="G975" s="3"/>
      <c r="H975" s="2"/>
      <c r="I975" s="2"/>
    </row>
    <row r="976" spans="1:9">
      <c r="A976" s="2"/>
      <c r="B976" s="2"/>
      <c r="C976" s="3"/>
      <c r="D976" s="3"/>
      <c r="E976" s="2"/>
      <c r="F976" s="2"/>
      <c r="G976" s="3"/>
      <c r="H976" s="2"/>
      <c r="I976" s="2"/>
    </row>
    <row r="977" spans="1:9">
      <c r="A977" s="2"/>
      <c r="B977" s="2"/>
      <c r="C977" s="3"/>
      <c r="D977" s="3"/>
      <c r="E977" s="2"/>
      <c r="F977" s="2"/>
      <c r="G977" s="3"/>
      <c r="H977" s="2"/>
      <c r="I977" s="2"/>
    </row>
    <row r="978" spans="1:9">
      <c r="A978" s="2"/>
      <c r="B978" s="2"/>
      <c r="C978" s="3"/>
      <c r="D978" s="3"/>
      <c r="E978" s="2"/>
      <c r="F978" s="2"/>
      <c r="G978" s="3"/>
      <c r="H978" s="2"/>
      <c r="I978" s="2"/>
    </row>
    <row r="979" spans="1:9">
      <c r="A979" s="2"/>
      <c r="B979" s="2"/>
      <c r="C979" s="3"/>
      <c r="D979" s="3"/>
      <c r="E979" s="2"/>
      <c r="F979" s="2"/>
      <c r="G979" s="3"/>
      <c r="H979" s="2"/>
      <c r="I979" s="2"/>
    </row>
    <row r="980" spans="1:9">
      <c r="A980" s="2"/>
      <c r="B980" s="2"/>
      <c r="C980" s="3"/>
      <c r="D980" s="3"/>
      <c r="E980" s="2"/>
      <c r="F980" s="2"/>
      <c r="G980" s="3"/>
      <c r="H980" s="2"/>
      <c r="I980" s="2"/>
    </row>
    <row r="981" spans="1:9">
      <c r="A981" s="2"/>
      <c r="B981" s="2"/>
      <c r="C981" s="3"/>
      <c r="D981" s="3"/>
      <c r="E981" s="2"/>
      <c r="F981" s="2"/>
      <c r="G981" s="3"/>
      <c r="H981" s="2"/>
      <c r="I981" s="2"/>
    </row>
    <row r="982" spans="1:9">
      <c r="A982" s="2"/>
      <c r="B982" s="2"/>
      <c r="C982" s="3"/>
      <c r="D982" s="3"/>
      <c r="E982" s="2"/>
      <c r="F982" s="2"/>
      <c r="G982" s="3"/>
      <c r="H982" s="2"/>
      <c r="I982" s="2"/>
    </row>
    <row r="983" spans="1:9">
      <c r="A983" s="2"/>
      <c r="B983" s="2"/>
      <c r="C983" s="3"/>
      <c r="D983" s="3"/>
      <c r="E983" s="2"/>
      <c r="F983" s="2"/>
      <c r="G983" s="3"/>
      <c r="H983" s="2"/>
      <c r="I983" s="2"/>
    </row>
    <row r="984" spans="1:9">
      <c r="A984" s="2"/>
      <c r="B984" s="2"/>
      <c r="C984" s="3"/>
      <c r="D984" s="3"/>
      <c r="E984" s="2"/>
      <c r="F984" s="2"/>
      <c r="G984" s="3"/>
      <c r="H984" s="2"/>
      <c r="I984" s="2"/>
    </row>
    <row r="985" spans="1:9">
      <c r="A985" s="2"/>
      <c r="B985" s="2"/>
      <c r="C985" s="3"/>
      <c r="D985" s="3"/>
      <c r="E985" s="2"/>
      <c r="F985" s="2"/>
      <c r="G985" s="3"/>
      <c r="H985" s="2"/>
      <c r="I985" s="2"/>
    </row>
    <row r="986" spans="1:9">
      <c r="A986" s="2"/>
      <c r="B986" s="2"/>
      <c r="C986" s="3"/>
      <c r="D986" s="3"/>
      <c r="E986" s="2"/>
      <c r="F986" s="2"/>
      <c r="G986" s="3"/>
      <c r="H986" s="2"/>
      <c r="I986" s="2"/>
    </row>
    <row r="987" spans="1:9">
      <c r="A987" s="2"/>
      <c r="B987" s="2"/>
      <c r="C987" s="3"/>
      <c r="D987" s="3"/>
      <c r="E987" s="2"/>
      <c r="F987" s="2"/>
      <c r="G987" s="3"/>
      <c r="H987" s="2"/>
      <c r="I987" s="2"/>
    </row>
    <row r="988" spans="1:9">
      <c r="A988" s="2"/>
      <c r="B988" s="2"/>
      <c r="C988" s="3"/>
      <c r="D988" s="3"/>
      <c r="E988" s="2"/>
      <c r="F988" s="2"/>
      <c r="G988" s="3"/>
      <c r="H988" s="2"/>
      <c r="I988" s="2"/>
    </row>
    <row r="989" spans="1:9">
      <c r="A989" s="2"/>
      <c r="B989" s="2"/>
      <c r="C989" s="3"/>
      <c r="D989" s="3"/>
      <c r="E989" s="2"/>
      <c r="F989" s="2"/>
      <c r="G989" s="3"/>
      <c r="H989" s="2"/>
      <c r="I989" s="2"/>
    </row>
    <row r="990" spans="1:9">
      <c r="A990" s="2"/>
      <c r="B990" s="2"/>
      <c r="C990" s="3"/>
      <c r="D990" s="3"/>
      <c r="E990" s="2"/>
      <c r="F990" s="2"/>
      <c r="G990" s="3"/>
      <c r="H990" s="2"/>
      <c r="I990" s="2"/>
    </row>
    <row r="991" spans="1:9">
      <c r="A991" s="2"/>
      <c r="B991" s="2"/>
      <c r="C991" s="3"/>
      <c r="D991" s="3"/>
      <c r="E991" s="2"/>
      <c r="F991" s="2"/>
      <c r="G991" s="3"/>
      <c r="H991" s="2"/>
      <c r="I991" s="2"/>
    </row>
    <row r="992" spans="1:9">
      <c r="A992" s="2"/>
      <c r="B992" s="2"/>
      <c r="C992" s="3"/>
      <c r="D992" s="3"/>
      <c r="E992" s="2"/>
      <c r="F992" s="2"/>
      <c r="G992" s="3"/>
      <c r="H992" s="2"/>
      <c r="I992" s="2"/>
    </row>
    <row r="993" spans="1:9">
      <c r="A993" s="2"/>
      <c r="B993" s="2"/>
      <c r="C993" s="3"/>
      <c r="D993" s="3"/>
      <c r="E993" s="2"/>
      <c r="F993" s="2"/>
      <c r="G993" s="3"/>
      <c r="H993" s="2"/>
      <c r="I993" s="2"/>
    </row>
    <row r="994" spans="1:9">
      <c r="A994" s="2"/>
      <c r="B994" s="2"/>
      <c r="C994" s="3"/>
      <c r="D994" s="3"/>
      <c r="E994" s="2"/>
      <c r="F994" s="2"/>
      <c r="G994" s="3"/>
      <c r="H994" s="2"/>
      <c r="I994" s="2"/>
    </row>
    <row r="995" spans="1:9">
      <c r="A995" s="2"/>
      <c r="B995" s="2"/>
      <c r="C995" s="3"/>
      <c r="D995" s="3"/>
      <c r="E995" s="2"/>
      <c r="F995" s="2"/>
      <c r="G995" s="3"/>
      <c r="H995" s="2"/>
      <c r="I995" s="2"/>
    </row>
    <row r="996" spans="1:9">
      <c r="A996" s="2"/>
      <c r="B996" s="2"/>
      <c r="C996" s="3"/>
      <c r="D996" s="3"/>
      <c r="E996" s="2"/>
      <c r="F996" s="2"/>
      <c r="G996" s="3"/>
      <c r="H996" s="2"/>
      <c r="I996" s="2"/>
    </row>
    <row r="997" spans="1:9">
      <c r="A997" s="2"/>
      <c r="B997" s="2"/>
      <c r="C997" s="3"/>
      <c r="D997" s="3"/>
      <c r="E997" s="2"/>
      <c r="F997" s="2"/>
      <c r="G997" s="3"/>
      <c r="H997" s="2"/>
      <c r="I997" s="2"/>
    </row>
    <row r="998" spans="1:9">
      <c r="A998" s="2"/>
      <c r="B998" s="2"/>
      <c r="C998" s="3"/>
      <c r="D998" s="3"/>
      <c r="E998" s="2"/>
      <c r="F998" s="2"/>
      <c r="G998" s="3"/>
      <c r="H998" s="2"/>
      <c r="I998" s="2"/>
    </row>
    <row r="999" spans="1:9">
      <c r="A999" s="2"/>
      <c r="B999" s="2"/>
      <c r="C999" s="3"/>
      <c r="D999" s="3"/>
      <c r="E999" s="2"/>
      <c r="F999" s="2"/>
      <c r="G999" s="3"/>
      <c r="H999" s="2"/>
      <c r="I999" s="2"/>
    </row>
    <row r="1000" spans="1:9">
      <c r="A1000" s="2"/>
      <c r="B1000" s="2"/>
      <c r="C1000" s="3"/>
      <c r="D1000" s="3"/>
      <c r="E1000" s="2"/>
      <c r="F1000" s="2"/>
      <c r="G1000" s="3"/>
      <c r="H1000" s="2"/>
      <c r="I1000" s="2"/>
    </row>
  </sheetData>
  <autoFilter ref="A2:I99"/>
  <mergeCells count="1">
    <mergeCell ref="A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Hamsini</dc:creator>
  <cp:lastModifiedBy>Hamsini</cp:lastModifiedBy>
  <dcterms:created xsi:type="dcterms:W3CDTF">2026-07-31T08:00:33Z</dcterms:created>
  <dcterms:modified xsi:type="dcterms:W3CDTF">2026-07-31T08:02:16Z</dcterms:modified>
</cp:coreProperties>
</file>